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6925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לייטמןמערכות\Dropbox\תיקיות משותפות לייטמן\הסבות נתונים\פרוייקטים\"/>
    </mc:Choice>
  </mc:AlternateContent>
  <bookViews>
    <workbookView xWindow="0" yWindow="0" windowWidth="16200" windowHeight="24840"/>
  </bookViews>
  <sheets>
    <sheet name="גיליון1" sheetId="1" r:id="rId1"/>
    <sheet name="גיליון2" sheetId="3" r:id="rId2"/>
    <sheet name="10.1" sheetId="2" r:id="rId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95" i="1" l="1"/>
  <c r="A295" i="1"/>
  <c r="B294" i="1"/>
  <c r="A294" i="1"/>
  <c r="B293" i="1"/>
  <c r="A293" i="1"/>
  <c r="B292" i="1"/>
  <c r="A292" i="1"/>
  <c r="B291" i="1"/>
  <c r="A291" i="1"/>
  <c r="B290" i="1"/>
  <c r="A290" i="1"/>
  <c r="B289" i="1"/>
  <c r="A289" i="1"/>
  <c r="B288" i="1"/>
  <c r="A288" i="1"/>
  <c r="B287" i="1"/>
  <c r="A287" i="1"/>
  <c r="B286" i="1"/>
  <c r="A286" i="1"/>
  <c r="B285" i="1"/>
  <c r="A285" i="1"/>
  <c r="B284" i="1"/>
  <c r="A284" i="1"/>
  <c r="B283" i="1"/>
  <c r="A283" i="1"/>
  <c r="B282" i="1"/>
  <c r="A282" i="1"/>
  <c r="B281" i="1"/>
  <c r="A281" i="1"/>
  <c r="B280" i="1"/>
  <c r="A280" i="1"/>
  <c r="B279" i="1"/>
  <c r="A279" i="1"/>
  <c r="B1725" i="1" l="1"/>
  <c r="A1725" i="1"/>
  <c r="B1724" i="1"/>
  <c r="A1724" i="1"/>
  <c r="B1723" i="1"/>
  <c r="A1723" i="1"/>
  <c r="B1722" i="1"/>
  <c r="A1722" i="1"/>
  <c r="B1721" i="1"/>
  <c r="A1721" i="1"/>
  <c r="B1720" i="1"/>
  <c r="A1720" i="1"/>
  <c r="B1719" i="1"/>
  <c r="A1719" i="1"/>
  <c r="B1718" i="1"/>
  <c r="A1718" i="1"/>
  <c r="B1717" i="1"/>
  <c r="A1717" i="1"/>
  <c r="B1716" i="1"/>
  <c r="A1716" i="1"/>
  <c r="B1715" i="1"/>
  <c r="A1715" i="1"/>
  <c r="B1714" i="1"/>
  <c r="A1714" i="1"/>
  <c r="B1713" i="1"/>
  <c r="A1713" i="1"/>
  <c r="B1712" i="1"/>
  <c r="A1712" i="1"/>
  <c r="B1711" i="1"/>
  <c r="A1711" i="1"/>
  <c r="B1710" i="1"/>
  <c r="A1710" i="1"/>
  <c r="B1709" i="1"/>
  <c r="A1709" i="1"/>
  <c r="B1660" i="1"/>
  <c r="A1660" i="1"/>
  <c r="B1659" i="1"/>
  <c r="A1659" i="1"/>
  <c r="B1658" i="1"/>
  <c r="A1658" i="1"/>
  <c r="B1657" i="1"/>
  <c r="A1657" i="1"/>
  <c r="B1656" i="1"/>
  <c r="A1656" i="1"/>
  <c r="B1655" i="1"/>
  <c r="A1655" i="1"/>
  <c r="B1654" i="1"/>
  <c r="A1654" i="1"/>
  <c r="B1653" i="1"/>
  <c r="A1653" i="1"/>
  <c r="B1652" i="1"/>
  <c r="A1652" i="1"/>
  <c r="B1651" i="1"/>
  <c r="A1651" i="1"/>
  <c r="B1650" i="1"/>
  <c r="A1650" i="1"/>
  <c r="B1649" i="1"/>
  <c r="A1649" i="1"/>
  <c r="B1648" i="1"/>
  <c r="A1648" i="1"/>
  <c r="B1647" i="1"/>
  <c r="A1647" i="1"/>
  <c r="B1646" i="1"/>
  <c r="A1646" i="1"/>
  <c r="B1645" i="1"/>
  <c r="A1645" i="1"/>
  <c r="B1644" i="1"/>
  <c r="A1644" i="1"/>
  <c r="B1595" i="1"/>
  <c r="A1595" i="1"/>
  <c r="B1594" i="1"/>
  <c r="A1594" i="1"/>
  <c r="B1593" i="1"/>
  <c r="A1593" i="1"/>
  <c r="B1592" i="1"/>
  <c r="A1592" i="1"/>
  <c r="B1591" i="1"/>
  <c r="A1591" i="1"/>
  <c r="B1590" i="1"/>
  <c r="A1590" i="1"/>
  <c r="B1589" i="1"/>
  <c r="A1589" i="1"/>
  <c r="B1588" i="1"/>
  <c r="A1588" i="1"/>
  <c r="B1587" i="1"/>
  <c r="A1587" i="1"/>
  <c r="B1586" i="1"/>
  <c r="A1586" i="1"/>
  <c r="B1585" i="1"/>
  <c r="A1585" i="1"/>
  <c r="B1584" i="1"/>
  <c r="A1584" i="1"/>
  <c r="B1583" i="1"/>
  <c r="A1583" i="1"/>
  <c r="B1582" i="1"/>
  <c r="A1582" i="1"/>
  <c r="B1581" i="1"/>
  <c r="A1581" i="1"/>
  <c r="B1580" i="1"/>
  <c r="A1580" i="1"/>
  <c r="B1579" i="1"/>
  <c r="A1579" i="1"/>
  <c r="B1530" i="1"/>
  <c r="A1530" i="1"/>
  <c r="B1529" i="1"/>
  <c r="A1529" i="1"/>
  <c r="B1528" i="1"/>
  <c r="A1528" i="1"/>
  <c r="B1527" i="1"/>
  <c r="A1527" i="1"/>
  <c r="B1526" i="1"/>
  <c r="A1526" i="1"/>
  <c r="B1525" i="1"/>
  <c r="A1525" i="1"/>
  <c r="B1524" i="1"/>
  <c r="A1524" i="1"/>
  <c r="B1523" i="1"/>
  <c r="A1523" i="1"/>
  <c r="B1522" i="1"/>
  <c r="A1522" i="1"/>
  <c r="B1521" i="1"/>
  <c r="A1521" i="1"/>
  <c r="B1520" i="1"/>
  <c r="A1520" i="1"/>
  <c r="B1519" i="1"/>
  <c r="A1519" i="1"/>
  <c r="B1518" i="1"/>
  <c r="A1518" i="1"/>
  <c r="B1517" i="1"/>
  <c r="A1517" i="1"/>
  <c r="B1516" i="1"/>
  <c r="A1516" i="1"/>
  <c r="B1515" i="1"/>
  <c r="A1515" i="1"/>
  <c r="B1514" i="1"/>
  <c r="A1514" i="1"/>
  <c r="B1465" i="1"/>
  <c r="A1465" i="1"/>
  <c r="B1464" i="1"/>
  <c r="A1464" i="1"/>
  <c r="B1463" i="1"/>
  <c r="A1463" i="1"/>
  <c r="B1462" i="1"/>
  <c r="A1462" i="1"/>
  <c r="B1461" i="1"/>
  <c r="A1461" i="1"/>
  <c r="B1460" i="1"/>
  <c r="A1460" i="1"/>
  <c r="B1459" i="1"/>
  <c r="A1459" i="1"/>
  <c r="B1458" i="1"/>
  <c r="A1458" i="1"/>
  <c r="B1457" i="1"/>
  <c r="A1457" i="1"/>
  <c r="B1456" i="1"/>
  <c r="A1456" i="1"/>
  <c r="B1455" i="1"/>
  <c r="A1455" i="1"/>
  <c r="B1454" i="1"/>
  <c r="A1454" i="1"/>
  <c r="B1453" i="1"/>
  <c r="A1453" i="1"/>
  <c r="B1452" i="1"/>
  <c r="A1452" i="1"/>
  <c r="B1451" i="1"/>
  <c r="A1451" i="1"/>
  <c r="B1450" i="1"/>
  <c r="A1450" i="1"/>
  <c r="B1449" i="1"/>
  <c r="A1449" i="1"/>
  <c r="B1400" i="1"/>
  <c r="A1400" i="1"/>
  <c r="B1399" i="1"/>
  <c r="A1399" i="1"/>
  <c r="B1398" i="1"/>
  <c r="A1398" i="1"/>
  <c r="B1397" i="1"/>
  <c r="A1397" i="1"/>
  <c r="B1396" i="1"/>
  <c r="A1396" i="1"/>
  <c r="B1395" i="1"/>
  <c r="A1395" i="1"/>
  <c r="B1394" i="1"/>
  <c r="A1394" i="1"/>
  <c r="B1393" i="1"/>
  <c r="A1393" i="1"/>
  <c r="B1392" i="1"/>
  <c r="A1392" i="1"/>
  <c r="B1391" i="1"/>
  <c r="A1391" i="1"/>
  <c r="B1390" i="1"/>
  <c r="A1390" i="1"/>
  <c r="B1389" i="1"/>
  <c r="A1389" i="1"/>
  <c r="B1388" i="1"/>
  <c r="A1388" i="1"/>
  <c r="B1387" i="1"/>
  <c r="A1387" i="1"/>
  <c r="B1386" i="1"/>
  <c r="A1386" i="1"/>
  <c r="B1385" i="1"/>
  <c r="A1385" i="1"/>
  <c r="B1384" i="1"/>
  <c r="A1384" i="1"/>
  <c r="B1335" i="1"/>
  <c r="A1335" i="1"/>
  <c r="B1334" i="1"/>
  <c r="A1334" i="1"/>
  <c r="B1333" i="1"/>
  <c r="A1333" i="1"/>
  <c r="B1332" i="1"/>
  <c r="A1332" i="1"/>
  <c r="B1331" i="1"/>
  <c r="A1331" i="1"/>
  <c r="B1330" i="1"/>
  <c r="A1330" i="1"/>
  <c r="B1329" i="1"/>
  <c r="A1329" i="1"/>
  <c r="B1328" i="1"/>
  <c r="A1328" i="1"/>
  <c r="B1327" i="1"/>
  <c r="A1327" i="1"/>
  <c r="B1326" i="1"/>
  <c r="A1326" i="1"/>
  <c r="B1325" i="1"/>
  <c r="A1325" i="1"/>
  <c r="B1324" i="1"/>
  <c r="A1324" i="1"/>
  <c r="B1323" i="1"/>
  <c r="A1323" i="1"/>
  <c r="B1322" i="1"/>
  <c r="A1322" i="1"/>
  <c r="B1321" i="1"/>
  <c r="A1321" i="1"/>
  <c r="B1320" i="1"/>
  <c r="A1320" i="1"/>
  <c r="B1319" i="1"/>
  <c r="A1319" i="1"/>
  <c r="B1270" i="1"/>
  <c r="A1270" i="1"/>
  <c r="B1269" i="1"/>
  <c r="A1269" i="1"/>
  <c r="B1268" i="1"/>
  <c r="A1268" i="1"/>
  <c r="B1267" i="1"/>
  <c r="A1267" i="1"/>
  <c r="B1266" i="1"/>
  <c r="A1266" i="1"/>
  <c r="B1265" i="1"/>
  <c r="A1265" i="1"/>
  <c r="B1264" i="1"/>
  <c r="A1264" i="1"/>
  <c r="B1263" i="1"/>
  <c r="A1263" i="1"/>
  <c r="B1262" i="1"/>
  <c r="A1262" i="1"/>
  <c r="B1261" i="1"/>
  <c r="A1261" i="1"/>
  <c r="B1260" i="1"/>
  <c r="A1260" i="1"/>
  <c r="B1259" i="1"/>
  <c r="A1259" i="1"/>
  <c r="B1258" i="1"/>
  <c r="A1258" i="1"/>
  <c r="B1257" i="1"/>
  <c r="A1257" i="1"/>
  <c r="B1256" i="1"/>
  <c r="A1256" i="1"/>
  <c r="B1255" i="1"/>
  <c r="A1255" i="1"/>
  <c r="B1254" i="1"/>
  <c r="A1254" i="1"/>
  <c r="B1205" i="1"/>
  <c r="A1205" i="1"/>
  <c r="B1204" i="1"/>
  <c r="A1204" i="1"/>
  <c r="B1203" i="1"/>
  <c r="A1203" i="1"/>
  <c r="B1202" i="1"/>
  <c r="A1202" i="1"/>
  <c r="B1201" i="1"/>
  <c r="A1201" i="1"/>
  <c r="B1200" i="1"/>
  <c r="A1200" i="1"/>
  <c r="B1199" i="1"/>
  <c r="A1199" i="1"/>
  <c r="B1198" i="1"/>
  <c r="A1198" i="1"/>
  <c r="B1197" i="1"/>
  <c r="A1197" i="1"/>
  <c r="B1196" i="1"/>
  <c r="A1196" i="1"/>
  <c r="B1195" i="1"/>
  <c r="A1195" i="1"/>
  <c r="B1194" i="1"/>
  <c r="A1194" i="1"/>
  <c r="B1193" i="1"/>
  <c r="A1193" i="1"/>
  <c r="B1192" i="1"/>
  <c r="A1192" i="1"/>
  <c r="B1191" i="1"/>
  <c r="A1191" i="1"/>
  <c r="B1190" i="1"/>
  <c r="A1190" i="1"/>
  <c r="B1189" i="1"/>
  <c r="A1189" i="1"/>
  <c r="B1140" i="1"/>
  <c r="A1140" i="1"/>
  <c r="B1139" i="1"/>
  <c r="A1139" i="1"/>
  <c r="B1138" i="1"/>
  <c r="A1138" i="1"/>
  <c r="B1137" i="1"/>
  <c r="A1137" i="1"/>
  <c r="B1136" i="1"/>
  <c r="A1136" i="1"/>
  <c r="B1135" i="1"/>
  <c r="A1135" i="1"/>
  <c r="B1134" i="1"/>
  <c r="A1134" i="1"/>
  <c r="B1133" i="1"/>
  <c r="A1133" i="1"/>
  <c r="B1132" i="1"/>
  <c r="A1132" i="1"/>
  <c r="B1131" i="1"/>
  <c r="A1131" i="1"/>
  <c r="B1130" i="1"/>
  <c r="A1130" i="1"/>
  <c r="B1129" i="1"/>
  <c r="A1129" i="1"/>
  <c r="B1128" i="1"/>
  <c r="A1128" i="1"/>
  <c r="B1127" i="1"/>
  <c r="A1127" i="1"/>
  <c r="B1126" i="1"/>
  <c r="A1126" i="1"/>
  <c r="B1125" i="1"/>
  <c r="A1125" i="1"/>
  <c r="B1124" i="1"/>
  <c r="A1124" i="1"/>
  <c r="B1075" i="1"/>
  <c r="A1075" i="1"/>
  <c r="B1074" i="1"/>
  <c r="A1074" i="1"/>
  <c r="B1073" i="1"/>
  <c r="A1073" i="1"/>
  <c r="B1072" i="1"/>
  <c r="A1072" i="1"/>
  <c r="B1071" i="1"/>
  <c r="A1071" i="1"/>
  <c r="B1070" i="1"/>
  <c r="A1070" i="1"/>
  <c r="B1069" i="1"/>
  <c r="A1069" i="1"/>
  <c r="B1068" i="1"/>
  <c r="A1068" i="1"/>
  <c r="B1067" i="1"/>
  <c r="A1067" i="1"/>
  <c r="B1066" i="1"/>
  <c r="A1066" i="1"/>
  <c r="B1065" i="1"/>
  <c r="A1065" i="1"/>
  <c r="B1064" i="1"/>
  <c r="A1064" i="1"/>
  <c r="B1063" i="1"/>
  <c r="A1063" i="1"/>
  <c r="B1062" i="1"/>
  <c r="A1062" i="1"/>
  <c r="B1061" i="1"/>
  <c r="A1061" i="1"/>
  <c r="B1060" i="1"/>
  <c r="A1060" i="1"/>
  <c r="B1059" i="1"/>
  <c r="A1059" i="1"/>
  <c r="B1010" i="1"/>
  <c r="A1010" i="1"/>
  <c r="B1009" i="1"/>
  <c r="A1009" i="1"/>
  <c r="B1008" i="1"/>
  <c r="A1008" i="1"/>
  <c r="B1007" i="1"/>
  <c r="A1007" i="1"/>
  <c r="B1006" i="1"/>
  <c r="A1006" i="1"/>
  <c r="B1005" i="1"/>
  <c r="A1005" i="1"/>
  <c r="B1004" i="1"/>
  <c r="A1004" i="1"/>
  <c r="B1003" i="1"/>
  <c r="A1003" i="1"/>
  <c r="B1002" i="1"/>
  <c r="A1002" i="1"/>
  <c r="B1001" i="1"/>
  <c r="A1001" i="1"/>
  <c r="B1000" i="1"/>
  <c r="A1000" i="1"/>
  <c r="B999" i="1"/>
  <c r="A999" i="1"/>
  <c r="B998" i="1"/>
  <c r="A998" i="1"/>
  <c r="B997" i="1"/>
  <c r="A997" i="1"/>
  <c r="B996" i="1"/>
  <c r="A996" i="1"/>
  <c r="B995" i="1"/>
  <c r="A995" i="1"/>
  <c r="B994" i="1"/>
  <c r="A994" i="1"/>
  <c r="B945" i="1"/>
  <c r="A945" i="1"/>
  <c r="B944" i="1"/>
  <c r="A944" i="1"/>
  <c r="B943" i="1"/>
  <c r="A943" i="1"/>
  <c r="B942" i="1"/>
  <c r="A942" i="1"/>
  <c r="B941" i="1"/>
  <c r="A941" i="1"/>
  <c r="B940" i="1"/>
  <c r="A940" i="1"/>
  <c r="B939" i="1"/>
  <c r="A939" i="1"/>
  <c r="B938" i="1"/>
  <c r="A938" i="1"/>
  <c r="B937" i="1"/>
  <c r="A937" i="1"/>
  <c r="B936" i="1"/>
  <c r="A936" i="1"/>
  <c r="B935" i="1"/>
  <c r="A935" i="1"/>
  <c r="B934" i="1"/>
  <c r="A934" i="1"/>
  <c r="B933" i="1"/>
  <c r="A933" i="1"/>
  <c r="B932" i="1"/>
  <c r="A932" i="1"/>
  <c r="B931" i="1"/>
  <c r="A931" i="1"/>
  <c r="B930" i="1"/>
  <c r="A930" i="1"/>
  <c r="B929" i="1"/>
  <c r="A929" i="1"/>
  <c r="B880" i="1"/>
  <c r="A880" i="1"/>
  <c r="B879" i="1"/>
  <c r="A879" i="1"/>
  <c r="B878" i="1"/>
  <c r="A878" i="1"/>
  <c r="B877" i="1"/>
  <c r="A877" i="1"/>
  <c r="B876" i="1"/>
  <c r="A876" i="1"/>
  <c r="B875" i="1"/>
  <c r="A875" i="1"/>
  <c r="B874" i="1"/>
  <c r="A874" i="1"/>
  <c r="B873" i="1"/>
  <c r="A873" i="1"/>
  <c r="B872" i="1"/>
  <c r="A872" i="1"/>
  <c r="B871" i="1"/>
  <c r="A871" i="1"/>
  <c r="B870" i="1"/>
  <c r="A870" i="1"/>
  <c r="B869" i="1"/>
  <c r="A869" i="1"/>
  <c r="B868" i="1"/>
  <c r="A868" i="1"/>
  <c r="B867" i="1"/>
  <c r="A867" i="1"/>
  <c r="B866" i="1"/>
  <c r="A866" i="1"/>
  <c r="B865" i="1"/>
  <c r="A865" i="1"/>
  <c r="B864" i="1"/>
  <c r="A864" i="1"/>
  <c r="B815" i="1"/>
  <c r="A815" i="1"/>
  <c r="B814" i="1"/>
  <c r="A814" i="1"/>
  <c r="B813" i="1"/>
  <c r="A813" i="1"/>
  <c r="B812" i="1"/>
  <c r="A812" i="1"/>
  <c r="B811" i="1"/>
  <c r="A811" i="1"/>
  <c r="B810" i="1"/>
  <c r="A810" i="1"/>
  <c r="B809" i="1"/>
  <c r="A809" i="1"/>
  <c r="B808" i="1"/>
  <c r="A808" i="1"/>
  <c r="B807" i="1"/>
  <c r="A807" i="1"/>
  <c r="B806" i="1"/>
  <c r="A806" i="1"/>
  <c r="B805" i="1"/>
  <c r="A805" i="1"/>
  <c r="B804" i="1"/>
  <c r="A804" i="1"/>
  <c r="B803" i="1"/>
  <c r="A803" i="1"/>
  <c r="B802" i="1"/>
  <c r="A802" i="1"/>
  <c r="B801" i="1"/>
  <c r="A801" i="1"/>
  <c r="B800" i="1"/>
  <c r="A800" i="1"/>
  <c r="B799" i="1"/>
  <c r="A799" i="1"/>
  <c r="B750" i="1"/>
  <c r="A750" i="1"/>
  <c r="B749" i="1"/>
  <c r="A749" i="1"/>
  <c r="B748" i="1"/>
  <c r="A748" i="1"/>
  <c r="B747" i="1"/>
  <c r="A747" i="1"/>
  <c r="B746" i="1"/>
  <c r="A746" i="1"/>
  <c r="B745" i="1"/>
  <c r="A745" i="1"/>
  <c r="B744" i="1"/>
  <c r="A744" i="1"/>
  <c r="B743" i="1"/>
  <c r="A743" i="1"/>
  <c r="B742" i="1"/>
  <c r="A742" i="1"/>
  <c r="B741" i="1"/>
  <c r="A741" i="1"/>
  <c r="B740" i="1"/>
  <c r="A740" i="1"/>
  <c r="B739" i="1"/>
  <c r="A739" i="1"/>
  <c r="B738" i="1"/>
  <c r="A738" i="1"/>
  <c r="B737" i="1"/>
  <c r="A737" i="1"/>
  <c r="B736" i="1"/>
  <c r="A736" i="1"/>
  <c r="B735" i="1"/>
  <c r="A735" i="1"/>
  <c r="B734" i="1"/>
  <c r="A734" i="1"/>
  <c r="B685" i="1"/>
  <c r="A685" i="1"/>
  <c r="B684" i="1"/>
  <c r="A684" i="1"/>
  <c r="B683" i="1"/>
  <c r="A683" i="1"/>
  <c r="B682" i="1"/>
  <c r="A682" i="1"/>
  <c r="B681" i="1"/>
  <c r="A681" i="1"/>
  <c r="B680" i="1"/>
  <c r="A680" i="1"/>
  <c r="B679" i="1"/>
  <c r="A679" i="1"/>
  <c r="B678" i="1"/>
  <c r="A678" i="1"/>
  <c r="B677" i="1"/>
  <c r="A677" i="1"/>
  <c r="B676" i="1"/>
  <c r="A676" i="1"/>
  <c r="B675" i="1"/>
  <c r="A675" i="1"/>
  <c r="B674" i="1"/>
  <c r="A674" i="1"/>
  <c r="B673" i="1"/>
  <c r="A673" i="1"/>
  <c r="B672" i="1"/>
  <c r="A672" i="1"/>
  <c r="B671" i="1"/>
  <c r="A671" i="1"/>
  <c r="B670" i="1"/>
  <c r="A670" i="1"/>
  <c r="B669" i="1"/>
  <c r="A669" i="1"/>
  <c r="B620" i="1"/>
  <c r="A620" i="1"/>
  <c r="B619" i="1"/>
  <c r="A619" i="1"/>
  <c r="B618" i="1"/>
  <c r="A618" i="1"/>
  <c r="B617" i="1"/>
  <c r="A617" i="1"/>
  <c r="B616" i="1"/>
  <c r="A616" i="1"/>
  <c r="B615" i="1"/>
  <c r="A615" i="1"/>
  <c r="B614" i="1"/>
  <c r="A614" i="1"/>
  <c r="B613" i="1"/>
  <c r="A613" i="1"/>
  <c r="B612" i="1"/>
  <c r="A612" i="1"/>
  <c r="B611" i="1"/>
  <c r="A611" i="1"/>
  <c r="B610" i="1"/>
  <c r="A610" i="1"/>
  <c r="B609" i="1"/>
  <c r="A609" i="1"/>
  <c r="B608" i="1"/>
  <c r="A608" i="1"/>
  <c r="B607" i="1"/>
  <c r="A607" i="1"/>
  <c r="B606" i="1"/>
  <c r="A606" i="1"/>
  <c r="B605" i="1"/>
  <c r="A605" i="1"/>
  <c r="B604" i="1"/>
  <c r="A604" i="1"/>
  <c r="B555" i="1"/>
  <c r="A555" i="1"/>
  <c r="B554" i="1"/>
  <c r="A554" i="1"/>
  <c r="B553" i="1"/>
  <c r="A553" i="1"/>
  <c r="B552" i="1"/>
  <c r="A552" i="1"/>
  <c r="B551" i="1"/>
  <c r="A551" i="1"/>
  <c r="B550" i="1"/>
  <c r="A550" i="1"/>
  <c r="B549" i="1"/>
  <c r="A549" i="1"/>
  <c r="B548" i="1"/>
  <c r="A548" i="1"/>
  <c r="B547" i="1"/>
  <c r="A547" i="1"/>
  <c r="B546" i="1"/>
  <c r="A546" i="1"/>
  <c r="B545" i="1"/>
  <c r="A545" i="1"/>
  <c r="B544" i="1"/>
  <c r="A544" i="1"/>
  <c r="B543" i="1"/>
  <c r="A543" i="1"/>
  <c r="B542" i="1"/>
  <c r="A542" i="1"/>
  <c r="B541" i="1"/>
  <c r="A541" i="1"/>
  <c r="B540" i="1"/>
  <c r="A540" i="1"/>
  <c r="B539" i="1"/>
  <c r="A539" i="1"/>
  <c r="B490" i="1"/>
  <c r="A490" i="1"/>
  <c r="B489" i="1"/>
  <c r="A489" i="1"/>
  <c r="B488" i="1"/>
  <c r="A488" i="1"/>
  <c r="B487" i="1"/>
  <c r="A487" i="1"/>
  <c r="B486" i="1"/>
  <c r="A486" i="1"/>
  <c r="B485" i="1"/>
  <c r="A485" i="1"/>
  <c r="B484" i="1"/>
  <c r="A484" i="1"/>
  <c r="B483" i="1"/>
  <c r="A483" i="1"/>
  <c r="B482" i="1"/>
  <c r="A482" i="1"/>
  <c r="B481" i="1"/>
  <c r="A481" i="1"/>
  <c r="B480" i="1"/>
  <c r="A480" i="1"/>
  <c r="B479" i="1"/>
  <c r="A479" i="1"/>
  <c r="B478" i="1"/>
  <c r="A478" i="1"/>
  <c r="B477" i="1"/>
  <c r="A477" i="1"/>
  <c r="B476" i="1"/>
  <c r="A476" i="1"/>
  <c r="B475" i="1"/>
  <c r="A475" i="1"/>
  <c r="B474" i="1"/>
  <c r="A474" i="1"/>
  <c r="B425" i="1"/>
  <c r="A425" i="1"/>
  <c r="B424" i="1"/>
  <c r="A424" i="1"/>
  <c r="B423" i="1"/>
  <c r="A423" i="1"/>
  <c r="B422" i="1"/>
  <c r="A422" i="1"/>
  <c r="B421" i="1"/>
  <c r="A421" i="1"/>
  <c r="B420" i="1"/>
  <c r="A420" i="1"/>
  <c r="B419" i="1"/>
  <c r="A419" i="1"/>
  <c r="B418" i="1"/>
  <c r="A418" i="1"/>
  <c r="B417" i="1"/>
  <c r="A417" i="1"/>
  <c r="B416" i="1"/>
  <c r="A416" i="1"/>
  <c r="B415" i="1"/>
  <c r="A415" i="1"/>
  <c r="B414" i="1"/>
  <c r="A414" i="1"/>
  <c r="B413" i="1"/>
  <c r="A413" i="1"/>
  <c r="B412" i="1"/>
  <c r="A412" i="1"/>
  <c r="B411" i="1"/>
  <c r="A411" i="1"/>
  <c r="B410" i="1"/>
  <c r="A410" i="1"/>
  <c r="B409" i="1"/>
  <c r="A409" i="1"/>
  <c r="B230" i="1"/>
  <c r="A230" i="1"/>
  <c r="B229" i="1"/>
  <c r="A229" i="1"/>
  <c r="B228" i="1"/>
  <c r="A228" i="1"/>
  <c r="B227" i="1"/>
  <c r="A227" i="1"/>
  <c r="B226" i="1"/>
  <c r="A226" i="1"/>
  <c r="B225" i="1"/>
  <c r="A225" i="1"/>
  <c r="B224" i="1"/>
  <c r="A224" i="1"/>
  <c r="B223" i="1"/>
  <c r="A223" i="1"/>
  <c r="B222" i="1"/>
  <c r="A222" i="1"/>
  <c r="B221" i="1"/>
  <c r="A221" i="1"/>
  <c r="B220" i="1"/>
  <c r="A220" i="1"/>
  <c r="B219" i="1"/>
  <c r="A219" i="1"/>
  <c r="B218" i="1"/>
  <c r="A218" i="1"/>
  <c r="B217" i="1"/>
  <c r="A217" i="1"/>
  <c r="B216" i="1"/>
  <c r="A216" i="1"/>
  <c r="B215" i="1"/>
  <c r="A215" i="1"/>
  <c r="B214" i="1"/>
  <c r="A214" i="1"/>
  <c r="B360" i="1"/>
  <c r="A360" i="1"/>
  <c r="B359" i="1"/>
  <c r="A359" i="1"/>
  <c r="B358" i="1"/>
  <c r="A358" i="1"/>
  <c r="B357" i="1"/>
  <c r="A357" i="1"/>
  <c r="B356" i="1"/>
  <c r="A356" i="1"/>
  <c r="B355" i="1"/>
  <c r="A355" i="1"/>
  <c r="B354" i="1"/>
  <c r="A354" i="1"/>
  <c r="B353" i="1"/>
  <c r="A353" i="1"/>
  <c r="B352" i="1"/>
  <c r="A352" i="1"/>
  <c r="B351" i="1"/>
  <c r="A351" i="1"/>
  <c r="B350" i="1"/>
  <c r="A350" i="1"/>
  <c r="B349" i="1"/>
  <c r="A349" i="1"/>
  <c r="B348" i="1"/>
  <c r="A348" i="1"/>
  <c r="B347" i="1"/>
  <c r="A347" i="1"/>
  <c r="B346" i="1"/>
  <c r="A346" i="1"/>
  <c r="B345" i="1"/>
  <c r="A345" i="1"/>
  <c r="B344" i="1"/>
  <c r="A344" i="1"/>
  <c r="B165" i="1"/>
  <c r="A165" i="1"/>
  <c r="B164" i="1"/>
  <c r="A164" i="1"/>
  <c r="B163" i="1"/>
  <c r="A163" i="1"/>
  <c r="B162" i="1"/>
  <c r="A162" i="1"/>
  <c r="B161" i="1"/>
  <c r="A161" i="1"/>
  <c r="B160" i="1"/>
  <c r="A160" i="1"/>
  <c r="B159" i="1"/>
  <c r="A159" i="1"/>
  <c r="B158" i="1"/>
  <c r="A158" i="1"/>
  <c r="B157" i="1"/>
  <c r="A157" i="1"/>
  <c r="B156" i="1"/>
  <c r="A156" i="1"/>
  <c r="B155" i="1"/>
  <c r="A155" i="1"/>
  <c r="B154" i="1"/>
  <c r="A154" i="1"/>
  <c r="B153" i="1"/>
  <c r="A153" i="1"/>
  <c r="B152" i="1"/>
  <c r="A152" i="1"/>
  <c r="B151" i="1"/>
  <c r="A151" i="1"/>
  <c r="B150" i="1"/>
  <c r="A150" i="1"/>
  <c r="B149" i="1"/>
  <c r="A149" i="1"/>
  <c r="Y1675" i="1"/>
  <c r="Y1674" i="1"/>
  <c r="Y1673" i="1"/>
  <c r="Y1610" i="1"/>
  <c r="Y1609" i="1"/>
  <c r="Y1608" i="1"/>
  <c r="Y1545" i="1"/>
  <c r="Y1544" i="1"/>
  <c r="Y1543" i="1"/>
  <c r="Y1480" i="1"/>
  <c r="Y1479" i="1"/>
  <c r="Y1478" i="1"/>
  <c r="Y1415" i="1"/>
  <c r="Y1414" i="1"/>
  <c r="Y1413" i="1"/>
  <c r="Y1350" i="1"/>
  <c r="Y1349" i="1"/>
  <c r="Y1348" i="1"/>
  <c r="Y1285" i="1"/>
  <c r="Y1284" i="1"/>
  <c r="Y1283" i="1"/>
  <c r="Y1220" i="1"/>
  <c r="Y1219" i="1"/>
  <c r="Y1218" i="1"/>
  <c r="Y1155" i="1"/>
  <c r="Y1154" i="1"/>
  <c r="Y1153" i="1"/>
  <c r="Y1090" i="1"/>
  <c r="Y1089" i="1"/>
  <c r="Y1088" i="1"/>
  <c r="Z825" i="1"/>
  <c r="X825" i="1"/>
  <c r="P825" i="1"/>
  <c r="O825" i="1"/>
  <c r="Z798" i="1"/>
  <c r="X798" i="1"/>
  <c r="P798" i="1"/>
  <c r="O798" i="1"/>
  <c r="AW773" i="1"/>
  <c r="AJ773" i="1"/>
  <c r="AG773" i="1"/>
  <c r="Z773" i="1"/>
  <c r="X773" i="1"/>
  <c r="P773" i="1"/>
  <c r="O773" i="1"/>
  <c r="Y765" i="1"/>
  <c r="Y764" i="1"/>
  <c r="Y763" i="1"/>
  <c r="AW762" i="1"/>
  <c r="AJ762" i="1"/>
  <c r="AG762" i="1"/>
  <c r="Z762" i="1"/>
  <c r="X762" i="1"/>
  <c r="P762" i="1"/>
  <c r="O762" i="1"/>
  <c r="AW761" i="1"/>
  <c r="AJ761" i="1"/>
  <c r="AG761" i="1"/>
  <c r="Z761" i="1"/>
  <c r="X761" i="1"/>
  <c r="P761" i="1"/>
  <c r="O761" i="1"/>
  <c r="Z760" i="1"/>
  <c r="X760" i="1"/>
  <c r="P760" i="1"/>
  <c r="O760" i="1"/>
  <c r="Z733" i="1"/>
  <c r="X733" i="1"/>
  <c r="P733" i="1"/>
  <c r="O733" i="1"/>
  <c r="AW708" i="1"/>
  <c r="AJ708" i="1"/>
  <c r="AG708" i="1"/>
  <c r="Z708" i="1"/>
  <c r="X708" i="1"/>
  <c r="P708" i="1"/>
  <c r="O708" i="1"/>
  <c r="Y700" i="1"/>
  <c r="Y699" i="1"/>
  <c r="Y698" i="1"/>
  <c r="AW697" i="1"/>
  <c r="AJ697" i="1"/>
  <c r="AG697" i="1"/>
  <c r="Z697" i="1"/>
  <c r="X697" i="1"/>
  <c r="P697" i="1"/>
  <c r="O697" i="1"/>
  <c r="AW696" i="1"/>
  <c r="AJ696" i="1"/>
  <c r="AG696" i="1"/>
  <c r="Z696" i="1"/>
  <c r="X696" i="1"/>
  <c r="P696" i="1"/>
  <c r="O696" i="1"/>
  <c r="Y1025" i="1"/>
  <c r="Y1024" i="1"/>
  <c r="Y1023" i="1"/>
  <c r="Y960" i="1"/>
  <c r="Y959" i="1"/>
  <c r="Y958" i="1"/>
  <c r="Y895" i="1"/>
  <c r="Y894" i="1"/>
  <c r="Y893" i="1"/>
  <c r="Y830" i="1"/>
  <c r="Y829" i="1"/>
  <c r="Y828" i="1"/>
  <c r="Y635" i="1"/>
  <c r="Y634" i="1"/>
  <c r="Y633" i="1"/>
  <c r="Y570" i="1"/>
  <c r="Y569" i="1"/>
  <c r="Y568" i="1"/>
  <c r="Y505" i="1"/>
  <c r="Y504" i="1"/>
  <c r="Y503" i="1"/>
  <c r="Y440" i="1"/>
  <c r="Y439" i="1"/>
  <c r="Y438" i="1"/>
  <c r="Y375" i="1"/>
  <c r="Y374" i="1"/>
  <c r="Y373" i="1"/>
  <c r="Y310" i="1"/>
  <c r="Y309" i="1"/>
  <c r="Y308" i="1"/>
  <c r="Y245" i="1"/>
  <c r="Y244" i="1"/>
  <c r="Y243" i="1"/>
  <c r="Y180" i="1"/>
  <c r="Y179" i="1"/>
  <c r="Y178" i="1"/>
  <c r="Y115" i="1"/>
  <c r="Y114" i="1"/>
  <c r="Y113" i="1"/>
  <c r="B100" i="1" l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Z1605" i="1" l="1"/>
  <c r="Z1578" i="1"/>
  <c r="Z1553" i="1"/>
  <c r="Z1542" i="1"/>
  <c r="Z1541" i="1"/>
  <c r="Z1540" i="1"/>
  <c r="Z1513" i="1"/>
  <c r="Z1488" i="1"/>
  <c r="Z1477" i="1"/>
  <c r="Z1476" i="1"/>
  <c r="Z1410" i="1"/>
  <c r="Z1383" i="1"/>
  <c r="Z1358" i="1"/>
  <c r="Z1347" i="1"/>
  <c r="Z1346" i="1"/>
  <c r="Z1345" i="1"/>
  <c r="Z1318" i="1"/>
  <c r="Z1293" i="1"/>
  <c r="Z1282" i="1"/>
  <c r="Z1281" i="1"/>
  <c r="Z1150" i="1"/>
  <c r="Z1123" i="1"/>
  <c r="Z1098" i="1"/>
  <c r="Z1087" i="1"/>
  <c r="Z1086" i="1"/>
  <c r="Z1085" i="1"/>
  <c r="Z1058" i="1"/>
  <c r="Z1033" i="1"/>
  <c r="Z1022" i="1"/>
  <c r="Z1021" i="1"/>
  <c r="AW502" i="1"/>
  <c r="AJ502" i="1"/>
  <c r="AG502" i="1"/>
  <c r="Z502" i="1"/>
  <c r="X502" i="1"/>
  <c r="P502" i="1"/>
  <c r="O502" i="1"/>
  <c r="AW501" i="1"/>
  <c r="AJ501" i="1"/>
  <c r="AG501" i="1"/>
  <c r="Z501" i="1"/>
  <c r="X501" i="1"/>
  <c r="P501" i="1"/>
  <c r="O501" i="1"/>
  <c r="O123" i="1"/>
  <c r="P123" i="1"/>
  <c r="X123" i="1"/>
  <c r="Z123" i="1"/>
  <c r="AG123" i="1"/>
  <c r="AJ123" i="1"/>
  <c r="AW123" i="1"/>
  <c r="Y49" i="1"/>
  <c r="Y48" i="1"/>
  <c r="Y47" i="1"/>
  <c r="AW435" i="1" l="1"/>
  <c r="AJ435" i="1"/>
  <c r="AG435" i="1"/>
  <c r="Z435" i="1"/>
  <c r="X435" i="1"/>
  <c r="P435" i="1"/>
  <c r="O435" i="1"/>
  <c r="AW408" i="1"/>
  <c r="AJ408" i="1"/>
  <c r="AG408" i="1"/>
  <c r="Z408" i="1"/>
  <c r="X408" i="1"/>
  <c r="P408" i="1"/>
  <c r="O408" i="1"/>
  <c r="AW383" i="1"/>
  <c r="AJ383" i="1"/>
  <c r="AG383" i="1"/>
  <c r="Z383" i="1"/>
  <c r="X383" i="1"/>
  <c r="P383" i="1"/>
  <c r="O383" i="1"/>
  <c r="AW372" i="1"/>
  <c r="AJ372" i="1"/>
  <c r="AG372" i="1"/>
  <c r="Z372" i="1"/>
  <c r="X372" i="1"/>
  <c r="P372" i="1"/>
  <c r="O372" i="1"/>
  <c r="AW371" i="1"/>
  <c r="AJ371" i="1"/>
  <c r="AG371" i="1"/>
  <c r="Z371" i="1"/>
  <c r="X371" i="1"/>
  <c r="P371" i="1"/>
  <c r="O371" i="1"/>
  <c r="AW370" i="1"/>
  <c r="AJ370" i="1"/>
  <c r="AG370" i="1"/>
  <c r="Z370" i="1"/>
  <c r="X370" i="1"/>
  <c r="P370" i="1"/>
  <c r="O370" i="1"/>
  <c r="AW343" i="1"/>
  <c r="AJ343" i="1"/>
  <c r="AG343" i="1"/>
  <c r="Z343" i="1"/>
  <c r="X343" i="1"/>
  <c r="P343" i="1"/>
  <c r="O343" i="1"/>
  <c r="AW318" i="1"/>
  <c r="AJ318" i="1"/>
  <c r="AG318" i="1"/>
  <c r="Z318" i="1"/>
  <c r="X318" i="1"/>
  <c r="P318" i="1"/>
  <c r="O318" i="1"/>
  <c r="AW307" i="1"/>
  <c r="AJ307" i="1"/>
  <c r="AG307" i="1"/>
  <c r="Z307" i="1"/>
  <c r="X307" i="1"/>
  <c r="P307" i="1"/>
  <c r="O307" i="1"/>
  <c r="AW306" i="1"/>
  <c r="AJ306" i="1"/>
  <c r="AG306" i="1"/>
  <c r="Z306" i="1"/>
  <c r="X306" i="1"/>
  <c r="P306" i="1"/>
  <c r="O306" i="1"/>
  <c r="Z1618" i="1"/>
  <c r="Z1643" i="1"/>
  <c r="Z1670" i="1"/>
  <c r="Z1671" i="1"/>
  <c r="Z1672" i="1"/>
  <c r="Z1683" i="1"/>
  <c r="Z1708" i="1"/>
  <c r="Z1735" i="1"/>
  <c r="E1736" i="1"/>
  <c r="Z21" i="1" l="1"/>
  <c r="X21" i="1"/>
  <c r="P21" i="1"/>
  <c r="O21" i="1"/>
  <c r="F21" i="1"/>
  <c r="Z44" i="1"/>
  <c r="X44" i="1"/>
  <c r="P44" i="1"/>
  <c r="O44" i="1"/>
  <c r="F44" i="1"/>
  <c r="Z36" i="1"/>
  <c r="X36" i="1"/>
  <c r="P36" i="1"/>
  <c r="O36" i="1"/>
  <c r="F36" i="1"/>
  <c r="Z34" i="1"/>
  <c r="X34" i="1"/>
  <c r="P34" i="1"/>
  <c r="O34" i="1"/>
  <c r="F34" i="1"/>
  <c r="Z33" i="1"/>
  <c r="X33" i="1"/>
  <c r="P33" i="1"/>
  <c r="O33" i="1"/>
  <c r="F33" i="1"/>
  <c r="Z28" i="1"/>
  <c r="X28" i="1"/>
  <c r="P28" i="1"/>
  <c r="O28" i="1"/>
  <c r="F28" i="1"/>
  <c r="Z22" i="1"/>
  <c r="X22" i="1"/>
  <c r="P22" i="1"/>
  <c r="O22" i="1"/>
  <c r="F22" i="1"/>
  <c r="Z7" i="1"/>
  <c r="X7" i="1"/>
  <c r="P7" i="1"/>
  <c r="O7" i="1"/>
  <c r="F7" i="1"/>
  <c r="Z4" i="1"/>
  <c r="X4" i="1"/>
  <c r="P4" i="1"/>
  <c r="O4" i="1"/>
  <c r="F4" i="1"/>
  <c r="Z14" i="1"/>
  <c r="X14" i="1"/>
  <c r="P14" i="1"/>
  <c r="O14" i="1"/>
  <c r="F14" i="1"/>
  <c r="Y13" i="3"/>
  <c r="W13" i="3"/>
  <c r="O13" i="3"/>
  <c r="N13" i="3"/>
  <c r="E13" i="3"/>
  <c r="Y12" i="3"/>
  <c r="W12" i="3"/>
  <c r="O12" i="3"/>
  <c r="N12" i="3"/>
  <c r="E12" i="3"/>
  <c r="Y11" i="3"/>
  <c r="W11" i="3"/>
  <c r="O11" i="3"/>
  <c r="N11" i="3"/>
  <c r="E11" i="3"/>
  <c r="Y10" i="3"/>
  <c r="W10" i="3"/>
  <c r="O10" i="3"/>
  <c r="N10" i="3"/>
  <c r="E10" i="3"/>
  <c r="Y9" i="3"/>
  <c r="W9" i="3"/>
  <c r="O9" i="3"/>
  <c r="N9" i="3"/>
  <c r="E9" i="3"/>
  <c r="Y8" i="3"/>
  <c r="W8" i="3"/>
  <c r="O8" i="3"/>
  <c r="N8" i="3"/>
  <c r="E8" i="3"/>
  <c r="Y7" i="3"/>
  <c r="W7" i="3"/>
  <c r="O7" i="3"/>
  <c r="N7" i="3"/>
  <c r="E7" i="3"/>
  <c r="Y6" i="3"/>
  <c r="W6" i="3"/>
  <c r="O6" i="3"/>
  <c r="N6" i="3"/>
  <c r="E6" i="3"/>
  <c r="Y5" i="3"/>
  <c r="W5" i="3"/>
  <c r="O5" i="3"/>
  <c r="N5" i="3"/>
  <c r="E5" i="3"/>
  <c r="Z826" i="1"/>
  <c r="Z827" i="1"/>
  <c r="Z838" i="1"/>
  <c r="Z863" i="1"/>
  <c r="Z890" i="1"/>
  <c r="Z891" i="1"/>
  <c r="Z892" i="1"/>
  <c r="Z903" i="1"/>
  <c r="Z928" i="1"/>
  <c r="Z955" i="1"/>
  <c r="Z956" i="1"/>
  <c r="Z957" i="1"/>
  <c r="Z968" i="1"/>
  <c r="Z993" i="1"/>
  <c r="Z1020" i="1"/>
  <c r="Z1151" i="1"/>
  <c r="Z1152" i="1"/>
  <c r="Z1163" i="1"/>
  <c r="Z1188" i="1"/>
  <c r="Z1215" i="1"/>
  <c r="Z1216" i="1"/>
  <c r="Z1217" i="1"/>
  <c r="Z1228" i="1"/>
  <c r="Z1253" i="1"/>
  <c r="Z1280" i="1"/>
  <c r="Z1411" i="1"/>
  <c r="Z1412" i="1"/>
  <c r="Z1423" i="1"/>
  <c r="Z1448" i="1"/>
  <c r="Z1475" i="1"/>
  <c r="Z1606" i="1"/>
  <c r="Z1607" i="1"/>
  <c r="AG43" i="1"/>
  <c r="AJ43" i="1"/>
  <c r="AW43" i="1"/>
  <c r="O45" i="1"/>
  <c r="P45" i="1"/>
  <c r="X45" i="1"/>
  <c r="Z45" i="1"/>
  <c r="AG45" i="1"/>
  <c r="AJ45" i="1"/>
  <c r="AW45" i="1"/>
  <c r="O46" i="1"/>
  <c r="P46" i="1"/>
  <c r="X46" i="1"/>
  <c r="Z46" i="1"/>
  <c r="AG46" i="1"/>
  <c r="AJ46" i="1"/>
  <c r="AW46" i="1"/>
  <c r="O57" i="1"/>
  <c r="P57" i="1"/>
  <c r="X57" i="1"/>
  <c r="Z57" i="1"/>
  <c r="AG57" i="1"/>
  <c r="AJ57" i="1"/>
  <c r="AW57" i="1"/>
  <c r="O83" i="1"/>
  <c r="P83" i="1"/>
  <c r="X83" i="1"/>
  <c r="Z83" i="1"/>
  <c r="AG83" i="1"/>
  <c r="AJ83" i="1"/>
  <c r="AW83" i="1"/>
  <c r="O110" i="1"/>
  <c r="P110" i="1"/>
  <c r="X110" i="1"/>
  <c r="Z110" i="1"/>
  <c r="O111" i="1"/>
  <c r="P111" i="1"/>
  <c r="X111" i="1"/>
  <c r="Z111" i="1"/>
  <c r="AG111" i="1"/>
  <c r="AJ111" i="1"/>
  <c r="AW111" i="1"/>
  <c r="O112" i="1"/>
  <c r="P112" i="1"/>
  <c r="X112" i="1"/>
  <c r="Z112" i="1"/>
  <c r="AG112" i="1"/>
  <c r="AJ112" i="1"/>
  <c r="AW112" i="1"/>
  <c r="AW603" i="1" l="1"/>
  <c r="AJ603" i="1"/>
  <c r="AG603" i="1"/>
  <c r="Z603" i="1"/>
  <c r="X603" i="1"/>
  <c r="P603" i="1"/>
  <c r="O603" i="1"/>
  <c r="AW578" i="1"/>
  <c r="AJ578" i="1"/>
  <c r="AG578" i="1"/>
  <c r="Z578" i="1"/>
  <c r="X578" i="1"/>
  <c r="P578" i="1"/>
  <c r="O578" i="1"/>
  <c r="AW567" i="1"/>
  <c r="AJ567" i="1"/>
  <c r="AG567" i="1"/>
  <c r="Z567" i="1"/>
  <c r="X567" i="1"/>
  <c r="P567" i="1"/>
  <c r="O567" i="1"/>
  <c r="AW566" i="1"/>
  <c r="AJ566" i="1"/>
  <c r="AG566" i="1"/>
  <c r="Z566" i="1"/>
  <c r="X566" i="1"/>
  <c r="P566" i="1"/>
  <c r="O566" i="1"/>
  <c r="AW538" i="1"/>
  <c r="AJ538" i="1"/>
  <c r="AG538" i="1"/>
  <c r="Z538" i="1"/>
  <c r="X538" i="1"/>
  <c r="P538" i="1"/>
  <c r="O538" i="1"/>
  <c r="AW437" i="1"/>
  <c r="AJ437" i="1"/>
  <c r="AG437" i="1"/>
  <c r="Z437" i="1"/>
  <c r="X437" i="1"/>
  <c r="P437" i="1"/>
  <c r="O437" i="1"/>
  <c r="AW436" i="1"/>
  <c r="AJ436" i="1"/>
  <c r="AG436" i="1"/>
  <c r="Z436" i="1"/>
  <c r="X436" i="1"/>
  <c r="P436" i="1"/>
  <c r="O436" i="1"/>
  <c r="AW278" i="1"/>
  <c r="AJ278" i="1"/>
  <c r="AG278" i="1"/>
  <c r="Z278" i="1"/>
  <c r="X278" i="1"/>
  <c r="P278" i="1"/>
  <c r="O278" i="1"/>
  <c r="AW253" i="1"/>
  <c r="AJ253" i="1"/>
  <c r="AG253" i="1"/>
  <c r="Z253" i="1"/>
  <c r="X253" i="1"/>
  <c r="P253" i="1"/>
  <c r="O253" i="1"/>
  <c r="AW242" i="1"/>
  <c r="AJ242" i="1"/>
  <c r="AG242" i="1"/>
  <c r="Z242" i="1"/>
  <c r="X242" i="1"/>
  <c r="P242" i="1"/>
  <c r="O242" i="1"/>
  <c r="AW241" i="1"/>
  <c r="AJ241" i="1"/>
  <c r="AG241" i="1"/>
  <c r="Z241" i="1"/>
  <c r="X241" i="1"/>
  <c r="P241" i="1"/>
  <c r="O241" i="1"/>
  <c r="AW213" i="1"/>
  <c r="AJ213" i="1"/>
  <c r="AG213" i="1"/>
  <c r="Z213" i="1"/>
  <c r="X213" i="1"/>
  <c r="P213" i="1"/>
  <c r="O213" i="1"/>
  <c r="AW188" i="1"/>
  <c r="AJ188" i="1"/>
  <c r="AG188" i="1"/>
  <c r="Z188" i="1"/>
  <c r="X188" i="1"/>
  <c r="P188" i="1"/>
  <c r="O188" i="1"/>
  <c r="AW177" i="1"/>
  <c r="AJ177" i="1"/>
  <c r="AG177" i="1"/>
  <c r="Z177" i="1"/>
  <c r="X177" i="1"/>
  <c r="P177" i="1"/>
  <c r="O177" i="1"/>
  <c r="AW176" i="1"/>
  <c r="AJ176" i="1"/>
  <c r="AG176" i="1"/>
  <c r="Z176" i="1"/>
  <c r="X176" i="1"/>
  <c r="P176" i="1"/>
  <c r="O176" i="1"/>
  <c r="AW148" i="1"/>
  <c r="AJ148" i="1"/>
  <c r="AG148" i="1"/>
  <c r="Z148" i="1"/>
  <c r="X148" i="1"/>
  <c r="P148" i="1"/>
  <c r="O148" i="1"/>
  <c r="B6" i="2"/>
  <c r="CQ3" i="2"/>
  <c r="CP3" i="2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H3" i="2"/>
  <c r="BG3" i="2"/>
  <c r="BF3" i="2"/>
  <c r="BE3" i="2"/>
  <c r="BD3" i="2"/>
  <c r="BC3" i="2"/>
  <c r="BB3" i="2"/>
  <c r="BA3" i="2"/>
  <c r="AZ3" i="2"/>
  <c r="AY3" i="2"/>
  <c r="AX3" i="2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A3" i="2"/>
  <c r="BE2" i="2"/>
  <c r="AY2" i="2"/>
  <c r="AU2" i="2"/>
  <c r="AM2" i="2"/>
  <c r="AI2" i="2"/>
  <c r="Q2" i="2"/>
  <c r="K2" i="2"/>
  <c r="J2" i="2"/>
  <c r="I2" i="2"/>
  <c r="H2" i="2"/>
  <c r="F2" i="2"/>
  <c r="D2" i="2"/>
  <c r="C2" i="2"/>
  <c r="B2" i="2"/>
  <c r="A2" i="2"/>
  <c r="DM1" i="2"/>
  <c r="DL1" i="2"/>
  <c r="DK1" i="2"/>
  <c r="DJ1" i="2"/>
  <c r="DI1" i="2"/>
  <c r="DH1" i="2"/>
  <c r="DG1" i="2"/>
  <c r="DF1" i="2"/>
  <c r="DE1" i="2"/>
  <c r="DD1" i="2"/>
  <c r="DC1" i="2"/>
  <c r="DB1" i="2"/>
  <c r="DA1" i="2"/>
  <c r="CZ1" i="2"/>
  <c r="CY1" i="2"/>
  <c r="CX1" i="2"/>
  <c r="CW1" i="2"/>
  <c r="CV1" i="2"/>
  <c r="CU1" i="2"/>
  <c r="CT1" i="2"/>
  <c r="CS1" i="2"/>
  <c r="CR1" i="2"/>
  <c r="CQ1" i="2"/>
  <c r="CP1" i="2"/>
  <c r="CO1" i="2"/>
  <c r="CN1" i="2"/>
  <c r="CM1" i="2"/>
  <c r="CL1" i="2"/>
  <c r="CK1" i="2"/>
  <c r="CJ1" i="2"/>
  <c r="CI1" i="2"/>
  <c r="CH1" i="2"/>
  <c r="CG1" i="2"/>
  <c r="CF1" i="2"/>
  <c r="CE1" i="2"/>
  <c r="CD1" i="2"/>
  <c r="CC1" i="2"/>
  <c r="CB1" i="2"/>
  <c r="CA1" i="2"/>
  <c r="BZ1" i="2"/>
  <c r="BY1" i="2"/>
  <c r="BX1" i="2"/>
  <c r="BW1" i="2"/>
  <c r="BV1" i="2"/>
  <c r="BU1" i="2"/>
  <c r="BT1" i="2"/>
  <c r="BS1" i="2"/>
  <c r="BR1" i="2"/>
  <c r="BQ1" i="2"/>
  <c r="BP1" i="2"/>
  <c r="BO1" i="2"/>
  <c r="BN1" i="2"/>
  <c r="BM1" i="2"/>
  <c r="BL1" i="2"/>
  <c r="BK1" i="2"/>
  <c r="BJ1" i="2"/>
  <c r="BI1" i="2"/>
  <c r="BH1" i="2"/>
  <c r="BG1" i="2"/>
  <c r="BF1" i="2"/>
  <c r="BE1" i="2"/>
  <c r="BD1" i="2"/>
  <c r="BC1" i="2"/>
  <c r="BB1" i="2"/>
  <c r="BA1" i="2"/>
  <c r="AZ1" i="2"/>
  <c r="AY1" i="2"/>
  <c r="AX1" i="2"/>
  <c r="AW1" i="2"/>
  <c r="AV1" i="2"/>
  <c r="AU1" i="2"/>
  <c r="AT1" i="2"/>
  <c r="AS1" i="2"/>
  <c r="AR1" i="2"/>
  <c r="AQ1" i="2"/>
  <c r="AP1" i="2"/>
  <c r="AO1" i="2"/>
  <c r="AN1" i="2"/>
  <c r="AM1" i="2"/>
  <c r="AL1" i="2"/>
  <c r="AK1" i="2"/>
  <c r="AJ1" i="2"/>
  <c r="AI1" i="2"/>
  <c r="AH1" i="2"/>
  <c r="AG1" i="2"/>
  <c r="AF1" i="2"/>
  <c r="AE1" i="2"/>
  <c r="AD1" i="2"/>
  <c r="AC1" i="2"/>
  <c r="AB1" i="2"/>
  <c r="AA1" i="2"/>
  <c r="Z1" i="2"/>
  <c r="Y1" i="2"/>
  <c r="X1" i="2"/>
  <c r="W1" i="2"/>
  <c r="V1" i="2"/>
  <c r="U1" i="2"/>
  <c r="T1" i="2"/>
  <c r="S1" i="2"/>
  <c r="R1" i="2"/>
  <c r="Q1" i="2"/>
  <c r="P1" i="2"/>
  <c r="O1" i="2"/>
  <c r="N1" i="2"/>
  <c r="M1" i="2"/>
  <c r="L1" i="2"/>
  <c r="K1" i="2"/>
  <c r="J1" i="2"/>
  <c r="I1" i="2"/>
  <c r="H1" i="2"/>
  <c r="G1" i="2"/>
  <c r="F1" i="2"/>
  <c r="E1" i="2"/>
  <c r="D1" i="2"/>
  <c r="C1" i="2"/>
  <c r="B1" i="2"/>
  <c r="A1" i="2"/>
  <c r="O668" i="1"/>
  <c r="P668" i="1"/>
  <c r="X668" i="1"/>
  <c r="Z668" i="1"/>
  <c r="O695" i="1"/>
  <c r="P695" i="1"/>
  <c r="X695" i="1"/>
  <c r="Z695" i="1"/>
  <c r="O826" i="1"/>
  <c r="P826" i="1"/>
  <c r="X826" i="1"/>
  <c r="O175" i="1"/>
  <c r="P175" i="1"/>
  <c r="X175" i="1"/>
  <c r="Z175" i="1"/>
  <c r="O240" i="1"/>
  <c r="P240" i="1"/>
  <c r="X240" i="1"/>
  <c r="Z240" i="1"/>
  <c r="O305" i="1"/>
  <c r="P305" i="1"/>
  <c r="X305" i="1"/>
  <c r="Z305" i="1"/>
  <c r="O565" i="1"/>
  <c r="P565" i="1"/>
  <c r="X565" i="1"/>
  <c r="Z565" i="1"/>
  <c r="O630" i="1"/>
  <c r="P630" i="1"/>
  <c r="X630" i="1"/>
  <c r="Z630" i="1"/>
  <c r="O631" i="1"/>
  <c r="P631" i="1"/>
  <c r="X631" i="1"/>
  <c r="Z631" i="1"/>
  <c r="O632" i="1"/>
  <c r="P632" i="1"/>
  <c r="X632" i="1"/>
  <c r="Z632" i="1"/>
  <c r="O643" i="1"/>
  <c r="P643" i="1"/>
  <c r="X643" i="1"/>
  <c r="Z643" i="1"/>
  <c r="AV6" i="2"/>
  <c r="AI6" i="2"/>
  <c r="AF6" i="2"/>
  <c r="Y6" i="2"/>
  <c r="W6" i="2"/>
  <c r="O6" i="2"/>
  <c r="N6" i="2"/>
  <c r="AV5" i="2"/>
  <c r="AI5" i="2"/>
  <c r="AF5" i="2"/>
  <c r="Y5" i="2"/>
  <c r="W5" i="2"/>
  <c r="O5" i="2"/>
  <c r="N5" i="2"/>
  <c r="B5" i="2"/>
  <c r="AV4" i="2"/>
  <c r="AI4" i="2"/>
  <c r="AF4" i="2"/>
  <c r="Y4" i="2"/>
  <c r="W4" i="2"/>
  <c r="O4" i="2"/>
  <c r="N4" i="2"/>
  <c r="AG565" i="1"/>
  <c r="AJ565" i="1"/>
  <c r="AW565" i="1"/>
  <c r="AG26" i="1"/>
  <c r="AJ26" i="1"/>
  <c r="AW26" i="1"/>
  <c r="AG305" i="1"/>
  <c r="AJ305" i="1"/>
  <c r="AW305" i="1"/>
  <c r="AG240" i="1"/>
  <c r="AJ240" i="1"/>
  <c r="AW240" i="1"/>
  <c r="AG175" i="1"/>
  <c r="AW175" i="1"/>
  <c r="AG24" i="1"/>
  <c r="AJ24" i="1"/>
  <c r="AW24" i="1"/>
  <c r="AG42" i="1"/>
  <c r="AJ42" i="1"/>
  <c r="AW42" i="1"/>
  <c r="A1" i="1"/>
  <c r="B1" i="1"/>
  <c r="C1" i="1"/>
  <c r="E1" i="1"/>
  <c r="F1" i="1"/>
  <c r="G1" i="1"/>
  <c r="H1" i="1"/>
  <c r="I1" i="1"/>
  <c r="J1" i="1"/>
  <c r="K1" i="1"/>
  <c r="L1" i="1"/>
  <c r="M1" i="1"/>
  <c r="N1" i="1"/>
  <c r="O1" i="1"/>
  <c r="P1" i="1"/>
  <c r="Q1" i="1"/>
  <c r="R1" i="1"/>
  <c r="S1" i="1"/>
  <c r="T1" i="1"/>
  <c r="U1" i="1"/>
  <c r="V1" i="1"/>
  <c r="W1" i="1"/>
  <c r="X1" i="1"/>
  <c r="Y1" i="1"/>
  <c r="Z1" i="1"/>
  <c r="AA1" i="1"/>
  <c r="AB1" i="1"/>
  <c r="AC1" i="1"/>
  <c r="AD1" i="1"/>
  <c r="AE1" i="1"/>
  <c r="AF1" i="1"/>
  <c r="AG1" i="1"/>
  <c r="AH1" i="1"/>
  <c r="AI1" i="1"/>
  <c r="AJ1" i="1"/>
  <c r="AK1" i="1"/>
  <c r="AL1" i="1"/>
  <c r="AM1" i="1"/>
  <c r="AN1" i="1"/>
  <c r="AO1" i="1"/>
  <c r="AP1" i="1"/>
  <c r="AQ1" i="1"/>
  <c r="AR1" i="1"/>
  <c r="AS1" i="1"/>
  <c r="AT1" i="1"/>
  <c r="AU1" i="1"/>
  <c r="AV1" i="1"/>
  <c r="AW1" i="1"/>
  <c r="AX1" i="1"/>
  <c r="AY1" i="1"/>
  <c r="AZ1" i="1"/>
  <c r="BA1" i="1"/>
  <c r="BB1" i="1"/>
  <c r="BC1" i="1"/>
  <c r="BD1" i="1"/>
  <c r="BE1" i="1"/>
  <c r="BF1" i="1"/>
  <c r="BG1" i="1"/>
  <c r="BH1" i="1"/>
  <c r="BI1" i="1"/>
  <c r="BJ1" i="1"/>
  <c r="BK1" i="1"/>
  <c r="BL1" i="1"/>
  <c r="BM1" i="1"/>
  <c r="BN1" i="1"/>
  <c r="BO1" i="1"/>
  <c r="BP1" i="1"/>
  <c r="BQ1" i="1"/>
  <c r="BR1" i="1"/>
  <c r="BS1" i="1"/>
  <c r="BT1" i="1"/>
  <c r="BU1" i="1"/>
  <c r="BV1" i="1"/>
  <c r="BW1" i="1"/>
  <c r="BX1" i="1"/>
  <c r="BY1" i="1"/>
  <c r="BZ1" i="1"/>
  <c r="CA1" i="1"/>
  <c r="CB1" i="1"/>
  <c r="CC1" i="1"/>
  <c r="CD1" i="1"/>
  <c r="CE1" i="1"/>
  <c r="CF1" i="1"/>
  <c r="CG1" i="1"/>
  <c r="CH1" i="1"/>
  <c r="CI1" i="1"/>
  <c r="CJ1" i="1"/>
  <c r="CK1" i="1"/>
  <c r="CL1" i="1"/>
  <c r="CM1" i="1"/>
  <c r="CN1" i="1"/>
  <c r="CO1" i="1"/>
  <c r="CP1" i="1"/>
  <c r="CQ1" i="1"/>
  <c r="CR1" i="1"/>
  <c r="CS1" i="1"/>
  <c r="CT1" i="1"/>
  <c r="CU1" i="1"/>
  <c r="CV1" i="1"/>
  <c r="CW1" i="1"/>
  <c r="CX1" i="1"/>
  <c r="CY1" i="1"/>
  <c r="CZ1" i="1"/>
  <c r="DA1" i="1"/>
  <c r="DB1" i="1"/>
  <c r="DC1" i="1"/>
  <c r="DD1" i="1"/>
  <c r="DE1" i="1"/>
  <c r="DF1" i="1"/>
  <c r="DG1" i="1"/>
  <c r="DH1" i="1"/>
  <c r="DI1" i="1"/>
  <c r="DJ1" i="1"/>
  <c r="DK1" i="1"/>
  <c r="DL1" i="1"/>
  <c r="DM1" i="1"/>
  <c r="DN1" i="1"/>
  <c r="A2" i="1"/>
  <c r="B2" i="1"/>
  <c r="C2" i="1"/>
  <c r="E2" i="1"/>
  <c r="G2" i="1"/>
  <c r="I2" i="1"/>
  <c r="J2" i="1"/>
  <c r="K2" i="1"/>
  <c r="L2" i="1"/>
  <c r="R2" i="1"/>
  <c r="AJ2" i="1"/>
  <c r="AN2" i="1"/>
  <c r="AV2" i="1"/>
  <c r="AZ2" i="1"/>
  <c r="BF2" i="1"/>
  <c r="A3" i="1"/>
  <c r="B3" i="1"/>
  <c r="C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BJ3" i="1"/>
  <c r="BK3" i="1"/>
  <c r="BL3" i="1"/>
  <c r="BM3" i="1"/>
  <c r="BN3" i="1"/>
  <c r="BO3" i="1"/>
  <c r="BP3" i="1"/>
  <c r="BQ3" i="1"/>
  <c r="BR3" i="1"/>
  <c r="BS3" i="1"/>
  <c r="BT3" i="1"/>
  <c r="BU3" i="1"/>
  <c r="BV3" i="1"/>
  <c r="BW3" i="1"/>
  <c r="BX3" i="1"/>
  <c r="BY3" i="1"/>
  <c r="BZ3" i="1"/>
  <c r="CA3" i="1"/>
  <c r="CB3" i="1"/>
  <c r="CC3" i="1"/>
  <c r="CD3" i="1"/>
  <c r="CE3" i="1"/>
  <c r="CF3" i="1"/>
  <c r="CG3" i="1"/>
  <c r="CH3" i="1"/>
  <c r="CI3" i="1"/>
  <c r="CJ3" i="1"/>
  <c r="CK3" i="1"/>
  <c r="CL3" i="1"/>
  <c r="CM3" i="1"/>
  <c r="CN3" i="1"/>
  <c r="CO3" i="1"/>
  <c r="CP3" i="1"/>
  <c r="CQ3" i="1"/>
  <c r="CR3" i="1"/>
  <c r="AG37" i="1"/>
  <c r="AJ37" i="1"/>
  <c r="AW37" i="1"/>
  <c r="AG36" i="1"/>
  <c r="AJ36" i="1"/>
  <c r="AW36" i="1"/>
  <c r="AG30" i="1"/>
  <c r="AJ30" i="1"/>
  <c r="AW30" i="1"/>
  <c r="AG29" i="1"/>
  <c r="AJ29" i="1"/>
  <c r="AW29" i="1"/>
  <c r="AG28" i="1"/>
  <c r="AJ28" i="1"/>
  <c r="AW28" i="1"/>
  <c r="AG643" i="1"/>
  <c r="AJ643" i="1"/>
  <c r="AW643" i="1"/>
  <c r="AG27" i="1"/>
  <c r="AJ27" i="1"/>
  <c r="AW27" i="1"/>
  <c r="AG632" i="1"/>
  <c r="AJ632" i="1"/>
  <c r="AW632" i="1"/>
  <c r="AG631" i="1"/>
  <c r="AJ631" i="1"/>
  <c r="AW631" i="1"/>
  <c r="AG630" i="1"/>
  <c r="AJ630" i="1"/>
  <c r="AW630" i="1"/>
</calcChain>
</file>

<file path=xl/sharedStrings.xml><?xml version="1.0" encoding="utf-8"?>
<sst xmlns="http://schemas.openxmlformats.org/spreadsheetml/2006/main" count="3120" uniqueCount="241">
  <si>
    <t>13/10/16 13:06</t>
  </si>
  <si>
    <t>15/06/16</t>
  </si>
  <si>
    <t>19/07/16 10:32</t>
  </si>
  <si>
    <t>19/07/16 10:31</t>
  </si>
  <si>
    <t>15/06/16 22:02</t>
  </si>
  <si>
    <t>15/06/16 22:03</t>
  </si>
  <si>
    <t>15/06/16 22:04</t>
  </si>
  <si>
    <t>23/06/16 22:15</t>
  </si>
  <si>
    <t>27/07/16 21:41</t>
  </si>
  <si>
    <t>27/07/16 21:40</t>
  </si>
  <si>
    <t>27/07/16</t>
  </si>
  <si>
    <t>27/07/16 21:39</t>
  </si>
  <si>
    <t>23/06/16 22:13</t>
  </si>
  <si>
    <t>10.1.1</t>
  </si>
  <si>
    <t>10.1.2</t>
  </si>
  <si>
    <t>23/06/17</t>
  </si>
  <si>
    <t>23/06/18</t>
  </si>
  <si>
    <t>23/06/19</t>
  </si>
  <si>
    <t>23/06/22</t>
  </si>
  <si>
    <t>23/06/26</t>
  </si>
  <si>
    <t>23/06/27</t>
  </si>
  <si>
    <t>23/06/28</t>
  </si>
  <si>
    <t>23/06/29</t>
  </si>
  <si>
    <t>דירה מספר 16</t>
  </si>
  <si>
    <t>דירה מספר 17</t>
  </si>
  <si>
    <t>דירה מספר 20</t>
  </si>
  <si>
    <t>דירה מספר 21</t>
  </si>
  <si>
    <t>דירה מספר 24</t>
  </si>
  <si>
    <t>23/06/40</t>
  </si>
  <si>
    <t>23/06/41</t>
  </si>
  <si>
    <t>דירה מספר 27</t>
  </si>
  <si>
    <t>23/06/42</t>
  </si>
  <si>
    <t>דירה מספר 28</t>
  </si>
  <si>
    <t>23/06/43</t>
  </si>
  <si>
    <t>10.1.3</t>
  </si>
  <si>
    <t>10.1.4</t>
  </si>
  <si>
    <t>10.1.5</t>
  </si>
  <si>
    <t>10.1.6</t>
  </si>
  <si>
    <t>תשתיות ביציקה</t>
  </si>
  <si>
    <t>10.2.1</t>
  </si>
  <si>
    <t>10.2.2</t>
  </si>
  <si>
    <t>10.2.3</t>
  </si>
  <si>
    <t>10.2.4</t>
  </si>
  <si>
    <t>הארקת יסודות</t>
  </si>
  <si>
    <t>הזנות ראשיות לחשמל ותקשורת תשתית ביציקה קומת חניון</t>
  </si>
  <si>
    <t>גמר עבודות תשתית בחניון</t>
  </si>
  <si>
    <t>הספקת והתקנת אביזרי קצה וגופי תאורה בחניון</t>
  </si>
  <si>
    <t>הספקה והתקנת לוחות חשמל ציבוריים</t>
  </si>
  <si>
    <t>עבודות תשתית בפיתוח והתקנת גופי תאורה</t>
  </si>
  <si>
    <t>ביקורת חברת חשמל</t>
  </si>
  <si>
    <t>גמר עבודות גילוי אש</t>
  </si>
  <si>
    <t>ביצוע הזנות לדירות</t>
  </si>
  <si>
    <t>דירות</t>
  </si>
  <si>
    <t xml:space="preserve">   דירה מספר 01</t>
  </si>
  <si>
    <t xml:space="preserve">      תשתיות ביציקה</t>
  </si>
  <si>
    <t xml:space="preserve">      צנרת וכבילה</t>
  </si>
  <si>
    <t xml:space="preserve">      התקנת אביזרים</t>
  </si>
  <si>
    <t xml:space="preserve">      ביקורת במסירה</t>
  </si>
  <si>
    <t xml:space="preserve">   דירה מספר 02</t>
  </si>
  <si>
    <t xml:space="preserve">   דירה מספר 03</t>
  </si>
  <si>
    <t>10.3.1</t>
  </si>
  <si>
    <t>10.3.2</t>
  </si>
  <si>
    <t>10.3.3</t>
  </si>
  <si>
    <t>10.3.4</t>
  </si>
  <si>
    <t xml:space="preserve">   דירה מספר 04</t>
  </si>
  <si>
    <t>10.4.1</t>
  </si>
  <si>
    <t>10.4.2</t>
  </si>
  <si>
    <t>10.4.3</t>
  </si>
  <si>
    <t>10.4.4</t>
  </si>
  <si>
    <t xml:space="preserve">   דירה מספר 05</t>
  </si>
  <si>
    <t xml:space="preserve">   דירה מספר 06</t>
  </si>
  <si>
    <t xml:space="preserve">   דירה מספר 07</t>
  </si>
  <si>
    <t>10.10.3</t>
  </si>
  <si>
    <t>10.10.4</t>
  </si>
  <si>
    <t xml:space="preserve">   דירה מספר 11</t>
  </si>
  <si>
    <t>10.11.1</t>
  </si>
  <si>
    <t>10.11.2</t>
  </si>
  <si>
    <t>10.11.3</t>
  </si>
  <si>
    <t>10.11.4</t>
  </si>
  <si>
    <t xml:space="preserve">   דירה מספר 12</t>
  </si>
  <si>
    <t>10.12.1</t>
  </si>
  <si>
    <t xml:space="preserve">   דירה מספר 13</t>
  </si>
  <si>
    <t>10.13.1</t>
  </si>
  <si>
    <t>10.13.2</t>
  </si>
  <si>
    <t>10.13.3</t>
  </si>
  <si>
    <t>10.13.4</t>
  </si>
  <si>
    <t xml:space="preserve">   דירה מספר 14</t>
  </si>
  <si>
    <t>10.14.1</t>
  </si>
  <si>
    <t>10.14.2</t>
  </si>
  <si>
    <t>10.14.3</t>
  </si>
  <si>
    <t>10.14.4</t>
  </si>
  <si>
    <t xml:space="preserve">   דירה מספר 15</t>
  </si>
  <si>
    <t>10.15.1</t>
  </si>
  <si>
    <t>10.15.2</t>
  </si>
  <si>
    <t>10.15.3</t>
  </si>
  <si>
    <t>10.15.4</t>
  </si>
  <si>
    <t>10.16.1</t>
  </si>
  <si>
    <t>10.16.2</t>
  </si>
  <si>
    <t>10.16.3</t>
  </si>
  <si>
    <t>10.16.4</t>
  </si>
  <si>
    <t xml:space="preserve">   תשתיות ביציקה</t>
  </si>
  <si>
    <t xml:space="preserve">   צנרת וכבילה</t>
  </si>
  <si>
    <t xml:space="preserve">   התקנת אביזרים</t>
  </si>
  <si>
    <t xml:space="preserve">   ביקורת במסירה</t>
  </si>
  <si>
    <t>10.17.1</t>
  </si>
  <si>
    <t>10.19.1</t>
  </si>
  <si>
    <t>10.19.2</t>
  </si>
  <si>
    <t>10.19.3</t>
  </si>
  <si>
    <t>10.19.4</t>
  </si>
  <si>
    <t>10.20.1</t>
  </si>
  <si>
    <t>10.20.2</t>
  </si>
  <si>
    <t>10.20.3</t>
  </si>
  <si>
    <t>10.20.4</t>
  </si>
  <si>
    <t>10.23.1</t>
  </si>
  <si>
    <t>10.23.2</t>
  </si>
  <si>
    <t>10.23.3</t>
  </si>
  <si>
    <t>10.23.4</t>
  </si>
  <si>
    <t>10.24.1</t>
  </si>
  <si>
    <t>10.26.1</t>
  </si>
  <si>
    <t>10.26.2</t>
  </si>
  <si>
    <t>10.26.3</t>
  </si>
  <si>
    <t>10.26.4</t>
  </si>
  <si>
    <t>10.27.1</t>
  </si>
  <si>
    <t>10.27.2</t>
  </si>
  <si>
    <t>10.27.3</t>
  </si>
  <si>
    <t>10.27.4</t>
  </si>
  <si>
    <t>10.28.1</t>
  </si>
  <si>
    <t>10.28.2</t>
  </si>
  <si>
    <t>10.28.3</t>
  </si>
  <si>
    <t>10.28.4</t>
  </si>
  <si>
    <t xml:space="preserve">   הספקת צנרת ח"ח לאתר </t>
  </si>
  <si>
    <t xml:space="preserve">   התקנת צנרת ח"ח + חבלי משיכה </t>
  </si>
  <si>
    <t xml:space="preserve">   יציקת תיקרה חניון </t>
  </si>
  <si>
    <t xml:space="preserve">   גמר עבודות תשתית במחסנים </t>
  </si>
  <si>
    <t xml:space="preserve">   כבילה לנק' קצה חניון תאורה, שקעים, מנ"מ </t>
  </si>
  <si>
    <t xml:space="preserve">   אישור לוחות חשמל </t>
  </si>
  <si>
    <t xml:space="preserve">   הספקת לוחות חשמל </t>
  </si>
  <si>
    <t xml:space="preserve">   חיווט לוחות חשמל </t>
  </si>
  <si>
    <t xml:space="preserve">   הפעלה והרצה </t>
  </si>
  <si>
    <t xml:space="preserve">   אישור גופי תאורה </t>
  </si>
  <si>
    <t xml:space="preserve">   אישור אביזרי קצה </t>
  </si>
  <si>
    <t xml:space="preserve">   אספקת והתקנת אביזרים במחסנים וחניון </t>
  </si>
  <si>
    <t xml:space="preserve">   הספקה והתקנת גופי תאורה </t>
  </si>
  <si>
    <t xml:space="preserve">   ביצוע תעלות רשת בחניון </t>
  </si>
  <si>
    <t xml:space="preserve">   הספקת כבילה </t>
  </si>
  <si>
    <t xml:space="preserve">   התקנת כבילה ח"ח מנ"מ ...</t>
  </si>
  <si>
    <t xml:space="preserve">יחידה </t>
  </si>
  <si>
    <t>קופ' 55 תקן</t>
  </si>
  <si>
    <t>צינור שרשורי 20 מ"מ</t>
  </si>
  <si>
    <t>שלה פלס' בודד 16/20 (100יח')</t>
  </si>
  <si>
    <t>מ'</t>
  </si>
  <si>
    <t>יח'</t>
  </si>
  <si>
    <t xml:space="preserve">חב' </t>
  </si>
  <si>
    <t xml:space="preserve">יח' </t>
  </si>
  <si>
    <t>מריכף 20 חדש שחור/כתום</t>
  </si>
  <si>
    <t>מריכף 25 חדש שחור/כתום</t>
  </si>
  <si>
    <t>צינור 50 קוברה תקני שחור</t>
  </si>
  <si>
    <t>קופ' תקן 3 מודול תה"ט ללא מחיצות</t>
  </si>
  <si>
    <t>קופ' תקן 4 מודול תה"ט ללא מחיצות</t>
  </si>
  <si>
    <t>ספר״ צבע כחול</t>
  </si>
  <si>
    <t>חבק שחור 4.5 250 100) SAPISELCO)</t>
  </si>
  <si>
    <t>צינור מופה אדום 16 (20 חדש)</t>
  </si>
  <si>
    <t>מריכף 20 חדש ירוק</t>
  </si>
  <si>
    <t>מריכף 20 חדש כחול</t>
  </si>
  <si>
    <t>מריכף 20 חדש צהוב</t>
  </si>
  <si>
    <t>מריכף 25 חדש ירוק</t>
  </si>
  <si>
    <t>חוט 1.5 חום PVC קשיח</t>
  </si>
  <si>
    <t>חוט 1.5 צ/י PVC קשיח</t>
  </si>
  <si>
    <t>חוט 1.5 כחול PVC קשיח</t>
  </si>
  <si>
    <t>חוט 1.5 ח/ש PVC קשיח</t>
  </si>
  <si>
    <t>חוט 1.5 ח/כ PVC קשיח</t>
  </si>
  <si>
    <t>חוט 2.5 חום PVC קשיח</t>
  </si>
  <si>
    <t>חוט 2.5 צ/י PVC קשיח</t>
  </si>
  <si>
    <t>חוט 2.5 כחול PVC קשיח</t>
  </si>
  <si>
    <t>כבל טלפון (בתוף) 2X2X0.5 נחושת תקן 1155</t>
  </si>
  <si>
    <t>שלה פלס' בודד 23/25 (100 יחי)</t>
  </si>
  <si>
    <t>קופ' 70 תקן</t>
  </si>
  <si>
    <t>10.5.1</t>
  </si>
  <si>
    <t>10.5.2</t>
  </si>
  <si>
    <t>10.5.3</t>
  </si>
  <si>
    <t>10.5.4</t>
  </si>
  <si>
    <t>10.6.1</t>
  </si>
  <si>
    <t>10.6.2</t>
  </si>
  <si>
    <t>10.6.3</t>
  </si>
  <si>
    <t>10.6.4</t>
  </si>
  <si>
    <t>10.7.1</t>
  </si>
  <si>
    <t>10.7.2</t>
  </si>
  <si>
    <t>10.7.3</t>
  </si>
  <si>
    <t>10.7.4</t>
  </si>
  <si>
    <t xml:space="preserve">   דירה מספר 08</t>
  </si>
  <si>
    <t>10.8.1</t>
  </si>
  <si>
    <t>10.8.2</t>
  </si>
  <si>
    <t>דירה מספר 18</t>
  </si>
  <si>
    <t>10.18.1</t>
  </si>
  <si>
    <t>10.18.2</t>
  </si>
  <si>
    <t>10.18.3</t>
  </si>
  <si>
    <t>10.18.4</t>
  </si>
  <si>
    <t>10.17.2</t>
  </si>
  <si>
    <t>10.17.3</t>
  </si>
  <si>
    <t>10.17.4</t>
  </si>
  <si>
    <t>דירה מספר 19</t>
  </si>
  <si>
    <t>דירה מספר 22</t>
  </si>
  <si>
    <t>10.22.1</t>
  </si>
  <si>
    <t>10.22.2</t>
  </si>
  <si>
    <t>10.22.3</t>
  </si>
  <si>
    <t>10.22.4</t>
  </si>
  <si>
    <t>דירה מספר 23</t>
  </si>
  <si>
    <t>דירה מספר 25</t>
  </si>
  <si>
    <t>10.25.1</t>
  </si>
  <si>
    <t>10.25.2</t>
  </si>
  <si>
    <t>10.25.3</t>
  </si>
  <si>
    <t>10.25.4</t>
  </si>
  <si>
    <t>10.24.2</t>
  </si>
  <si>
    <t>10.24.3</t>
  </si>
  <si>
    <t>10.24.4</t>
  </si>
  <si>
    <t>דירה מספר 26</t>
  </si>
  <si>
    <t>ג'ל השחלה</t>
  </si>
  <si>
    <t>מהדק מס 1 פלסטי וויסבורד/א.נתך</t>
  </si>
  <si>
    <t>מהדק גמיש TRIDONIC מסי 2 (שורה של 12 יח)</t>
  </si>
  <si>
    <t>מפסק זרם שחור(גדול) חיצוני לדוד</t>
  </si>
  <si>
    <t>כבל TV לבן 6-RG תקני בתוף/מאר־ן</t>
  </si>
  <si>
    <t>שקע נח מוגן מים 1-SUPER NW</t>
  </si>
  <si>
    <t>נורה ליבון 60W שקוף</t>
  </si>
  <si>
    <t>קבלן משנה</t>
  </si>
  <si>
    <t xml:space="preserve">לוח חשמל </t>
  </si>
  <si>
    <t>בילתי צפוי</t>
  </si>
  <si>
    <t>קומפלט</t>
  </si>
  <si>
    <t>פס/פלח ר,ארקת יסוד 4*40</t>
  </si>
  <si>
    <t>צינור 110 קוברה תקני שחור</t>
  </si>
  <si>
    <t>תעלת רשת 500X85 מגולי</t>
  </si>
  <si>
    <t>מחבר עליון לעמוד</t>
  </si>
  <si>
    <t>צינור 75 קוברה תקני שחור</t>
  </si>
  <si>
    <t>אלקטרודה לריתוך 2.5 מ"מ (2.8ק"ג)</t>
  </si>
  <si>
    <t>חוט משיכה/קשירה 6 מ"מ (500 מי)</t>
  </si>
  <si>
    <t>לוח חשמל</t>
  </si>
  <si>
    <t>קופלט</t>
  </si>
  <si>
    <t>קבלן גילוי אש</t>
  </si>
  <si>
    <t>כבל 5X16 FR N2XY ממ״ר</t>
  </si>
  <si>
    <t>עמוד לחיבור זרועות גילונן חם U5050/3000F</t>
  </si>
  <si>
    <t xml:space="preserve">יומיות </t>
  </si>
  <si>
    <t>שקע כח מוגן מים 1-SUPER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</si>
</sst>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i/>
      <sz val="10"/>
      <color rgb="FF000000"/>
      <name val="Arial"/>
      <family val="2"/>
      <scheme val="minor"/>
    </font>
    <font>
      <b/>
      <i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rgb="FF000000"/>
      <name val="Arial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rgb="FFB1BBCC"/>
      </left>
      <right style="thin">
        <color rgb="FFB1BBCC"/>
      </right>
      <top style="thin">
        <color rgb="FFB1BBCC"/>
      </top>
      <bottom/>
      <diagonal/>
    </border>
    <border>
      <left style="thin">
        <color rgb="FFB1BBCC"/>
      </left>
      <right style="thin">
        <color rgb="FFB1BBCC"/>
      </right>
      <top/>
      <bottom style="thin">
        <color rgb="FFB1BBCC"/>
      </bottom>
      <diagonal/>
    </border>
    <border>
      <left style="thin">
        <color rgb="FFB1BBCC"/>
      </left>
      <right style="thin">
        <color rgb="FFB1BBC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49" fontId="0" fillId="0" borderId="0" xfId="0" applyNumberFormat="1"/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0" xfId="0" applyFont="1"/>
    <xf numFmtId="0" fontId="6" fillId="0" borderId="0" xfId="0" applyFont="1"/>
    <xf numFmtId="0" fontId="0" fillId="0" borderId="0" xfId="0" applyFill="1"/>
    <xf numFmtId="0" fontId="5" fillId="2" borderId="2" xfId="0" applyFont="1" applyFill="1" applyBorder="1" applyAlignment="1">
      <alignment vertical="center" wrapText="1"/>
    </xf>
    <xf numFmtId="0" fontId="0" fillId="0" borderId="0" xfId="0" applyFill="1" applyBorder="1" applyAlignment="1">
      <alignment horizontal="right"/>
    </xf>
    <xf numFmtId="0" fontId="7" fillId="0" borderId="0" xfId="0" applyFont="1" applyFill="1" applyBorder="1" applyAlignment="1">
      <alignment horizontal="right" vertical="center" readingOrder="2"/>
    </xf>
    <xf numFmtId="0" fontId="0" fillId="0" borderId="0" xfId="0" applyFill="1" applyBorder="1"/>
    <xf numFmtId="0" fontId="5" fillId="2" borderId="4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horizontal="right"/>
    </xf>
    <xf numFmtId="0" fontId="8" fillId="0" borderId="0" xfId="0" applyFont="1" applyFill="1" applyBorder="1"/>
    <xf numFmtId="0" fontId="8" fillId="0" borderId="0" xfId="0" applyFont="1" applyFill="1"/>
    <xf numFmtId="0" fontId="0" fillId="0" borderId="5" xfId="0" applyFill="1" applyBorder="1" applyAlignment="1">
      <alignment horizontal="right"/>
    </xf>
    <xf numFmtId="0" fontId="9" fillId="0" borderId="5" xfId="0" applyFont="1" applyFill="1" applyBorder="1" applyAlignment="1">
      <alignment horizontal="right" vertical="center" readingOrder="2"/>
    </xf>
    <xf numFmtId="0" fontId="0" fillId="0" borderId="5" xfId="0" applyFont="1" applyFill="1" applyBorder="1" applyAlignment="1">
      <alignment horizontal="right"/>
    </xf>
    <xf numFmtId="0" fontId="0" fillId="0" borderId="0" xfId="0" applyFont="1" applyFill="1" applyBorder="1" applyAlignment="1">
      <alignment horizontal="right"/>
    </xf>
    <xf numFmtId="0" fontId="5" fillId="2" borderId="0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1736"/>
  <sheetViews>
    <sheetView rightToLeft="1" tabSelected="1" topLeftCell="A1706" zoomScaleNormal="100" workbookViewId="0">
      <selection activeCell="C1726" sqref="C1726:D1731"/>
    </sheetView>
  </sheetViews>
  <sheetFormatPr defaultRowHeight="14.25" x14ac:dyDescent="0.2"/>
  <cols>
    <col min="1" max="1" width="11.75" style="4" customWidth="1"/>
    <col min="2" max="2" width="41.125" customWidth="1"/>
    <col min="10" max="24" width="0" hidden="1" customWidth="1"/>
    <col min="27" max="120" width="0" hidden="1" customWidth="1"/>
  </cols>
  <sheetData>
    <row r="1" spans="1:118" x14ac:dyDescent="0.2">
      <c r="A1" s="4" t="str">
        <f>"מס. לקוח"</f>
        <v>מס. לקוח</v>
      </c>
      <c r="B1" t="str">
        <f>"שם לקוח"</f>
        <v>שם לקוח</v>
      </c>
      <c r="C1" t="str">
        <f>"מס' פרויקט"</f>
        <v>מס' פרויקט</v>
      </c>
      <c r="E1" t="str">
        <f>"תאור פרויקט"</f>
        <v>תאור פרויקט</v>
      </c>
      <c r="F1" t="str">
        <f>"תאור לועזי"</f>
        <v>תאור לועזי</v>
      </c>
      <c r="G1" t="str">
        <f>"מנהל פרויקט"</f>
        <v>מנהל פרויקט</v>
      </c>
      <c r="H1" t="str">
        <f>"לווי פרויקט"</f>
        <v>לווי פרויקט</v>
      </c>
      <c r="I1" t="str">
        <f>"לחיוב?"</f>
        <v>לחיוב?</v>
      </c>
      <c r="J1" t="str">
        <f>"סטטוס"</f>
        <v>סטטוס</v>
      </c>
      <c r="K1" t="str">
        <f>"סוג פרויקט"</f>
        <v>סוג פרויקט</v>
      </c>
      <c r="L1" t="str">
        <f>"תאור סוג פרויקט"</f>
        <v>תאור סוג פרויקט</v>
      </c>
      <c r="M1" t="str">
        <f>"סווג נוסף לפרויקט"</f>
        <v>סווג נוסף לפרויקט</v>
      </c>
      <c r="N1" t="str">
        <f>"תאור סווג נוסף"</f>
        <v>תאור סווג נוסף</v>
      </c>
      <c r="O1" t="str">
        <f>"קוד סוג לקוח"</f>
        <v>קוד סוג לקוח</v>
      </c>
      <c r="P1" t="str">
        <f>"תאור סוג לקוח"</f>
        <v>תאור סוג לקוח</v>
      </c>
      <c r="Q1" t="str">
        <f>"ת. פתיחה"</f>
        <v>ת. פתיחה</v>
      </c>
      <c r="R1" t="str">
        <f>"חישוב עלויות אוטומטי"</f>
        <v>חישוב עלויות אוטומטי</v>
      </c>
      <c r="S1" t="str">
        <f>"ת. התקנה"</f>
        <v>ת. התקנה</v>
      </c>
      <c r="T1" t="str">
        <f>"משך אחריות (בחודשים)"</f>
        <v>משך אחריות (בחודשים)</v>
      </c>
      <c r="U1" t="str">
        <f>"קוד מחירון"</f>
        <v>קוד מחירון</v>
      </c>
      <c r="V1" t="str">
        <f>"פרטים"</f>
        <v>פרטים</v>
      </c>
      <c r="W1" t="str">
        <f>"עדכון במהדורות בלבד"</f>
        <v>עדכון במהדורות בלבד</v>
      </c>
      <c r="X1" t="str">
        <f>"מהדורה נוכחית"</f>
        <v>מהדורה נוכחית</v>
      </c>
      <c r="Y1" t="str">
        <f>"קובץ MS-PROJECT"</f>
        <v>קובץ MS-PROJECT</v>
      </c>
      <c r="Z1" t="str">
        <f>"מס' משתמשים"</f>
        <v>מס' משתמשים</v>
      </c>
      <c r="AA1" t="str">
        <f>"אסמכתא"</f>
        <v>אסמכתא</v>
      </c>
      <c r="AB1" t="str">
        <f>"ק""מ לחיוב"</f>
        <v>ק"מ לחיוב</v>
      </c>
      <c r="AC1" t="str">
        <f>"זמן דרך לחיוב"</f>
        <v>זמן דרך לחיוב</v>
      </c>
      <c r="AD1" t="str">
        <f>"ק""מ דווח פנימי"</f>
        <v>ק"מ דווח פנימי</v>
      </c>
      <c r="AE1" t="str">
        <f>"זמן דרך דווח פנימי"</f>
        <v>זמן דרך דווח פנימי</v>
      </c>
      <c r="AF1" t="str">
        <f>"סה""כ תכולה"</f>
        <v>סה"כ תכולה</v>
      </c>
      <c r="AG1" t="str">
        <f>"הנחה כללית (%)"</f>
        <v>הנחה כללית (%)</v>
      </c>
      <c r="AH1" t="str">
        <f>"מחיר אחרי הנחה"</f>
        <v>מחיר אחרי הנחה</v>
      </c>
      <c r="AI1" t="str">
        <f>"מע""מ"</f>
        <v>מע"מ</v>
      </c>
      <c r="AJ1" t="str">
        <f>"קוד מס"</f>
        <v>קוד מס</v>
      </c>
      <c r="AK1" t="str">
        <f>"סה""כ מחיר הפרויקט"</f>
        <v>סה"כ מחיר הפרויקט</v>
      </c>
      <c r="AL1" t="str">
        <f>"רווח לפי תוצ' סופיים"</f>
        <v>רווח לפי תוצ' סופיים</v>
      </c>
      <c r="AM1" t="str">
        <f>"ת. חישוב עלות"</f>
        <v>ת. חישוב עלות</v>
      </c>
      <c r="AN1" t="str">
        <f>"מטבע"</f>
        <v>מטבע</v>
      </c>
      <c r="AO1" t="str">
        <f>"מחיר שרות"</f>
        <v>מחיר שרות</v>
      </c>
      <c r="AP1" t="str">
        <f>"סה""כ מחיר מתוכנן"</f>
        <v>סה"כ מחיר מתוכנן</v>
      </c>
      <c r="AQ1" t="str">
        <f>"עלות חומר מצטברת"</f>
        <v>עלות חומר מצטברת</v>
      </c>
      <c r="AR1" t="str">
        <f>"ת. שינוי אחרון"</f>
        <v>ת. שינוי אחרון</v>
      </c>
      <c r="AS1" t="str">
        <f>"עלות עבודה מצטברת"</f>
        <v>עלות עבודה מצטברת</v>
      </c>
      <c r="AT1" t="str">
        <f>"סה""כ עלות מתוכננת"</f>
        <v>סה"כ עלות מתוכננת</v>
      </c>
      <c r="AU1" t="str">
        <f>"סה""כ רווח מתוכנן"</f>
        <v>סה"כ רווח מתוכנן</v>
      </c>
      <c r="AV1" t="str">
        <f>"מטבע"</f>
        <v>מטבע</v>
      </c>
      <c r="AW1" t="str">
        <f>"תכנון שעות מצטבר"</f>
        <v>תכנון שעות מצטבר</v>
      </c>
      <c r="AX1" t="str">
        <f>"ביצוע רכש?"</f>
        <v>ביצוע רכש?</v>
      </c>
      <c r="AY1" t="str">
        <f>"איש קשר"</f>
        <v>איש קשר</v>
      </c>
      <c r="AZ1" t="str">
        <f>"טלפון"</f>
        <v>טלפון</v>
      </c>
      <c r="BA1" t="str">
        <f>"נספחים?"</f>
        <v>נספחים?</v>
      </c>
      <c r="BB1" t="str">
        <f>"לא נכלל בבילינג ?"</f>
        <v>לא נכלל בבילינג ?</v>
      </c>
      <c r="BC1" t="str">
        <f>"פרויקט לא לדווח?"</f>
        <v>פרויקט לא לדווח?</v>
      </c>
      <c r="BD1" t="str">
        <f>"שעות לא לחיוב?"</f>
        <v>שעות לא לחיוב?</v>
      </c>
      <c r="BE1" t="str">
        <f>"אישור שעות?"</f>
        <v>אישור שעות?</v>
      </c>
      <c r="BF1" t="str">
        <f>"חתימה"</f>
        <v>חתימה</v>
      </c>
      <c r="BG1" t="str">
        <f>"ת. חתימה"</f>
        <v>ת. חתימה</v>
      </c>
      <c r="BH1" t="str">
        <f>"תאריך התחלה בפועל"</f>
        <v>תאריך התחלה בפועל</v>
      </c>
      <c r="BI1" t="str">
        <f>"תאריך צו התחלת עבודה"</f>
        <v>תאריך צו התחלת עבודה</v>
      </c>
      <c r="BJ1" t="str">
        <f>"תאריך סיום בצוע חוזי"</f>
        <v>תאריך סיום בצוע חוזי</v>
      </c>
      <c r="BK1" t="str">
        <f>"תאריך סיום משוער"</f>
        <v>תאריך סיום משוער</v>
      </c>
      <c r="BL1" t="str">
        <f>"משך בחודשים חוזי"</f>
        <v>משך בחודשים חוזי</v>
      </c>
      <c r="BM1" t="str">
        <f>"משך בחודשים משוער"</f>
        <v>משך בחודשים משוער</v>
      </c>
      <c r="BN1" t="str">
        <f>"ניהול רב מטבעי"</f>
        <v>ניהול רב מטבעי</v>
      </c>
      <c r="BO1" t="str">
        <f>"תאריך לשערוך מטבעות"</f>
        <v>תאריך לשערוך מטבעות</v>
      </c>
      <c r="BP1" t="str">
        <f>"שטח (מ""ר)"</f>
        <v>שטח (מ"ר)</v>
      </c>
      <c r="BQ1" t="str">
        <f>"מרכז רווח/עלות"</f>
        <v>מרכז רווח/עלות</v>
      </c>
      <c r="BR1" t="str">
        <f>"תאור מרכז רווח/עלות"</f>
        <v>תאור מרכז רווח/עלות</v>
      </c>
      <c r="BS1" t="str">
        <f>"מספר בניינים"</f>
        <v>מספר בניינים</v>
      </c>
      <c r="BT1" t="str">
        <f>"מספר קומות"</f>
        <v>מספר קומות</v>
      </c>
      <c r="BU1" t="str">
        <f>"כמות יחידות דיור"</f>
        <v>כמות יחידות דיור</v>
      </c>
      <c r="BV1" t="str">
        <f>"היקף פרויקט(ח.מזמין)"</f>
        <v>היקף פרויקט(ח.מזמין)</v>
      </c>
      <c r="BW1" t="str">
        <f>"הקף פרויקט- צפי לגמר"</f>
        <v>הקף פרויקט- צפי לגמר</v>
      </c>
      <c r="BX1" t="str">
        <f>"התראת חריגה מתקציב"</f>
        <v>התראת חריגה מתקציב</v>
      </c>
      <c r="BY1" t="str">
        <f>"% תרומה"</f>
        <v>% תרומה</v>
      </c>
      <c r="BZ1" t="str">
        <f>"פרוייקט כללי"</f>
        <v>פרוייקט כללי</v>
      </c>
      <c r="CA1" t="str">
        <f>"מס. מזמין ראשי"</f>
        <v>מס. מזמין ראשי</v>
      </c>
      <c r="CB1" t="str">
        <f>"אחוז הוצאות מטה"</f>
        <v>אחוז הוצאות מטה</v>
      </c>
      <c r="CC1" t="str">
        <f>"שם מזמין ראשי"</f>
        <v>שם מזמין ראשי</v>
      </c>
      <c r="CD1" t="str">
        <f>"מכרז ""חם"""</f>
        <v>מכרז "חם"</v>
      </c>
      <c r="CE1" t="str">
        <f>"לא לבקרה?"</f>
        <v>לא לבקרה?</v>
      </c>
      <c r="CF1" t="str">
        <f>"מספר מכרז פנימי"</f>
        <v>מספר מכרז פנימי</v>
      </c>
      <c r="CG1" t="str">
        <f>"מספר מכרז פומבי"</f>
        <v>מספר מכרז פומבי</v>
      </c>
      <c r="CH1" t="str">
        <f>"עדכון לפי אזורים"</f>
        <v>עדכון לפי אזורים</v>
      </c>
      <c r="CI1" t="str">
        <f>"עדכון צפי לפי סעיפים"</f>
        <v>עדכון צפי לפי סעיפים</v>
      </c>
      <c r="CJ1" t="str">
        <f>"פרויקט מרכז"</f>
        <v>פרויקט מרכז</v>
      </c>
      <c r="CK1" t="str">
        <f>"מס. קבלן זוכה"</f>
        <v>מס. קבלן זוכה</v>
      </c>
      <c r="CL1" t="str">
        <f>"תאור קבלן זוכה"</f>
        <v>תאור קבלן זוכה</v>
      </c>
      <c r="CM1" t="str">
        <f>"סכום זכייה"</f>
        <v>סכום זכייה</v>
      </c>
      <c r="CN1" t="str">
        <f>"תאריך קבלת מכרז"</f>
        <v>תאריך קבלת מכרז</v>
      </c>
      <c r="CO1" t="str">
        <f>"תאריך יעד להגשה"</f>
        <v>תאריך יעד להגשה</v>
      </c>
      <c r="CP1" t="str">
        <f>"תאריך הגשה בפועל"</f>
        <v>תאריך הגשה בפועל</v>
      </c>
      <c r="CQ1" t="str">
        <f>"ר. מאשרים לדרישת רכש"</f>
        <v>ר. מאשרים לדרישת רכש</v>
      </c>
      <c r="CR1" t="str">
        <f>"תאור ר.לדרישת רכש"</f>
        <v>תאור ר.לדרישת רכש</v>
      </c>
      <c r="CS1" t="str">
        <f>"קישור תת פרק לבקרה"</f>
        <v>קישור תת פרק לבקרה</v>
      </c>
      <c r="CT1" t="str">
        <f>"ר. מאשרים להזמנת רכש"</f>
        <v>ר. מאשרים להזמנת רכש</v>
      </c>
      <c r="CU1" t="str">
        <f>"תאור ר.להזמנת רכש"</f>
        <v>תאור ר.להזמנת רכש</v>
      </c>
      <c r="CV1" t="str">
        <f>"קוד פורמט"</f>
        <v>קוד פורמט</v>
      </c>
      <c r="CW1" t="str">
        <f>"הקפאת תקציב מ.מכרז"</f>
        <v>הקפאת תקציב מ.מכרז</v>
      </c>
      <c r="CX1" t="str">
        <f>"פורמט הגשה"</f>
        <v>פורמט הגשה</v>
      </c>
      <c r="CY1" t="str">
        <f>"קוד סוג מכרז"</f>
        <v>קוד סוג מכרז</v>
      </c>
      <c r="CZ1" t="str">
        <f>"תאור סוג מכרז"</f>
        <v>תאור סוג מכרז</v>
      </c>
      <c r="DA1" t="str">
        <f>"הערות להגשה"</f>
        <v>הערות להגשה</v>
      </c>
      <c r="DB1" t="str">
        <f>"הערות מזמין להגשה"</f>
        <v>הערות מזמין להגשה</v>
      </c>
      <c r="DC1" t="str">
        <f>"היקף עבודה במ""ר"</f>
        <v>היקף עבודה במ"ר</v>
      </c>
      <c r="DD1" t="str">
        <f>"תאריך סיור קבלנים"</f>
        <v>תאריך סיור קבלנים</v>
      </c>
      <c r="DE1" t="str">
        <f>"מנהל עבודה"</f>
        <v>מנהל עבודה</v>
      </c>
      <c r="DF1" t="str">
        <f>"תאור עבודה"</f>
        <v>תאור עבודה</v>
      </c>
      <c r="DG1" t="str">
        <f>"קבלן ראשי"</f>
        <v>קבלן ראשי</v>
      </c>
      <c r="DH1" t="str">
        <f>"משתתפים בסיור"</f>
        <v>משתתפים בסיור</v>
      </c>
      <c r="DI1" t="str">
        <f>"אחראי גביה"</f>
        <v>אחראי גביה</v>
      </c>
      <c r="DJ1" t="str">
        <f>"סניף"</f>
        <v>סניף</v>
      </c>
      <c r="DK1" t="str">
        <f>"תאור הסניף"</f>
        <v>תאור הסניף</v>
      </c>
      <c r="DL1" t="str">
        <f>"אחוז ב.צ.מ"</f>
        <v>אחוז ב.צ.מ</v>
      </c>
      <c r="DM1" t="str">
        <f>"אחוז רווח"</f>
        <v>אחוז רווח</v>
      </c>
      <c r="DN1" t="str">
        <f>"ריבוי תתי פרקים"</f>
        <v>ריבוי תתי פרקים</v>
      </c>
    </row>
    <row r="2" spans="1:118" x14ac:dyDescent="0.2">
      <c r="A2" s="4" t="str">
        <f>"3038"</f>
        <v>3038</v>
      </c>
      <c r="B2" t="str">
        <f>"פורמה פרוייקטים בע""מ"</f>
        <v>פורמה פרוייקטים בע"מ</v>
      </c>
      <c r="C2" t="str">
        <f>"PR16000006"</f>
        <v>PR16000006</v>
      </c>
      <c r="E2" t="str">
        <f>"בשביס זינגר ת""א  28 קוטג'ים"</f>
        <v>בשביס זינגר ת"א  28 קוטג'ים</v>
      </c>
      <c r="G2" t="str">
        <f>"אופיר"</f>
        <v>אופיר</v>
      </c>
      <c r="I2" t="str">
        <f>"Y"</f>
        <v>Y</v>
      </c>
      <c r="J2" t="str">
        <f>"טיוטא"</f>
        <v>טיוטא</v>
      </c>
      <c r="K2" t="str">
        <f>"02"</f>
        <v>02</v>
      </c>
      <c r="L2" t="str">
        <f>"מגורים"</f>
        <v>מגורים</v>
      </c>
      <c r="Q2" s="1">
        <v>42618</v>
      </c>
      <c r="R2" t="str">
        <f>"Y"</f>
        <v>Y</v>
      </c>
      <c r="T2">
        <v>0</v>
      </c>
      <c r="X2">
        <v>1</v>
      </c>
      <c r="Z2">
        <v>0</v>
      </c>
      <c r="AB2">
        <v>0</v>
      </c>
      <c r="AC2" s="2">
        <v>0</v>
      </c>
      <c r="AD2">
        <v>0</v>
      </c>
      <c r="AE2" s="2">
        <v>0</v>
      </c>
      <c r="AF2">
        <v>0</v>
      </c>
      <c r="AG2">
        <v>0</v>
      </c>
      <c r="AH2">
        <v>0</v>
      </c>
      <c r="AI2">
        <v>0</v>
      </c>
      <c r="AJ2" t="str">
        <f>"001"</f>
        <v>001</v>
      </c>
      <c r="AK2">
        <v>0</v>
      </c>
      <c r="AL2">
        <v>-6840</v>
      </c>
      <c r="AM2" t="s">
        <v>0</v>
      </c>
      <c r="AN2" t="str">
        <f>"ש""ח"</f>
        <v>ש"ח</v>
      </c>
      <c r="AO2">
        <v>0</v>
      </c>
      <c r="AP2">
        <v>2005412.96</v>
      </c>
      <c r="AQ2">
        <v>6840</v>
      </c>
      <c r="AS2">
        <v>0</v>
      </c>
      <c r="AT2">
        <v>6840</v>
      </c>
      <c r="AU2">
        <v>1998572.96</v>
      </c>
      <c r="AV2" t="str">
        <f>"ש""ח"</f>
        <v>ש"ח</v>
      </c>
      <c r="AW2">
        <v>0</v>
      </c>
      <c r="AZ2" t="str">
        <f>"035383838"</f>
        <v>035383838</v>
      </c>
      <c r="BF2" t="str">
        <f>"אופיר"</f>
        <v>אופיר</v>
      </c>
      <c r="BG2" s="3">
        <v>42618.966666666667</v>
      </c>
      <c r="BL2">
        <v>1</v>
      </c>
      <c r="BM2">
        <v>1</v>
      </c>
      <c r="BP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CB2">
        <v>0</v>
      </c>
      <c r="CM2">
        <v>0</v>
      </c>
      <c r="DC2">
        <v>0</v>
      </c>
      <c r="DL2">
        <v>0</v>
      </c>
      <c r="DM2">
        <v>0</v>
      </c>
      <c r="DN2">
        <v>0</v>
      </c>
    </row>
    <row r="3" spans="1:118" x14ac:dyDescent="0.2">
      <c r="A3" s="4" t="str">
        <f>"מספר פעילות (WBS)"</f>
        <v>מספר פעילות (WBS)</v>
      </c>
      <c r="B3" t="str">
        <f>"שם פעילות"</f>
        <v>שם פעילות</v>
      </c>
      <c r="C3" t="str">
        <f>"כמות"</f>
        <v>כמות</v>
      </c>
      <c r="D3" t="s">
        <v>146</v>
      </c>
      <c r="E3" t="str">
        <f>"מחיר ליחידה"</f>
        <v>מחיר ליחידה</v>
      </c>
      <c r="F3" t="str">
        <f>"אבן דרך"</f>
        <v>אבן דרך</v>
      </c>
      <c r="G3" t="str">
        <f>"אחוז ביצוע"</f>
        <v>אחוז ביצוע</v>
      </c>
      <c r="H3" t="str">
        <f>"מבוטל"</f>
        <v>מבוטל</v>
      </c>
      <c r="I3" t="str">
        <f>"רמה"</f>
        <v>רמה</v>
      </c>
      <c r="J3" t="str">
        <f>"ת. התחלה"</f>
        <v>ת. התחלה</v>
      </c>
      <c r="K3" t="str">
        <f>"ת. סיום"</f>
        <v>ת. סיום</v>
      </c>
      <c r="L3" t="str">
        <f>"עדיפות ביצוע"</f>
        <v>עדיפות ביצוע</v>
      </c>
      <c r="M3" t="str">
        <f>"הערה"</f>
        <v>הערה</v>
      </c>
      <c r="N3" t="str">
        <f>"ת. סיום בפועל"</f>
        <v>ת. סיום בפועל</v>
      </c>
      <c r="O3" t="str">
        <f>"סטטוס לפעילות"</f>
        <v>סטטוס לפעילות</v>
      </c>
      <c r="P3" t="str">
        <f>"באחריות"</f>
        <v>באחריות</v>
      </c>
      <c r="Q3" t="str">
        <f>"משאבי אנוש"</f>
        <v>משאבי אנוש</v>
      </c>
      <c r="R3" t="str">
        <f>"כמות שעות"</f>
        <v>כמות שעות</v>
      </c>
      <c r="S3" t="str">
        <f>"סוג פעילות"</f>
        <v>סוג פעילות</v>
      </c>
      <c r="T3" t="str">
        <f>"תאור סוג פעילות"</f>
        <v>תאור סוג פעילות</v>
      </c>
      <c r="U3" t="str">
        <f>"תוצר"</f>
        <v>תוצר</v>
      </c>
      <c r="V3" t="str">
        <f>"תאור תוצר"</f>
        <v>תאור תוצר</v>
      </c>
      <c r="W3" t="str">
        <f>"יחידה"</f>
        <v>יחידה</v>
      </c>
      <c r="X3" t="str">
        <f>"מטבע שורה"</f>
        <v>מטבע שורה</v>
      </c>
      <c r="Y3" t="str">
        <f>"סה""כ מחיר הגשה"</f>
        <v>סה"כ מחיר הגשה</v>
      </c>
      <c r="Z3" t="str">
        <f>"מטבע פרויקט"</f>
        <v>מטבע פרויקט</v>
      </c>
      <c r="AA3" t="str">
        <f>"עלות עבודה לפעילות"</f>
        <v>עלות עבודה לפעילות</v>
      </c>
      <c r="AB3" t="str">
        <f>"עלות חומר לפעילות"</f>
        <v>עלות חומר לפעילות</v>
      </c>
      <c r="AC3" t="str">
        <f>"סה""כ עלות לפעילות"</f>
        <v>סה"כ עלות לפעילות</v>
      </c>
      <c r="AD3" t="str">
        <f>"עלות עבודה מצטברת"</f>
        <v>עלות עבודה מצטברת</v>
      </c>
      <c r="AE3" t="str">
        <f>"עלות חומר מצטברת"</f>
        <v>עלות חומר מצטברת</v>
      </c>
      <c r="AF3" t="str">
        <f>"סה""כ עלות מצטברת"</f>
        <v>סה"כ עלות מצטברת</v>
      </c>
      <c r="AG3" t="str">
        <f>"מטבע פרויקט"</f>
        <v>מטבע פרויקט</v>
      </c>
      <c r="AH3" t="str">
        <f>"תכנון שעות לפעילות"</f>
        <v>תכנון שעות לפעילות</v>
      </c>
      <c r="AI3" t="str">
        <f>"תכנון שעות מצטבר"</f>
        <v>תכנון שעות מצטבר</v>
      </c>
      <c r="AJ3" t="str">
        <f>"מקור מחיר"</f>
        <v>מקור מחיר</v>
      </c>
      <c r="AK3" t="str">
        <f>"שער חליפין"</f>
        <v>שער חליפין</v>
      </c>
      <c r="AL3" t="str">
        <f>"מספר מסמך תכולה"</f>
        <v>מספר מסמך תכולה</v>
      </c>
      <c r="AM3" t="str">
        <f>"תאור המסמך"</f>
        <v>תאור המסמך</v>
      </c>
      <c r="AN3" t="str">
        <f>"תאריך המסמך"</f>
        <v>תאריך המסמך</v>
      </c>
      <c r="AO3" t="str">
        <f>"סעיף תכולת פרויקט"</f>
        <v>סעיף תכולת פרויקט</v>
      </c>
      <c r="AP3" t="str">
        <f>"תאור תכולה"</f>
        <v>תאור תכולה</v>
      </c>
      <c r="AQ3" t="str">
        <f>"מספר תכולת פרויקט"</f>
        <v>מספר תכולת פרויקט</v>
      </c>
      <c r="AR3" t="str">
        <f>"תת פרויקט"</f>
        <v>תת פרויקט</v>
      </c>
      <c r="AS3" t="str">
        <f>"תאור פרויקט"</f>
        <v>תאור פרויקט</v>
      </c>
      <c r="AT3" t="str">
        <f>"ת. פתיחה"</f>
        <v>ת. פתיחה</v>
      </c>
      <c r="AU3" t="str">
        <f>"מנהל הפרויקט"</f>
        <v>מנהל הפרויקט</v>
      </c>
      <c r="AV3" t="str">
        <f>"נספחים?"</f>
        <v>נספחים?</v>
      </c>
      <c r="AW3" t="str">
        <f>"חתימה"</f>
        <v>חתימה</v>
      </c>
      <c r="AX3" t="str">
        <f>"ת. חתימה"</f>
        <v>ת. חתימה</v>
      </c>
      <c r="AY3" t="str">
        <f>"מספר פעילות"</f>
        <v>מספר פעילות</v>
      </c>
      <c r="AZ3" t="str">
        <f>"אחוז התקדמות ב.ת"</f>
        <v>אחוז התקדמות ב.ת</v>
      </c>
      <c r="BA3" t="str">
        <f>"כמות התקדמות"</f>
        <v>כמות התקדמות</v>
      </c>
      <c r="BB3" t="str">
        <f>"ערך התקדמות"</f>
        <v>ערך התקדמות</v>
      </c>
      <c r="BC3" t="str">
        <f>"עדכ. ידני של התקדמות"</f>
        <v>עדכ. ידני של התקדמות</v>
      </c>
      <c r="BD3" t="str">
        <f>"חוזה מזמין"</f>
        <v>חוזה מזמין</v>
      </c>
      <c r="BE3" t="str">
        <f>"סעיף חוזה מזמין"</f>
        <v>סעיף חוזה מזמין</v>
      </c>
      <c r="BF3" t="str">
        <f>"תת פרק בקרה תקציבית"</f>
        <v>תת פרק בקרה תקציבית</v>
      </c>
      <c r="BG3" t="str">
        <f>"תאור תת פרק בקרה"</f>
        <v>תאור תת פרק בקרה</v>
      </c>
      <c r="BH3" t="str">
        <f>"תת מכרז"</f>
        <v>תת מכרז</v>
      </c>
      <c r="BI3" t="str">
        <f>"תאור תת מכרז"</f>
        <v>תאור תת מכרז</v>
      </c>
      <c r="BJ3" t="str">
        <f>"סה""כ עלות חל.לפעילות"</f>
        <v>סה"כ עלות חל.לפעילות</v>
      </c>
      <c r="BK3" t="str">
        <f>"סה""כ מחיר חלופה"</f>
        <v>סה"כ מחיר חלופה</v>
      </c>
      <c r="BL3" t="str">
        <f>"לא לסיכום?"</f>
        <v>לא לסיכום?</v>
      </c>
      <c r="BM3" t="str">
        <f>"תנאים מיוחדים"</f>
        <v>תנאים מיוחדים</v>
      </c>
      <c r="BN3" t="str">
        <f>"מחיר הגשה ליח'"</f>
        <v>מחיר הגשה ליח'</v>
      </c>
      <c r="BO3" t="str">
        <f>"עלות ליחידה"</f>
        <v>עלות ליחידה</v>
      </c>
      <c r="BP3" t="str">
        <f>"מקובע"</f>
        <v>מקובע</v>
      </c>
      <c r="BQ3" t="str">
        <f>"עקיפות?"</f>
        <v>עקיפות?</v>
      </c>
      <c r="BR3" t="str">
        <f>"עדכון לפי אזורים"</f>
        <v>עדכון לפי אזורים</v>
      </c>
      <c r="BS3" t="str">
        <f>"הוזן מחוזה?"</f>
        <v>הוזן מחוזה?</v>
      </c>
      <c r="BT3" t="str">
        <f>"קיבוע מחיר?"</f>
        <v>קיבוע מחיר?</v>
      </c>
      <c r="BU3" t="str">
        <f>"הכלת כל המשאבים?"</f>
        <v>הכלת כל המשאבים?</v>
      </c>
      <c r="BV3" t="str">
        <f>"הנחה לעלות"</f>
        <v>הנחה לעלות</v>
      </c>
      <c r="BW3" t="str">
        <f>"סה""כ העמסה"</f>
        <v>סה"כ העמסה</v>
      </c>
      <c r="BX3" t="str">
        <f>"מחיר מצטבר לרמה"</f>
        <v>מחיר מצטבר לרמה</v>
      </c>
      <c r="BY3" t="str">
        <f>"הערות להנדסת מכרז"</f>
        <v>הערות להנדסת מכרז</v>
      </c>
      <c r="BZ3" t="str">
        <f>"קיימים משאבים?"</f>
        <v>קיימים משאבים?</v>
      </c>
      <c r="CA3" t="str">
        <f>"כמות צפי"</f>
        <v>כמות צפי</v>
      </c>
      <c r="CB3" t="str">
        <f>"שטח הבנין - עילי"</f>
        <v>שטח הבנין - עילי</v>
      </c>
      <c r="CC3" t="str">
        <f>"שטח הבנין - מרתף"</f>
        <v>שטח הבנין - מרתף</v>
      </c>
      <c r="CD3" t="str">
        <f>"מס. קומות בבנין עילי"</f>
        <v>מס. קומות בבנין עילי</v>
      </c>
      <c r="CE3" t="str">
        <f>"מס. קומות בבנין מרתף"</f>
        <v>מס. קומות בבנין מרתף</v>
      </c>
      <c r="CF3" t="str">
        <f>"סטנדרט"</f>
        <v>סטנדרט</v>
      </c>
      <c r="CG3" t="str">
        <f>"קוד סיווג למבנה"</f>
        <v>קוד סיווג למבנה</v>
      </c>
      <c r="CH3" t="str">
        <f>"תאור סיווג למבנה"</f>
        <v>תאור סיווג למבנה</v>
      </c>
      <c r="CI3" t="str">
        <f>"מבנה"</f>
        <v>מבנה</v>
      </c>
      <c r="CJ3" t="str">
        <f>"פרק"</f>
        <v>פרק</v>
      </c>
      <c r="CK3" t="str">
        <f>"תת פרק"</f>
        <v>תת פרק</v>
      </c>
      <c r="CL3" t="str">
        <f>"סעיף"</f>
        <v>סעיף</v>
      </c>
      <c r="CM3" t="str">
        <f>"אחוז תרומה"</f>
        <v>אחוז תרומה</v>
      </c>
      <c r="CN3" t="str">
        <f>"אחוז העמסה"</f>
        <v>אחוז העמסה</v>
      </c>
      <c r="CO3" t="str">
        <f>"מקור לחישוב"</f>
        <v>מקור לחישוב</v>
      </c>
      <c r="CP3" t="str">
        <f>"הערה?"</f>
        <v>הערה?</v>
      </c>
      <c r="CQ3" t="str">
        <f>"עודכן תקציב גורף?"</f>
        <v>עודכן תקציב גורף?</v>
      </c>
      <c r="CR3" t="str">
        <f>"דווח התקדמות במהדורה"</f>
        <v>דווח התקדמות במהדורה</v>
      </c>
    </row>
    <row r="4" spans="1:118" ht="15" x14ac:dyDescent="0.25">
      <c r="A4" s="6">
        <v>1</v>
      </c>
      <c r="B4" s="6" t="s">
        <v>43</v>
      </c>
      <c r="C4" s="7">
        <v>1</v>
      </c>
      <c r="D4" s="7"/>
      <c r="E4" s="7">
        <v>43520</v>
      </c>
      <c r="F4" s="7" t="str">
        <f t="shared" ref="F4:F7" si="0">"Y"</f>
        <v>Y</v>
      </c>
      <c r="G4" s="7">
        <v>80</v>
      </c>
      <c r="H4" s="7"/>
      <c r="I4" s="7">
        <v>1</v>
      </c>
      <c r="J4" s="7" t="s">
        <v>1</v>
      </c>
      <c r="K4" s="7"/>
      <c r="L4" s="7">
        <v>0</v>
      </c>
      <c r="M4" s="7"/>
      <c r="N4" s="7"/>
      <c r="O4" s="7" t="str">
        <f t="shared" ref="O4:O7" si="1">"טיוטא"</f>
        <v>טיוטא</v>
      </c>
      <c r="P4" s="7" t="str">
        <f t="shared" ref="P4:P7" si="2">"אופיר"</f>
        <v>אופיר</v>
      </c>
      <c r="Q4" s="7"/>
      <c r="R4" s="7">
        <v>0</v>
      </c>
      <c r="S4" s="7"/>
      <c r="T4" s="7"/>
      <c r="U4" s="7"/>
      <c r="V4" s="7"/>
      <c r="W4" s="7"/>
      <c r="X4" s="7" t="str">
        <f t="shared" ref="X4:X7" si="3">"ש""ח"</f>
        <v>ש"ח</v>
      </c>
      <c r="Y4" s="7">
        <v>43520</v>
      </c>
      <c r="Z4" s="7" t="str">
        <f t="shared" ref="Z4:Z7" si="4">"ש""ח"</f>
        <v>ש"ח</v>
      </c>
    </row>
    <row r="5" spans="1:118" ht="15" x14ac:dyDescent="0.25">
      <c r="A5" s="19">
        <v>408120</v>
      </c>
      <c r="B5" s="21" t="s">
        <v>227</v>
      </c>
      <c r="C5" s="7">
        <v>10</v>
      </c>
      <c r="D5" s="7" t="s">
        <v>150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118" x14ac:dyDescent="0.2">
      <c r="A6" s="19">
        <v>938130</v>
      </c>
      <c r="B6" s="21" t="s">
        <v>232</v>
      </c>
      <c r="C6">
        <v>1</v>
      </c>
    </row>
    <row r="7" spans="1:118" ht="30" x14ac:dyDescent="0.2">
      <c r="A7" s="6">
        <v>2</v>
      </c>
      <c r="B7" s="6" t="s">
        <v>44</v>
      </c>
      <c r="C7">
        <v>1</v>
      </c>
      <c r="E7">
        <v>108800</v>
      </c>
      <c r="F7" t="str">
        <f t="shared" si="0"/>
        <v>Y</v>
      </c>
      <c r="G7">
        <v>50</v>
      </c>
      <c r="I7">
        <v>1</v>
      </c>
      <c r="J7" t="s">
        <v>1</v>
      </c>
      <c r="L7">
        <v>0</v>
      </c>
      <c r="O7" t="str">
        <f t="shared" si="1"/>
        <v>טיוטא</v>
      </c>
      <c r="P7" t="str">
        <f t="shared" si="2"/>
        <v>אופיר</v>
      </c>
      <c r="R7">
        <v>0</v>
      </c>
      <c r="X7" t="str">
        <f t="shared" si="3"/>
        <v>ש"ח</v>
      </c>
      <c r="Y7">
        <v>108800</v>
      </c>
      <c r="Z7" t="str">
        <f t="shared" si="4"/>
        <v>ש"ח</v>
      </c>
    </row>
    <row r="8" spans="1:118" x14ac:dyDescent="0.2">
      <c r="A8" s="5">
        <v>2.1</v>
      </c>
      <c r="B8" s="5" t="s">
        <v>130</v>
      </c>
      <c r="I8">
        <v>2</v>
      </c>
    </row>
    <row r="9" spans="1:118" x14ac:dyDescent="0.2">
      <c r="A9" s="19">
        <v>218160</v>
      </c>
      <c r="B9" s="21" t="s">
        <v>228</v>
      </c>
      <c r="C9">
        <v>150</v>
      </c>
    </row>
    <row r="10" spans="1:118" x14ac:dyDescent="0.2">
      <c r="A10" s="11">
        <v>218150</v>
      </c>
      <c r="B10" s="22" t="s">
        <v>231</v>
      </c>
      <c r="C10">
        <v>100</v>
      </c>
    </row>
    <row r="11" spans="1:118" x14ac:dyDescent="0.2">
      <c r="A11" s="19">
        <v>798170</v>
      </c>
      <c r="B11" s="21" t="s">
        <v>233</v>
      </c>
      <c r="C11">
        <v>1</v>
      </c>
    </row>
    <row r="12" spans="1:118" x14ac:dyDescent="0.2">
      <c r="A12" s="5">
        <v>2.2000000000000002</v>
      </c>
      <c r="B12" s="5" t="s">
        <v>131</v>
      </c>
      <c r="I12">
        <v>2</v>
      </c>
    </row>
    <row r="13" spans="1:118" x14ac:dyDescent="0.2">
      <c r="A13" s="5">
        <v>666666</v>
      </c>
      <c r="B13" s="5" t="s">
        <v>239</v>
      </c>
      <c r="C13">
        <v>4</v>
      </c>
    </row>
    <row r="14" spans="1:118" ht="15" x14ac:dyDescent="0.2">
      <c r="A14" s="6">
        <v>3</v>
      </c>
      <c r="B14" s="6" t="s">
        <v>45</v>
      </c>
      <c r="C14">
        <v>1</v>
      </c>
      <c r="E14">
        <v>108800</v>
      </c>
      <c r="F14" t="str">
        <f t="shared" ref="F14" si="5">"Y"</f>
        <v>Y</v>
      </c>
      <c r="G14">
        <v>50</v>
      </c>
      <c r="I14">
        <v>1</v>
      </c>
      <c r="J14" t="s">
        <v>1</v>
      </c>
      <c r="L14">
        <v>0</v>
      </c>
      <c r="O14" t="str">
        <f t="shared" ref="O14" si="6">"טיוטא"</f>
        <v>טיוטא</v>
      </c>
      <c r="P14" t="str">
        <f t="shared" ref="P14" si="7">"אופיר"</f>
        <v>אופיר</v>
      </c>
      <c r="R14">
        <v>0</v>
      </c>
      <c r="X14" t="str">
        <f t="shared" ref="X14" si="8">"ש""ח"</f>
        <v>ש"ח</v>
      </c>
      <c r="Y14">
        <v>108800</v>
      </c>
      <c r="Z14" t="str">
        <f t="shared" ref="Z14" si="9">"ש""ח"</f>
        <v>ש"ח</v>
      </c>
    </row>
    <row r="15" spans="1:118" x14ac:dyDescent="0.2">
      <c r="A15" s="5">
        <v>3.1</v>
      </c>
      <c r="B15" s="5" t="s">
        <v>132</v>
      </c>
      <c r="I15">
        <v>2</v>
      </c>
    </row>
    <row r="16" spans="1:118" x14ac:dyDescent="0.2">
      <c r="A16" s="16">
        <v>218260</v>
      </c>
      <c r="B16" s="12" t="s">
        <v>154</v>
      </c>
      <c r="C16">
        <v>2000</v>
      </c>
    </row>
    <row r="17" spans="1:92" x14ac:dyDescent="0.2">
      <c r="A17" s="5">
        <v>3.2</v>
      </c>
      <c r="B17" s="5" t="s">
        <v>133</v>
      </c>
      <c r="I17">
        <v>2</v>
      </c>
    </row>
    <row r="18" spans="1:92" x14ac:dyDescent="0.2">
      <c r="A18" s="16">
        <v>218260</v>
      </c>
      <c r="B18" s="12" t="s">
        <v>154</v>
      </c>
      <c r="C18">
        <v>500</v>
      </c>
    </row>
    <row r="19" spans="1:92" x14ac:dyDescent="0.2">
      <c r="A19" s="5">
        <v>3.3</v>
      </c>
      <c r="B19" s="5" t="s">
        <v>134</v>
      </c>
      <c r="I19">
        <v>2</v>
      </c>
    </row>
    <row r="20" spans="1:92" x14ac:dyDescent="0.2">
      <c r="A20" s="5">
        <v>666666</v>
      </c>
      <c r="B20" s="5" t="s">
        <v>239</v>
      </c>
      <c r="C20">
        <v>4</v>
      </c>
    </row>
    <row r="21" spans="1:92" ht="15" x14ac:dyDescent="0.25">
      <c r="A21" s="6">
        <v>4</v>
      </c>
      <c r="B21" s="6" t="s">
        <v>46</v>
      </c>
      <c r="C21" s="7">
        <v>1</v>
      </c>
      <c r="D21" s="7"/>
      <c r="E21" s="7">
        <v>65280</v>
      </c>
      <c r="F21" s="7" t="str">
        <f t="shared" ref="F21" si="10">"Y"</f>
        <v>Y</v>
      </c>
      <c r="G21" s="7">
        <v>0</v>
      </c>
      <c r="H21" s="7"/>
      <c r="I21" s="7">
        <v>1</v>
      </c>
      <c r="J21" s="7" t="s">
        <v>1</v>
      </c>
      <c r="K21" s="7"/>
      <c r="L21" s="7">
        <v>0</v>
      </c>
      <c r="M21" s="7"/>
      <c r="N21" s="7"/>
      <c r="O21" s="7" t="str">
        <f t="shared" ref="O21" si="11">"טיוטא"</f>
        <v>טיוטא</v>
      </c>
      <c r="P21" s="7" t="str">
        <f t="shared" ref="P21" si="12">"אופיר"</f>
        <v>אופיר</v>
      </c>
      <c r="Q21" s="7"/>
      <c r="R21" s="7">
        <v>0</v>
      </c>
      <c r="S21" s="7"/>
      <c r="T21" s="7"/>
      <c r="U21" s="7"/>
      <c r="V21" s="7"/>
      <c r="W21" s="7"/>
      <c r="X21" s="7" t="str">
        <f t="shared" ref="X21" si="13">"ש""ח"</f>
        <v>ש"ח</v>
      </c>
      <c r="Y21" s="7">
        <v>65280</v>
      </c>
      <c r="Z21" s="7" t="str">
        <f t="shared" ref="Z21" si="14">"ש""ח"</f>
        <v>ש"ח</v>
      </c>
    </row>
    <row r="22" spans="1:92" ht="15" x14ac:dyDescent="0.25">
      <c r="A22" s="6">
        <v>5</v>
      </c>
      <c r="B22" s="6" t="s">
        <v>47</v>
      </c>
      <c r="C22" s="7">
        <v>1</v>
      </c>
      <c r="D22" s="7"/>
      <c r="E22" s="7">
        <v>261120</v>
      </c>
      <c r="F22" s="7" t="str">
        <f t="shared" ref="F22" si="15">"Y"</f>
        <v>Y</v>
      </c>
      <c r="G22" s="7">
        <v>0</v>
      </c>
      <c r="H22" s="7"/>
      <c r="I22" s="7">
        <v>1</v>
      </c>
      <c r="J22" s="7" t="s">
        <v>1</v>
      </c>
      <c r="K22" s="7"/>
      <c r="L22" s="7">
        <v>0</v>
      </c>
      <c r="M22" s="7"/>
      <c r="N22" s="7"/>
      <c r="O22" s="7" t="str">
        <f t="shared" ref="O22" si="16">"טיוטא"</f>
        <v>טיוטא</v>
      </c>
      <c r="P22" s="7" t="str">
        <f t="shared" ref="P22" si="17">"אופיר"</f>
        <v>אופיר</v>
      </c>
      <c r="Q22" s="7"/>
      <c r="R22" s="7">
        <v>0</v>
      </c>
      <c r="S22" s="7"/>
      <c r="T22" s="7"/>
      <c r="U22" s="7"/>
      <c r="V22" s="7"/>
      <c r="W22" s="7"/>
      <c r="X22" s="7" t="str">
        <f t="shared" ref="X22" si="18">"ש""ח"</f>
        <v>ש"ח</v>
      </c>
      <c r="Y22" s="7">
        <v>261120</v>
      </c>
      <c r="Z22" s="7" t="str">
        <f t="shared" ref="Z22" si="19">"ש""ח"</f>
        <v>ש"ח</v>
      </c>
    </row>
    <row r="23" spans="1:92" x14ac:dyDescent="0.2">
      <c r="A23" s="5">
        <v>5.0999999999999996</v>
      </c>
      <c r="B23" s="5" t="s">
        <v>135</v>
      </c>
      <c r="I23">
        <v>2</v>
      </c>
    </row>
    <row r="24" spans="1:92" x14ac:dyDescent="0.2">
      <c r="A24" s="5">
        <v>5.2</v>
      </c>
      <c r="B24" s="5" t="s">
        <v>136</v>
      </c>
      <c r="I24">
        <v>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tr">
        <f t="shared" ref="AG24:AG42" si="20">"ש""ח"</f>
        <v>ש"ח</v>
      </c>
      <c r="AH24">
        <v>0</v>
      </c>
      <c r="AI24">
        <v>0</v>
      </c>
      <c r="AJ24" t="str">
        <f t="shared" ref="AJ24:AJ42" si="21">"ידני"</f>
        <v>ידני</v>
      </c>
      <c r="AK24">
        <v>1</v>
      </c>
      <c r="AQ24">
        <v>0</v>
      </c>
      <c r="AW24" t="str">
        <f t="shared" ref="AW24:AW42" si="22">"אופיר"</f>
        <v>אופיר</v>
      </c>
      <c r="AX24" t="s">
        <v>3</v>
      </c>
      <c r="AY24">
        <v>1</v>
      </c>
      <c r="AZ24">
        <v>0</v>
      </c>
      <c r="BA24">
        <v>0</v>
      </c>
      <c r="BB24">
        <v>0</v>
      </c>
      <c r="BJ24">
        <v>0</v>
      </c>
      <c r="BK24">
        <v>0</v>
      </c>
      <c r="BN24">
        <v>0</v>
      </c>
      <c r="BO24">
        <v>0</v>
      </c>
      <c r="BV24">
        <v>0</v>
      </c>
      <c r="BW24">
        <v>0</v>
      </c>
      <c r="BX24">
        <v>0</v>
      </c>
      <c r="CA24">
        <v>1</v>
      </c>
      <c r="CB24">
        <v>0</v>
      </c>
      <c r="CC24">
        <v>0</v>
      </c>
      <c r="CD24">
        <v>0</v>
      </c>
      <c r="CE24">
        <v>0</v>
      </c>
      <c r="CM24">
        <v>0</v>
      </c>
      <c r="CN24">
        <v>0</v>
      </c>
    </row>
    <row r="25" spans="1:92" x14ac:dyDescent="0.2">
      <c r="A25" s="5"/>
      <c r="B25" s="5" t="s">
        <v>234</v>
      </c>
      <c r="C25">
        <v>1</v>
      </c>
      <c r="D25" t="s">
        <v>235</v>
      </c>
      <c r="E25">
        <v>64000</v>
      </c>
    </row>
    <row r="26" spans="1:92" x14ac:dyDescent="0.2">
      <c r="A26" s="5">
        <v>5.3</v>
      </c>
      <c r="B26" s="5" t="s">
        <v>137</v>
      </c>
      <c r="I26">
        <v>2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 t="str">
        <f t="shared" si="20"/>
        <v>ש"ח</v>
      </c>
      <c r="AH26">
        <v>0</v>
      </c>
      <c r="AI26">
        <v>0</v>
      </c>
      <c r="AJ26" t="str">
        <f t="shared" si="21"/>
        <v>ידני</v>
      </c>
      <c r="AK26">
        <v>1</v>
      </c>
      <c r="AQ26">
        <v>0</v>
      </c>
      <c r="AW26" t="str">
        <f t="shared" si="22"/>
        <v>אופיר</v>
      </c>
      <c r="AX26" t="s">
        <v>3</v>
      </c>
      <c r="AY26">
        <v>2</v>
      </c>
      <c r="AZ26">
        <v>0</v>
      </c>
      <c r="BA26">
        <v>0</v>
      </c>
      <c r="BB26">
        <v>0</v>
      </c>
      <c r="BJ26">
        <v>0</v>
      </c>
      <c r="BK26">
        <v>0</v>
      </c>
      <c r="BN26">
        <v>0</v>
      </c>
      <c r="BO26">
        <v>0</v>
      </c>
      <c r="BV26">
        <v>0</v>
      </c>
      <c r="BW26">
        <v>0</v>
      </c>
      <c r="BX26">
        <v>0</v>
      </c>
      <c r="CA26">
        <v>1</v>
      </c>
      <c r="CB26">
        <v>0</v>
      </c>
      <c r="CC26">
        <v>0</v>
      </c>
      <c r="CD26">
        <v>0</v>
      </c>
      <c r="CE26">
        <v>0</v>
      </c>
      <c r="CM26">
        <v>0</v>
      </c>
      <c r="CN26">
        <v>0</v>
      </c>
    </row>
    <row r="27" spans="1:92" x14ac:dyDescent="0.2">
      <c r="A27" s="5">
        <v>5.4</v>
      </c>
      <c r="B27" s="5" t="s">
        <v>138</v>
      </c>
      <c r="I27">
        <v>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 t="str">
        <f t="shared" si="20"/>
        <v>ש"ח</v>
      </c>
      <c r="AH27">
        <v>0</v>
      </c>
      <c r="AI27">
        <v>0</v>
      </c>
      <c r="AJ27" t="str">
        <f t="shared" si="21"/>
        <v>ידני</v>
      </c>
      <c r="AK27">
        <v>1</v>
      </c>
      <c r="AQ27">
        <v>0</v>
      </c>
      <c r="AW27" t="str">
        <f t="shared" si="22"/>
        <v>אופיר</v>
      </c>
      <c r="AX27" t="s">
        <v>3</v>
      </c>
      <c r="AY27">
        <v>3</v>
      </c>
      <c r="AZ27">
        <v>0</v>
      </c>
      <c r="BA27">
        <v>0</v>
      </c>
      <c r="BB27">
        <v>0</v>
      </c>
      <c r="BJ27">
        <v>0</v>
      </c>
      <c r="BK27">
        <v>0</v>
      </c>
      <c r="BN27">
        <v>0</v>
      </c>
      <c r="BO27">
        <v>0</v>
      </c>
      <c r="BV27">
        <v>0</v>
      </c>
      <c r="BW27">
        <v>0</v>
      </c>
      <c r="BX27">
        <v>0</v>
      </c>
      <c r="CA27">
        <v>1</v>
      </c>
      <c r="CB27">
        <v>0</v>
      </c>
      <c r="CC27">
        <v>0</v>
      </c>
      <c r="CD27">
        <v>0</v>
      </c>
      <c r="CE27">
        <v>0</v>
      </c>
      <c r="CM27">
        <v>0</v>
      </c>
      <c r="CN27">
        <v>0</v>
      </c>
    </row>
    <row r="28" spans="1:92" ht="15" x14ac:dyDescent="0.25">
      <c r="A28" s="6">
        <v>6</v>
      </c>
      <c r="B28" s="6" t="s">
        <v>48</v>
      </c>
      <c r="C28" s="7">
        <v>1</v>
      </c>
      <c r="D28" s="7"/>
      <c r="E28" s="7">
        <v>65280</v>
      </c>
      <c r="F28" s="7" t="str">
        <f t="shared" ref="F28" si="23">"Y"</f>
        <v>Y</v>
      </c>
      <c r="G28" s="7">
        <v>0</v>
      </c>
      <c r="H28" s="7"/>
      <c r="I28" s="7">
        <v>1</v>
      </c>
      <c r="J28" s="7" t="s">
        <v>1</v>
      </c>
      <c r="K28" s="7"/>
      <c r="L28" s="7">
        <v>0</v>
      </c>
      <c r="M28" s="7"/>
      <c r="N28" s="7"/>
      <c r="O28" s="7" t="str">
        <f t="shared" ref="O28" si="24">"טיוטא"</f>
        <v>טיוטא</v>
      </c>
      <c r="P28" s="7" t="str">
        <f t="shared" ref="P28" si="25">"אופיר"</f>
        <v>אופיר</v>
      </c>
      <c r="Q28" s="7"/>
      <c r="R28" s="7">
        <v>0</v>
      </c>
      <c r="S28" s="7"/>
      <c r="T28" s="7"/>
      <c r="U28" s="7"/>
      <c r="V28" s="7"/>
      <c r="W28" s="7"/>
      <c r="X28" s="7" t="str">
        <f t="shared" ref="X28" si="26">"ש""ח"</f>
        <v>ש"ח</v>
      </c>
      <c r="Y28" s="7">
        <v>65280</v>
      </c>
      <c r="Z28" s="7" t="str">
        <f t="shared" ref="Z28" si="27">"ש""ח"</f>
        <v>ש"ח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tr">
        <f t="shared" si="20"/>
        <v>ש"ח</v>
      </c>
      <c r="AH28">
        <v>0</v>
      </c>
      <c r="AI28">
        <v>0</v>
      </c>
      <c r="AJ28" t="str">
        <f t="shared" si="21"/>
        <v>ידני</v>
      </c>
      <c r="AK28">
        <v>1</v>
      </c>
      <c r="AQ28">
        <v>0</v>
      </c>
      <c r="AW28" t="str">
        <f t="shared" si="22"/>
        <v>אופיר</v>
      </c>
      <c r="AX28" t="s">
        <v>3</v>
      </c>
      <c r="AY28">
        <v>4</v>
      </c>
      <c r="AZ28">
        <v>0</v>
      </c>
      <c r="BA28">
        <v>0</v>
      </c>
      <c r="BB28">
        <v>0</v>
      </c>
      <c r="BJ28">
        <v>0</v>
      </c>
      <c r="BK28">
        <v>0</v>
      </c>
      <c r="BN28">
        <v>0</v>
      </c>
      <c r="BO28">
        <v>0</v>
      </c>
      <c r="BV28">
        <v>0</v>
      </c>
      <c r="BW28">
        <v>0</v>
      </c>
      <c r="BX28">
        <v>0</v>
      </c>
      <c r="CA28">
        <v>1</v>
      </c>
      <c r="CB28">
        <v>0</v>
      </c>
      <c r="CC28">
        <v>0</v>
      </c>
      <c r="CD28">
        <v>0</v>
      </c>
      <c r="CE28">
        <v>0</v>
      </c>
      <c r="CM28">
        <v>0</v>
      </c>
      <c r="CN28">
        <v>0</v>
      </c>
    </row>
    <row r="29" spans="1:92" x14ac:dyDescent="0.2">
      <c r="A29" s="5">
        <v>6.1</v>
      </c>
      <c r="B29" s="5" t="s">
        <v>139</v>
      </c>
      <c r="I29">
        <v>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tr">
        <f t="shared" si="20"/>
        <v>ש"ח</v>
      </c>
      <c r="AH29">
        <v>0</v>
      </c>
      <c r="AI29">
        <v>0</v>
      </c>
      <c r="AJ29" t="str">
        <f t="shared" si="21"/>
        <v>ידני</v>
      </c>
      <c r="AK29">
        <v>1</v>
      </c>
      <c r="AQ29">
        <v>0</v>
      </c>
      <c r="AW29" t="str">
        <f t="shared" si="22"/>
        <v>אופיר</v>
      </c>
      <c r="AX29" t="s">
        <v>3</v>
      </c>
      <c r="AY29">
        <v>5</v>
      </c>
      <c r="AZ29">
        <v>0</v>
      </c>
      <c r="BA29">
        <v>0</v>
      </c>
      <c r="BB29">
        <v>0</v>
      </c>
      <c r="BJ29">
        <v>0</v>
      </c>
      <c r="BK29">
        <v>0</v>
      </c>
      <c r="BN29">
        <v>0</v>
      </c>
      <c r="BO29">
        <v>0</v>
      </c>
      <c r="BV29">
        <v>0</v>
      </c>
      <c r="BW29">
        <v>0</v>
      </c>
      <c r="BX29">
        <v>0</v>
      </c>
      <c r="CA29">
        <v>1</v>
      </c>
      <c r="CB29">
        <v>0</v>
      </c>
      <c r="CC29">
        <v>0</v>
      </c>
      <c r="CD29">
        <v>0</v>
      </c>
      <c r="CE29">
        <v>0</v>
      </c>
      <c r="CM29">
        <v>0</v>
      </c>
      <c r="CN29">
        <v>0</v>
      </c>
    </row>
    <row r="30" spans="1:92" x14ac:dyDescent="0.2">
      <c r="A30" s="5">
        <v>6.2</v>
      </c>
      <c r="B30" s="5" t="s">
        <v>140</v>
      </c>
      <c r="I30">
        <v>2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tr">
        <f t="shared" si="20"/>
        <v>ש"ח</v>
      </c>
      <c r="AH30">
        <v>0</v>
      </c>
      <c r="AI30">
        <v>0</v>
      </c>
      <c r="AJ30" t="str">
        <f t="shared" si="21"/>
        <v>ידני</v>
      </c>
      <c r="AK30">
        <v>1</v>
      </c>
      <c r="AQ30">
        <v>0</v>
      </c>
      <c r="AW30" t="str">
        <f t="shared" si="22"/>
        <v>אופיר</v>
      </c>
      <c r="AX30" t="s">
        <v>3</v>
      </c>
      <c r="AY30">
        <v>6</v>
      </c>
      <c r="AZ30">
        <v>0</v>
      </c>
      <c r="BA30">
        <v>0</v>
      </c>
      <c r="BB30">
        <v>0</v>
      </c>
      <c r="BJ30">
        <v>0</v>
      </c>
      <c r="BK30">
        <v>0</v>
      </c>
      <c r="BN30">
        <v>0</v>
      </c>
      <c r="BO30">
        <v>0</v>
      </c>
      <c r="BV30">
        <v>0</v>
      </c>
      <c r="BW30">
        <v>0</v>
      </c>
      <c r="BX30">
        <v>0</v>
      </c>
      <c r="CA30">
        <v>1</v>
      </c>
      <c r="CB30">
        <v>0</v>
      </c>
      <c r="CC30">
        <v>0</v>
      </c>
      <c r="CD30">
        <v>0</v>
      </c>
      <c r="CE30">
        <v>0</v>
      </c>
      <c r="CM30">
        <v>0</v>
      </c>
      <c r="CN30">
        <v>0</v>
      </c>
    </row>
    <row r="31" spans="1:92" x14ac:dyDescent="0.2">
      <c r="A31" s="5">
        <v>6.3</v>
      </c>
      <c r="B31" s="5" t="s">
        <v>141</v>
      </c>
      <c r="I31">
        <v>2</v>
      </c>
    </row>
    <row r="32" spans="1:92" x14ac:dyDescent="0.2">
      <c r="A32" s="5">
        <v>6.4</v>
      </c>
      <c r="B32" s="5" t="s">
        <v>142</v>
      </c>
      <c r="I32">
        <v>2</v>
      </c>
    </row>
    <row r="33" spans="1:92" ht="15" x14ac:dyDescent="0.25">
      <c r="A33" s="5">
        <v>7</v>
      </c>
      <c r="B33" s="6" t="s">
        <v>49</v>
      </c>
      <c r="C33" s="7">
        <v>1</v>
      </c>
      <c r="D33" s="7"/>
      <c r="E33" s="7">
        <v>43520</v>
      </c>
      <c r="F33" s="7" t="str">
        <f t="shared" ref="F33:F36" si="28">"Y"</f>
        <v>Y</v>
      </c>
      <c r="G33" s="7">
        <v>0</v>
      </c>
      <c r="H33" s="7"/>
      <c r="I33" s="7">
        <v>1</v>
      </c>
      <c r="J33" s="7" t="s">
        <v>1</v>
      </c>
      <c r="K33" s="7"/>
      <c r="L33" s="7">
        <v>0</v>
      </c>
      <c r="M33" s="7"/>
      <c r="N33" s="7"/>
      <c r="O33" s="7" t="str">
        <f t="shared" ref="O33:O36" si="29">"טיוטא"</f>
        <v>טיוטא</v>
      </c>
      <c r="P33" s="7" t="str">
        <f t="shared" ref="P33:P36" si="30">"אופיר"</f>
        <v>אופיר</v>
      </c>
      <c r="Q33" s="7"/>
      <c r="R33" s="7">
        <v>0</v>
      </c>
      <c r="S33" s="7"/>
      <c r="T33" s="7"/>
      <c r="U33" s="7"/>
      <c r="V33" s="7"/>
      <c r="W33" s="7"/>
      <c r="X33" s="7" t="str">
        <f t="shared" ref="X33:X36" si="31">"ש""ח"</f>
        <v>ש"ח</v>
      </c>
      <c r="Y33" s="7">
        <v>43520</v>
      </c>
      <c r="Z33" s="7" t="str">
        <f t="shared" ref="Z33:Z36" si="32">"ש""ח"</f>
        <v>ש"ח</v>
      </c>
    </row>
    <row r="34" spans="1:92" ht="15" x14ac:dyDescent="0.25">
      <c r="A34" s="5">
        <v>8</v>
      </c>
      <c r="B34" s="6" t="s">
        <v>50</v>
      </c>
      <c r="C34" s="7">
        <v>1</v>
      </c>
      <c r="D34" s="7"/>
      <c r="E34" s="7">
        <v>108800</v>
      </c>
      <c r="F34" s="7" t="str">
        <f t="shared" si="28"/>
        <v>Y</v>
      </c>
      <c r="G34" s="7">
        <v>0</v>
      </c>
      <c r="H34" s="7"/>
      <c r="I34" s="7">
        <v>1</v>
      </c>
      <c r="J34" s="7" t="s">
        <v>1</v>
      </c>
      <c r="K34" s="7"/>
      <c r="L34" s="7">
        <v>0</v>
      </c>
      <c r="M34" s="7"/>
      <c r="N34" s="7"/>
      <c r="O34" s="7" t="str">
        <f t="shared" si="29"/>
        <v>טיוטא</v>
      </c>
      <c r="P34" s="7" t="str">
        <f t="shared" si="30"/>
        <v>אופיר</v>
      </c>
      <c r="Q34" s="7"/>
      <c r="R34" s="7">
        <v>0</v>
      </c>
      <c r="S34" s="7"/>
      <c r="T34" s="7"/>
      <c r="U34" s="7"/>
      <c r="V34" s="7"/>
      <c r="W34" s="7"/>
      <c r="X34" s="7" t="str">
        <f t="shared" si="31"/>
        <v>ש"ח</v>
      </c>
      <c r="Y34" s="7">
        <v>108800</v>
      </c>
      <c r="Z34" s="7" t="str">
        <f t="shared" si="32"/>
        <v>ש"ח</v>
      </c>
    </row>
    <row r="35" spans="1:92" ht="15" x14ac:dyDescent="0.25">
      <c r="A35" s="5"/>
      <c r="B35" s="6" t="s">
        <v>236</v>
      </c>
      <c r="C35" s="7">
        <v>1</v>
      </c>
      <c r="D35" s="7" t="s">
        <v>226</v>
      </c>
      <c r="E35" s="7">
        <v>28000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92" ht="15" x14ac:dyDescent="0.25">
      <c r="A36" s="6">
        <v>9</v>
      </c>
      <c r="B36" s="6" t="s">
        <v>51</v>
      </c>
      <c r="C36" s="7">
        <v>1</v>
      </c>
      <c r="D36" s="7"/>
      <c r="E36" s="7">
        <v>108800</v>
      </c>
      <c r="F36" s="7" t="str">
        <f t="shared" si="28"/>
        <v>Y</v>
      </c>
      <c r="G36" s="7">
        <v>0</v>
      </c>
      <c r="H36" s="7"/>
      <c r="I36" s="7">
        <v>1</v>
      </c>
      <c r="J36" s="7" t="s">
        <v>1</v>
      </c>
      <c r="K36" s="7"/>
      <c r="L36" s="7">
        <v>0</v>
      </c>
      <c r="M36" s="7"/>
      <c r="N36" s="7"/>
      <c r="O36" s="7" t="str">
        <f t="shared" si="29"/>
        <v>טיוטא</v>
      </c>
      <c r="P36" s="7" t="str">
        <f t="shared" si="30"/>
        <v>אופיר</v>
      </c>
      <c r="Q36" s="7"/>
      <c r="R36" s="7">
        <v>0</v>
      </c>
      <c r="S36" s="7"/>
      <c r="T36" s="7"/>
      <c r="U36" s="7"/>
      <c r="V36" s="7"/>
      <c r="W36" s="7"/>
      <c r="X36" s="7" t="str">
        <f t="shared" si="31"/>
        <v>ש"ח</v>
      </c>
      <c r="Y36" s="7">
        <v>108800</v>
      </c>
      <c r="Z36" s="7" t="str">
        <f t="shared" si="32"/>
        <v>ש"ח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tr">
        <f t="shared" si="20"/>
        <v>ש"ח</v>
      </c>
      <c r="AH36">
        <v>0</v>
      </c>
      <c r="AI36">
        <v>0</v>
      </c>
      <c r="AJ36" t="str">
        <f t="shared" si="21"/>
        <v>ידני</v>
      </c>
      <c r="AK36">
        <v>1</v>
      </c>
      <c r="AQ36">
        <v>0</v>
      </c>
      <c r="AW36" t="str">
        <f t="shared" si="22"/>
        <v>אופיר</v>
      </c>
      <c r="AX36" t="s">
        <v>2</v>
      </c>
      <c r="AY36">
        <v>7</v>
      </c>
      <c r="AZ36">
        <v>0</v>
      </c>
      <c r="BA36">
        <v>0</v>
      </c>
      <c r="BB36">
        <v>0</v>
      </c>
      <c r="BJ36">
        <v>0</v>
      </c>
      <c r="BK36">
        <v>0</v>
      </c>
      <c r="BN36">
        <v>0</v>
      </c>
      <c r="BO36">
        <v>0</v>
      </c>
      <c r="BV36">
        <v>0</v>
      </c>
      <c r="BW36">
        <v>0</v>
      </c>
      <c r="BX36">
        <v>0</v>
      </c>
      <c r="CA36">
        <v>1</v>
      </c>
      <c r="CB36">
        <v>0</v>
      </c>
      <c r="CC36">
        <v>0</v>
      </c>
      <c r="CD36">
        <v>0</v>
      </c>
      <c r="CE36">
        <v>0</v>
      </c>
      <c r="CM36">
        <v>0</v>
      </c>
      <c r="CN36">
        <v>0</v>
      </c>
    </row>
    <row r="37" spans="1:92" x14ac:dyDescent="0.2">
      <c r="A37" s="5">
        <v>9.1</v>
      </c>
      <c r="B37" s="5" t="s">
        <v>143</v>
      </c>
      <c r="I37">
        <v>2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tr">
        <f t="shared" si="20"/>
        <v>ש"ח</v>
      </c>
      <c r="AH37">
        <v>0</v>
      </c>
      <c r="AI37">
        <v>0</v>
      </c>
      <c r="AJ37" t="str">
        <f t="shared" si="21"/>
        <v>ידני</v>
      </c>
      <c r="AK37">
        <v>1</v>
      </c>
      <c r="AQ37">
        <v>0</v>
      </c>
      <c r="AW37" t="str">
        <f t="shared" si="22"/>
        <v>אופיר</v>
      </c>
      <c r="AX37" t="s">
        <v>2</v>
      </c>
      <c r="AY37">
        <v>8</v>
      </c>
      <c r="AZ37">
        <v>0</v>
      </c>
      <c r="BA37">
        <v>0</v>
      </c>
      <c r="BB37">
        <v>0</v>
      </c>
      <c r="BJ37">
        <v>0</v>
      </c>
      <c r="BK37">
        <v>0</v>
      </c>
      <c r="BN37">
        <v>0</v>
      </c>
      <c r="BO37">
        <v>0</v>
      </c>
      <c r="BV37">
        <v>0</v>
      </c>
      <c r="BW37">
        <v>0</v>
      </c>
      <c r="BX37">
        <v>0</v>
      </c>
      <c r="CA37">
        <v>1</v>
      </c>
      <c r="CB37">
        <v>0</v>
      </c>
      <c r="CC37">
        <v>0</v>
      </c>
      <c r="CD37">
        <v>0</v>
      </c>
      <c r="CE37">
        <v>0</v>
      </c>
      <c r="CM37">
        <v>0</v>
      </c>
      <c r="CN37">
        <v>0</v>
      </c>
    </row>
    <row r="38" spans="1:92" x14ac:dyDescent="0.2">
      <c r="A38" s="19">
        <v>238240</v>
      </c>
      <c r="B38" s="21" t="s">
        <v>229</v>
      </c>
      <c r="C38">
        <v>150</v>
      </c>
      <c r="D38" t="s">
        <v>150</v>
      </c>
    </row>
    <row r="39" spans="1:92" x14ac:dyDescent="0.2">
      <c r="A39" s="19">
        <v>238400</v>
      </c>
      <c r="B39" s="21" t="s">
        <v>238</v>
      </c>
    </row>
    <row r="40" spans="1:92" x14ac:dyDescent="0.2">
      <c r="A40" s="19">
        <v>238200</v>
      </c>
      <c r="B40" s="21" t="s">
        <v>230</v>
      </c>
      <c r="C40">
        <v>25</v>
      </c>
      <c r="D40" t="s">
        <v>151</v>
      </c>
    </row>
    <row r="41" spans="1:92" x14ac:dyDescent="0.2">
      <c r="A41" s="19">
        <v>318260</v>
      </c>
      <c r="B41" s="21" t="s">
        <v>237</v>
      </c>
      <c r="C41">
        <v>1200</v>
      </c>
      <c r="D41" t="s">
        <v>150</v>
      </c>
    </row>
    <row r="42" spans="1:92" x14ac:dyDescent="0.2">
      <c r="A42" s="5">
        <v>9.1999999999999993</v>
      </c>
      <c r="B42" s="5" t="s">
        <v>144</v>
      </c>
      <c r="I42">
        <v>2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tr">
        <f t="shared" si="20"/>
        <v>ש"ח</v>
      </c>
      <c r="AH42">
        <v>0</v>
      </c>
      <c r="AI42">
        <v>0</v>
      </c>
      <c r="AJ42" t="str">
        <f t="shared" si="21"/>
        <v>ידני</v>
      </c>
      <c r="AK42">
        <v>1</v>
      </c>
      <c r="AQ42">
        <v>0</v>
      </c>
      <c r="AW42" t="str">
        <f t="shared" si="22"/>
        <v>אופיר</v>
      </c>
      <c r="AX42" t="s">
        <v>12</v>
      </c>
      <c r="AY42">
        <v>9</v>
      </c>
      <c r="AZ42">
        <v>0</v>
      </c>
      <c r="BA42">
        <v>0</v>
      </c>
      <c r="BB42">
        <v>0</v>
      </c>
      <c r="BJ42">
        <v>0</v>
      </c>
      <c r="BK42">
        <v>0</v>
      </c>
      <c r="BN42">
        <v>0</v>
      </c>
      <c r="BO42">
        <v>0</v>
      </c>
      <c r="BV42">
        <v>0</v>
      </c>
      <c r="BW42">
        <v>0</v>
      </c>
      <c r="BX42">
        <v>0</v>
      </c>
      <c r="CA42">
        <v>1</v>
      </c>
      <c r="CB42">
        <v>0</v>
      </c>
      <c r="CC42">
        <v>0</v>
      </c>
      <c r="CD42">
        <v>0</v>
      </c>
      <c r="CE42">
        <v>0</v>
      </c>
      <c r="CM42">
        <v>0</v>
      </c>
      <c r="CN42">
        <v>0</v>
      </c>
    </row>
    <row r="43" spans="1:92" x14ac:dyDescent="0.2">
      <c r="A43" s="5">
        <v>9.3000000000000007</v>
      </c>
      <c r="B43" s="5" t="s">
        <v>145</v>
      </c>
      <c r="I43">
        <v>2</v>
      </c>
      <c r="AA43">
        <v>0</v>
      </c>
      <c r="AB43">
        <v>0</v>
      </c>
      <c r="AC43">
        <v>0</v>
      </c>
      <c r="AD43">
        <v>0</v>
      </c>
      <c r="AE43">
        <v>6840</v>
      </c>
      <c r="AF43">
        <v>6840</v>
      </c>
      <c r="AG43" t="str">
        <f>"ש""ח"</f>
        <v>ש"ח</v>
      </c>
      <c r="AH43">
        <v>0</v>
      </c>
      <c r="AI43">
        <v>0</v>
      </c>
      <c r="AJ43" t="str">
        <f>"ידני"</f>
        <v>ידני</v>
      </c>
      <c r="AK43">
        <v>1</v>
      </c>
      <c r="AQ43">
        <v>0</v>
      </c>
      <c r="AW43" t="str">
        <f>"אופיר"</f>
        <v>אופיר</v>
      </c>
      <c r="AX43" t="s">
        <v>11</v>
      </c>
      <c r="AY43">
        <v>10</v>
      </c>
      <c r="AZ43">
        <v>0</v>
      </c>
      <c r="BA43">
        <v>0</v>
      </c>
      <c r="BB43">
        <v>0</v>
      </c>
      <c r="BJ43">
        <v>0</v>
      </c>
      <c r="BK43">
        <v>0</v>
      </c>
      <c r="BN43">
        <v>0</v>
      </c>
      <c r="BO43">
        <v>0</v>
      </c>
      <c r="BV43">
        <v>0</v>
      </c>
      <c r="BW43">
        <v>0</v>
      </c>
      <c r="BX43">
        <v>0</v>
      </c>
      <c r="CA43">
        <v>1</v>
      </c>
      <c r="CB43">
        <v>0</v>
      </c>
      <c r="CC43">
        <v>0</v>
      </c>
      <c r="CD43">
        <v>0</v>
      </c>
      <c r="CE43">
        <v>0</v>
      </c>
      <c r="CM43">
        <v>0</v>
      </c>
      <c r="CN43">
        <v>0</v>
      </c>
    </row>
    <row r="44" spans="1:92" x14ac:dyDescent="0.2">
      <c r="A44" s="5"/>
      <c r="B44" s="5" t="s">
        <v>52</v>
      </c>
      <c r="C44">
        <v>1</v>
      </c>
      <c r="E44">
        <v>1262080</v>
      </c>
      <c r="F44" t="str">
        <f t="shared" ref="F44" si="33">"Y"</f>
        <v>Y</v>
      </c>
      <c r="G44">
        <v>0</v>
      </c>
      <c r="I44">
        <v>1</v>
      </c>
      <c r="J44" t="s">
        <v>1</v>
      </c>
      <c r="L44">
        <v>0</v>
      </c>
      <c r="O44" t="str">
        <f t="shared" ref="O44" si="34">"טיוטא"</f>
        <v>טיוטא</v>
      </c>
      <c r="P44" t="str">
        <f t="shared" ref="P44" si="35">"אופיר"</f>
        <v>אופיר</v>
      </c>
      <c r="R44">
        <v>0</v>
      </c>
      <c r="X44" t="str">
        <f t="shared" ref="X44" si="36">"ש""ח"</f>
        <v>ש"ח</v>
      </c>
      <c r="Y44">
        <v>1262080</v>
      </c>
      <c r="Z44" t="str">
        <f t="shared" ref="Z44" si="37">"ש""ח"</f>
        <v>ש"ח</v>
      </c>
    </row>
    <row r="45" spans="1:92" ht="15" x14ac:dyDescent="0.2">
      <c r="A45" s="6">
        <v>10.1</v>
      </c>
      <c r="B45" s="6" t="s">
        <v>53</v>
      </c>
      <c r="C45">
        <v>1</v>
      </c>
      <c r="E45">
        <v>0</v>
      </c>
      <c r="G45">
        <v>100</v>
      </c>
      <c r="I45">
        <v>2</v>
      </c>
      <c r="J45" t="s">
        <v>1</v>
      </c>
      <c r="L45">
        <v>0</v>
      </c>
      <c r="N45" t="s">
        <v>10</v>
      </c>
      <c r="O45" t="str">
        <f t="shared" ref="O45:O83" si="38">"טיוטא"</f>
        <v>טיוטא</v>
      </c>
      <c r="P45" t="str">
        <f t="shared" ref="P45:P83" si="39">"אופיר"</f>
        <v>אופיר</v>
      </c>
      <c r="R45">
        <v>0</v>
      </c>
      <c r="X45" t="str">
        <f t="shared" ref="X45:X83" si="40">"ש""ח"</f>
        <v>ש"ח</v>
      </c>
      <c r="Y45">
        <v>0</v>
      </c>
      <c r="Z45" t="str">
        <f t="shared" ref="Z45:Z83" si="41">"ש""ח"</f>
        <v>ש"ח</v>
      </c>
      <c r="AA45">
        <v>0</v>
      </c>
      <c r="AB45">
        <v>6840</v>
      </c>
      <c r="AC45">
        <v>6840</v>
      </c>
      <c r="AD45">
        <v>0</v>
      </c>
      <c r="AE45">
        <v>6840</v>
      </c>
      <c r="AF45">
        <v>6840</v>
      </c>
      <c r="AG45" t="str">
        <f>"ש""ח"</f>
        <v>ש"ח</v>
      </c>
      <c r="AH45">
        <v>0</v>
      </c>
      <c r="AI45">
        <v>0</v>
      </c>
      <c r="AJ45" t="str">
        <f>"ידני"</f>
        <v>ידני</v>
      </c>
      <c r="AK45">
        <v>1</v>
      </c>
      <c r="AQ45">
        <v>0</v>
      </c>
      <c r="AW45" t="str">
        <f>"אופיר"</f>
        <v>אופיר</v>
      </c>
      <c r="AX45" t="s">
        <v>9</v>
      </c>
      <c r="AY45">
        <v>38</v>
      </c>
      <c r="AZ45">
        <v>0</v>
      </c>
      <c r="BA45">
        <v>0</v>
      </c>
      <c r="BB45">
        <v>0</v>
      </c>
      <c r="BJ45">
        <v>0</v>
      </c>
      <c r="BK45">
        <v>0</v>
      </c>
      <c r="BN45">
        <v>0</v>
      </c>
      <c r="BO45">
        <v>6840</v>
      </c>
      <c r="BV45">
        <v>0</v>
      </c>
      <c r="BW45">
        <v>0</v>
      </c>
      <c r="BX45">
        <v>0</v>
      </c>
      <c r="CA45">
        <v>1</v>
      </c>
      <c r="CB45">
        <v>0</v>
      </c>
      <c r="CC45">
        <v>0</v>
      </c>
      <c r="CD45">
        <v>0</v>
      </c>
      <c r="CE45">
        <v>0</v>
      </c>
      <c r="CM45">
        <v>0</v>
      </c>
      <c r="CN45">
        <v>0</v>
      </c>
    </row>
    <row r="46" spans="1:92" s="8" customFormat="1" ht="12.75" x14ac:dyDescent="0.2">
      <c r="A46" s="10" t="s">
        <v>13</v>
      </c>
      <c r="B46" s="10" t="s">
        <v>54</v>
      </c>
      <c r="C46" s="8">
        <v>1</v>
      </c>
      <c r="E46" s="8">
        <v>0</v>
      </c>
      <c r="G46" s="8">
        <v>0</v>
      </c>
      <c r="I46" s="8">
        <v>3</v>
      </c>
      <c r="J46" s="8" t="s">
        <v>1</v>
      </c>
      <c r="L46" s="8">
        <v>0</v>
      </c>
      <c r="O46" s="8" t="str">
        <f t="shared" si="38"/>
        <v>טיוטא</v>
      </c>
      <c r="P46" s="8" t="str">
        <f t="shared" si="39"/>
        <v>אופיר</v>
      </c>
      <c r="R46" s="8">
        <v>0</v>
      </c>
      <c r="X46" s="8" t="str">
        <f t="shared" si="40"/>
        <v>ש"ח</v>
      </c>
      <c r="Y46" s="8">
        <v>0</v>
      </c>
      <c r="Z46" s="8" t="str">
        <f t="shared" si="41"/>
        <v>ש"ח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 t="str">
        <f>"ש""ח"</f>
        <v>ש"ח</v>
      </c>
      <c r="AH46" s="8">
        <v>0</v>
      </c>
      <c r="AI46" s="8">
        <v>0</v>
      </c>
      <c r="AJ46" s="8" t="str">
        <f>"ידני"</f>
        <v>ידני</v>
      </c>
      <c r="AK46" s="8">
        <v>1</v>
      </c>
      <c r="AQ46" s="8">
        <v>0</v>
      </c>
      <c r="AW46" s="8" t="str">
        <f>"אופיר"</f>
        <v>אופיר</v>
      </c>
      <c r="AX46" s="8" t="s">
        <v>9</v>
      </c>
      <c r="AY46" s="8">
        <v>39</v>
      </c>
      <c r="AZ46" s="8">
        <v>0</v>
      </c>
      <c r="BA46" s="8">
        <v>0</v>
      </c>
      <c r="BB46" s="8">
        <v>0</v>
      </c>
      <c r="BJ46" s="8">
        <v>0</v>
      </c>
      <c r="BK46" s="8">
        <v>0</v>
      </c>
      <c r="BN46" s="8">
        <v>0</v>
      </c>
      <c r="BO46" s="8">
        <v>0</v>
      </c>
      <c r="BV46" s="8">
        <v>0</v>
      </c>
      <c r="BW46" s="8">
        <v>0</v>
      </c>
      <c r="BX46" s="8">
        <v>0</v>
      </c>
      <c r="CA46" s="8">
        <v>1</v>
      </c>
      <c r="CB46" s="8">
        <v>0</v>
      </c>
      <c r="CC46" s="8">
        <v>0</v>
      </c>
      <c r="CD46" s="8">
        <v>0</v>
      </c>
      <c r="CE46" s="8">
        <v>0</v>
      </c>
      <c r="CM46" s="8">
        <v>0</v>
      </c>
      <c r="CN46" s="8">
        <v>0</v>
      </c>
    </row>
    <row r="47" spans="1:92" s="18" customFormat="1" ht="15" customHeight="1" x14ac:dyDescent="0.2">
      <c r="A47" s="16">
        <v>218260</v>
      </c>
      <c r="B47" s="12" t="s">
        <v>154</v>
      </c>
      <c r="C47" s="17">
        <v>500</v>
      </c>
      <c r="D47" s="17" t="s">
        <v>150</v>
      </c>
      <c r="Y47" s="18">
        <f>C47*E47</f>
        <v>0</v>
      </c>
    </row>
    <row r="48" spans="1:92" s="18" customFormat="1" ht="12.75" x14ac:dyDescent="0.2">
      <c r="A48" s="16">
        <v>218270</v>
      </c>
      <c r="B48" s="12" t="s">
        <v>155</v>
      </c>
      <c r="C48" s="17">
        <v>100</v>
      </c>
      <c r="D48" s="17" t="s">
        <v>150</v>
      </c>
      <c r="Y48" s="18">
        <f>C48*E48</f>
        <v>0</v>
      </c>
    </row>
    <row r="49" spans="1:92" s="18" customFormat="1" ht="12.75" x14ac:dyDescent="0.2">
      <c r="A49" s="16">
        <v>218140</v>
      </c>
      <c r="B49" s="17" t="s">
        <v>156</v>
      </c>
      <c r="C49" s="17">
        <v>50</v>
      </c>
      <c r="D49" s="17" t="s">
        <v>150</v>
      </c>
      <c r="Y49" s="18">
        <f>C49*E49</f>
        <v>0</v>
      </c>
    </row>
    <row r="50" spans="1:92" s="18" customFormat="1" ht="12.75" x14ac:dyDescent="0.2">
      <c r="A50" s="16">
        <v>228130</v>
      </c>
      <c r="B50" s="17" t="s">
        <v>147</v>
      </c>
      <c r="C50" s="17">
        <v>10</v>
      </c>
      <c r="D50" s="17" t="s">
        <v>151</v>
      </c>
    </row>
    <row r="51" spans="1:92" s="18" customFormat="1" ht="12.75" x14ac:dyDescent="0.2">
      <c r="A51" s="16">
        <v>228350</v>
      </c>
      <c r="B51" s="12" t="s">
        <v>157</v>
      </c>
      <c r="C51" s="17">
        <v>25</v>
      </c>
      <c r="D51" s="17" t="s">
        <v>151</v>
      </c>
    </row>
    <row r="52" spans="1:92" s="18" customFormat="1" ht="12.75" x14ac:dyDescent="0.2">
      <c r="A52" s="16">
        <v>228370</v>
      </c>
      <c r="B52" s="12" t="s">
        <v>158</v>
      </c>
      <c r="C52" s="17">
        <v>30</v>
      </c>
      <c r="D52" s="17" t="s">
        <v>151</v>
      </c>
    </row>
    <row r="53" spans="1:92" s="18" customFormat="1" ht="12.75" x14ac:dyDescent="0.2">
      <c r="A53" s="16">
        <v>798200</v>
      </c>
      <c r="B53" s="16" t="s">
        <v>159</v>
      </c>
      <c r="C53" s="17">
        <v>1</v>
      </c>
      <c r="D53" s="17" t="s">
        <v>151</v>
      </c>
    </row>
    <row r="54" spans="1:92" s="18" customFormat="1" ht="12.75" x14ac:dyDescent="0.2">
      <c r="A54" s="16">
        <v>918140</v>
      </c>
      <c r="B54" s="16" t="s">
        <v>160</v>
      </c>
      <c r="C54" s="17">
        <v>100</v>
      </c>
      <c r="D54" s="17" t="s">
        <v>151</v>
      </c>
    </row>
    <row r="55" spans="1:92" s="9" customFormat="1" x14ac:dyDescent="0.2">
      <c r="A55" s="11">
        <v>438200</v>
      </c>
      <c r="B55" s="12" t="s">
        <v>161</v>
      </c>
      <c r="C55" s="13">
        <v>5</v>
      </c>
      <c r="D55" s="13" t="s">
        <v>150</v>
      </c>
    </row>
    <row r="56" spans="1:92" s="9" customFormat="1" x14ac:dyDescent="0.2">
      <c r="A56" s="11"/>
      <c r="B56" s="12" t="s">
        <v>223</v>
      </c>
      <c r="C56" s="17">
        <v>1</v>
      </c>
      <c r="D56" s="17" t="s">
        <v>226</v>
      </c>
      <c r="E56" s="9">
        <v>3000</v>
      </c>
    </row>
    <row r="57" spans="1:92" s="8" customFormat="1" ht="12.75" x14ac:dyDescent="0.2">
      <c r="A57" s="14" t="s">
        <v>14</v>
      </c>
      <c r="B57" s="14" t="s">
        <v>55</v>
      </c>
      <c r="C57" s="8">
        <v>1</v>
      </c>
      <c r="E57" s="8">
        <v>0</v>
      </c>
      <c r="G57" s="8">
        <v>0</v>
      </c>
      <c r="I57" s="8">
        <v>3</v>
      </c>
      <c r="J57" s="8" t="s">
        <v>1</v>
      </c>
      <c r="L57" s="8">
        <v>0</v>
      </c>
      <c r="O57" s="8" t="str">
        <f t="shared" si="38"/>
        <v>טיוטא</v>
      </c>
      <c r="P57" s="8" t="str">
        <f t="shared" si="39"/>
        <v>אופיר</v>
      </c>
      <c r="R57" s="8">
        <v>0</v>
      </c>
      <c r="X57" s="8" t="str">
        <f t="shared" si="40"/>
        <v>ש"ח</v>
      </c>
      <c r="Y57" s="8">
        <v>0</v>
      </c>
      <c r="Z57" s="8" t="str">
        <f t="shared" si="41"/>
        <v>ש"ח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 t="str">
        <f>"ש""ח"</f>
        <v>ש"ח</v>
      </c>
      <c r="AH57" s="8">
        <v>0</v>
      </c>
      <c r="AI57" s="8">
        <v>0</v>
      </c>
      <c r="AJ57" s="8" t="str">
        <f>"ידני"</f>
        <v>ידני</v>
      </c>
      <c r="AK57" s="8">
        <v>1</v>
      </c>
      <c r="AQ57" s="8">
        <v>0</v>
      </c>
      <c r="AW57" s="8" t="str">
        <f>"אופיר"</f>
        <v>אופיר</v>
      </c>
      <c r="AX57" s="8" t="s">
        <v>8</v>
      </c>
      <c r="AY57" s="8">
        <v>40</v>
      </c>
      <c r="AZ57" s="8">
        <v>0</v>
      </c>
      <c r="BA57" s="8">
        <v>0</v>
      </c>
      <c r="BB57" s="8">
        <v>0</v>
      </c>
      <c r="BJ57" s="8">
        <v>0</v>
      </c>
      <c r="BK57" s="8">
        <v>0</v>
      </c>
      <c r="BN57" s="8">
        <v>0</v>
      </c>
      <c r="BO57" s="8">
        <v>0</v>
      </c>
      <c r="BV57" s="8">
        <v>0</v>
      </c>
      <c r="BW57" s="8">
        <v>0</v>
      </c>
      <c r="BX57" s="8">
        <v>0</v>
      </c>
      <c r="CA57" s="8">
        <v>1</v>
      </c>
      <c r="CB57" s="8">
        <v>0</v>
      </c>
      <c r="CC57" s="8">
        <v>0</v>
      </c>
      <c r="CD57" s="8">
        <v>0</v>
      </c>
      <c r="CE57" s="8">
        <v>0</v>
      </c>
      <c r="CM57" s="8">
        <v>0</v>
      </c>
      <c r="CN57" s="8">
        <v>0</v>
      </c>
    </row>
    <row r="58" spans="1:92" s="8" customFormat="1" ht="12.75" x14ac:dyDescent="0.2">
      <c r="A58" s="23"/>
      <c r="B58" s="23"/>
    </row>
    <row r="59" spans="1:92" s="17" customFormat="1" ht="15" customHeight="1" x14ac:dyDescent="0.2">
      <c r="A59" s="16">
        <v>218260</v>
      </c>
      <c r="B59" s="12" t="s">
        <v>154</v>
      </c>
      <c r="C59" s="17">
        <v>700</v>
      </c>
      <c r="D59" s="17" t="s">
        <v>150</v>
      </c>
    </row>
    <row r="60" spans="1:92" s="17" customFormat="1" ht="12.75" x14ac:dyDescent="0.2">
      <c r="A60" s="16">
        <v>218290</v>
      </c>
      <c r="B60" s="12" t="s">
        <v>162</v>
      </c>
      <c r="C60" s="17">
        <v>800</v>
      </c>
      <c r="D60" s="17" t="s">
        <v>150</v>
      </c>
    </row>
    <row r="61" spans="1:92" s="17" customFormat="1" ht="12.75" x14ac:dyDescent="0.2">
      <c r="A61" s="16">
        <v>218370</v>
      </c>
      <c r="B61" s="12" t="s">
        <v>163</v>
      </c>
      <c r="C61" s="17">
        <v>150</v>
      </c>
      <c r="D61" s="17" t="s">
        <v>150</v>
      </c>
    </row>
    <row r="62" spans="1:92" s="17" customFormat="1" ht="12.75" x14ac:dyDescent="0.2">
      <c r="A62" s="16">
        <v>218340</v>
      </c>
      <c r="B62" s="12" t="s">
        <v>164</v>
      </c>
      <c r="C62" s="17">
        <v>150</v>
      </c>
      <c r="D62" s="17" t="s">
        <v>150</v>
      </c>
    </row>
    <row r="63" spans="1:92" s="17" customFormat="1" ht="12.75" x14ac:dyDescent="0.2">
      <c r="A63" s="16">
        <v>218190</v>
      </c>
      <c r="B63" s="12" t="s">
        <v>148</v>
      </c>
      <c r="C63" s="17">
        <v>300</v>
      </c>
      <c r="D63" s="17" t="s">
        <v>150</v>
      </c>
    </row>
    <row r="64" spans="1:92" s="17" customFormat="1" ht="12.75" x14ac:dyDescent="0.2">
      <c r="A64" s="16">
        <v>218300</v>
      </c>
      <c r="B64" s="12" t="s">
        <v>165</v>
      </c>
      <c r="C64" s="17">
        <v>50</v>
      </c>
      <c r="D64" s="17" t="s">
        <v>150</v>
      </c>
    </row>
    <row r="65" spans="1:4" s="17" customFormat="1" ht="12.75" x14ac:dyDescent="0.2">
      <c r="A65" s="16">
        <v>368110</v>
      </c>
      <c r="B65" s="12" t="s">
        <v>166</v>
      </c>
      <c r="C65" s="17">
        <v>800</v>
      </c>
      <c r="D65" s="17" t="s">
        <v>150</v>
      </c>
    </row>
    <row r="66" spans="1:4" s="17" customFormat="1" ht="12.75" x14ac:dyDescent="0.2">
      <c r="A66" s="16">
        <v>368120</v>
      </c>
      <c r="B66" s="12" t="s">
        <v>167</v>
      </c>
      <c r="C66" s="17">
        <v>800</v>
      </c>
      <c r="D66" s="17" t="s">
        <v>150</v>
      </c>
    </row>
    <row r="67" spans="1:4" s="17" customFormat="1" ht="12.75" x14ac:dyDescent="0.2">
      <c r="A67" s="16">
        <v>368130</v>
      </c>
      <c r="B67" s="12" t="s">
        <v>168</v>
      </c>
      <c r="C67" s="17">
        <v>800</v>
      </c>
      <c r="D67" s="17" t="s">
        <v>150</v>
      </c>
    </row>
    <row r="68" spans="1:4" s="17" customFormat="1" ht="12.75" x14ac:dyDescent="0.2">
      <c r="A68" s="16">
        <v>368140</v>
      </c>
      <c r="B68" s="12" t="s">
        <v>169</v>
      </c>
      <c r="C68" s="17">
        <v>800</v>
      </c>
      <c r="D68" s="17" t="s">
        <v>150</v>
      </c>
    </row>
    <row r="69" spans="1:4" s="17" customFormat="1" ht="12.75" x14ac:dyDescent="0.2">
      <c r="A69" s="16">
        <v>368150</v>
      </c>
      <c r="B69" s="12" t="s">
        <v>170</v>
      </c>
      <c r="C69" s="17">
        <v>800</v>
      </c>
      <c r="D69" s="17" t="s">
        <v>150</v>
      </c>
    </row>
    <row r="70" spans="1:4" s="17" customFormat="1" ht="12.75" x14ac:dyDescent="0.2">
      <c r="A70" s="16">
        <v>368160</v>
      </c>
      <c r="B70" s="12" t="s">
        <v>171</v>
      </c>
      <c r="C70" s="17">
        <v>700</v>
      </c>
      <c r="D70" s="17" t="s">
        <v>150</v>
      </c>
    </row>
    <row r="71" spans="1:4" s="17" customFormat="1" ht="12.75" x14ac:dyDescent="0.2">
      <c r="A71" s="16">
        <v>368170</v>
      </c>
      <c r="B71" s="12" t="s">
        <v>172</v>
      </c>
      <c r="C71" s="17">
        <v>700</v>
      </c>
      <c r="D71" s="17" t="s">
        <v>150</v>
      </c>
    </row>
    <row r="72" spans="1:4" s="17" customFormat="1" ht="12.75" x14ac:dyDescent="0.2">
      <c r="A72" s="16">
        <v>368180</v>
      </c>
      <c r="B72" s="12" t="s">
        <v>173</v>
      </c>
      <c r="C72" s="17">
        <v>700</v>
      </c>
      <c r="D72" s="17" t="s">
        <v>150</v>
      </c>
    </row>
    <row r="73" spans="1:4" s="17" customFormat="1" ht="12.75" x14ac:dyDescent="0.2">
      <c r="A73" s="16">
        <v>378120</v>
      </c>
      <c r="B73" s="12" t="s">
        <v>174</v>
      </c>
      <c r="C73" s="17">
        <v>200</v>
      </c>
      <c r="D73" s="17" t="s">
        <v>150</v>
      </c>
    </row>
    <row r="74" spans="1:4" s="17" customFormat="1" ht="12.75" x14ac:dyDescent="0.2">
      <c r="A74" s="16">
        <v>228350</v>
      </c>
      <c r="B74" s="12" t="s">
        <v>157</v>
      </c>
      <c r="C74" s="17">
        <v>60</v>
      </c>
      <c r="D74" s="17" t="s">
        <v>151</v>
      </c>
    </row>
    <row r="75" spans="1:4" s="17" customFormat="1" ht="12.75" x14ac:dyDescent="0.2">
      <c r="A75" s="16">
        <v>228370</v>
      </c>
      <c r="B75" s="12" t="s">
        <v>158</v>
      </c>
      <c r="C75" s="17">
        <v>30</v>
      </c>
      <c r="D75" s="17" t="s">
        <v>151</v>
      </c>
    </row>
    <row r="76" spans="1:4" s="17" customFormat="1" ht="12.75" x14ac:dyDescent="0.2">
      <c r="A76" s="16">
        <v>918180</v>
      </c>
      <c r="B76" s="12" t="s">
        <v>149</v>
      </c>
      <c r="C76" s="17">
        <v>4</v>
      </c>
      <c r="D76" s="17" t="s">
        <v>152</v>
      </c>
    </row>
    <row r="77" spans="1:4" s="17" customFormat="1" ht="12.75" x14ac:dyDescent="0.2">
      <c r="A77" s="16">
        <v>918190</v>
      </c>
      <c r="B77" s="16" t="s">
        <v>175</v>
      </c>
      <c r="C77" s="17">
        <v>4</v>
      </c>
      <c r="D77" s="17" t="s">
        <v>152</v>
      </c>
    </row>
    <row r="78" spans="1:4" s="17" customFormat="1" ht="12.75" x14ac:dyDescent="0.2">
      <c r="A78" s="16">
        <v>228130</v>
      </c>
      <c r="B78" s="17" t="s">
        <v>147</v>
      </c>
      <c r="C78" s="17">
        <v>10</v>
      </c>
      <c r="D78" s="17" t="s">
        <v>153</v>
      </c>
    </row>
    <row r="79" spans="1:4" s="17" customFormat="1" ht="12.75" x14ac:dyDescent="0.2">
      <c r="A79" s="16">
        <v>228140</v>
      </c>
      <c r="B79" s="12" t="s">
        <v>176</v>
      </c>
      <c r="C79" s="17">
        <v>25</v>
      </c>
      <c r="D79" s="17" t="s">
        <v>153</v>
      </c>
    </row>
    <row r="80" spans="1:4" s="17" customFormat="1" ht="13.5" customHeight="1" x14ac:dyDescent="0.2">
      <c r="A80" s="16">
        <v>438200</v>
      </c>
      <c r="B80" s="12" t="s">
        <v>161</v>
      </c>
      <c r="C80" s="17">
        <v>10</v>
      </c>
      <c r="D80" s="17" t="s">
        <v>151</v>
      </c>
    </row>
    <row r="81" spans="1:92" s="17" customFormat="1" ht="13.5" customHeight="1" x14ac:dyDescent="0.2">
      <c r="A81" s="19">
        <v>708580</v>
      </c>
      <c r="B81" s="20" t="s">
        <v>216</v>
      </c>
      <c r="C81" s="17">
        <v>1</v>
      </c>
      <c r="D81" s="17" t="s">
        <v>153</v>
      </c>
    </row>
    <row r="82" spans="1:92" s="17" customFormat="1" ht="13.5" customHeight="1" x14ac:dyDescent="0.2">
      <c r="A82" s="11">
        <v>109999</v>
      </c>
      <c r="B82" s="11" t="s">
        <v>223</v>
      </c>
      <c r="C82" s="17">
        <v>1</v>
      </c>
      <c r="D82" s="17" t="s">
        <v>151</v>
      </c>
      <c r="E82" s="17">
        <v>12000</v>
      </c>
    </row>
    <row r="83" spans="1:92" x14ac:dyDescent="0.2">
      <c r="A83" s="15" t="s">
        <v>34</v>
      </c>
      <c r="B83" s="15" t="s">
        <v>56</v>
      </c>
      <c r="C83">
        <v>1</v>
      </c>
      <c r="E83">
        <v>0</v>
      </c>
      <c r="G83">
        <v>0</v>
      </c>
      <c r="I83">
        <v>3</v>
      </c>
      <c r="J83" t="s">
        <v>1</v>
      </c>
      <c r="L83">
        <v>0</v>
      </c>
      <c r="O83" t="str">
        <f t="shared" si="38"/>
        <v>טיוטא</v>
      </c>
      <c r="P83" t="str">
        <f t="shared" si="39"/>
        <v>אופיר</v>
      </c>
      <c r="R83">
        <v>0</v>
      </c>
      <c r="X83" t="str">
        <f t="shared" si="40"/>
        <v>ש"ח</v>
      </c>
      <c r="Y83">
        <v>0</v>
      </c>
      <c r="Z83" t="str">
        <f t="shared" si="41"/>
        <v>ש"ח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 t="str">
        <f>"ש""ח"</f>
        <v>ש"ח</v>
      </c>
      <c r="AH83">
        <v>0</v>
      </c>
      <c r="AI83">
        <v>0</v>
      </c>
      <c r="AJ83" t="str">
        <f>"ידני"</f>
        <v>ידני</v>
      </c>
      <c r="AK83">
        <v>1</v>
      </c>
      <c r="AQ83">
        <v>0</v>
      </c>
      <c r="AW83" t="str">
        <f>"אופיר"</f>
        <v>אופיר</v>
      </c>
      <c r="AX83" t="s">
        <v>8</v>
      </c>
      <c r="AY83">
        <v>40</v>
      </c>
      <c r="AZ83">
        <v>0</v>
      </c>
      <c r="BA83">
        <v>0</v>
      </c>
      <c r="BB83">
        <v>0</v>
      </c>
      <c r="BJ83">
        <v>0</v>
      </c>
      <c r="BK83">
        <v>0</v>
      </c>
      <c r="BN83">
        <v>0</v>
      </c>
      <c r="BO83">
        <v>0</v>
      </c>
      <c r="BV83">
        <v>0</v>
      </c>
      <c r="BW83">
        <v>0</v>
      </c>
      <c r="BX83">
        <v>0</v>
      </c>
      <c r="CA83">
        <v>1</v>
      </c>
      <c r="CB83">
        <v>0</v>
      </c>
      <c r="CC83">
        <v>0</v>
      </c>
      <c r="CD83">
        <v>0</v>
      </c>
      <c r="CE83">
        <v>0</v>
      </c>
      <c r="CM83">
        <v>0</v>
      </c>
      <c r="CN83">
        <v>0</v>
      </c>
    </row>
    <row r="84" spans="1:92" x14ac:dyDescent="0.2">
      <c r="A84" s="19" t="str">
        <f>"150011290"</f>
        <v>150011290</v>
      </c>
      <c r="B84" s="19" t="str">
        <f>"נורת ניאון אדומה 220"</f>
        <v>נורת ניאון אדומה 220</v>
      </c>
      <c r="C84" s="17">
        <v>8</v>
      </c>
      <c r="D84" s="17" t="s">
        <v>151</v>
      </c>
    </row>
    <row r="85" spans="1:92" x14ac:dyDescent="0.2">
      <c r="A85" s="19" t="str">
        <f>"150020002"</f>
        <v>150020002</v>
      </c>
      <c r="B85" s="19" t="str">
        <f>"שקע כח ישראלי NEVE-"</f>
        <v>שקע כח ישראלי NEVE-</v>
      </c>
      <c r="C85" s="17">
        <v>77</v>
      </c>
      <c r="D85" s="17" t="s">
        <v>151</v>
      </c>
    </row>
    <row r="86" spans="1:92" x14ac:dyDescent="0.2">
      <c r="A86" s="19" t="str">
        <f>"150020004"</f>
        <v>150020004</v>
      </c>
      <c r="B86" s="19" t="str">
        <f>"שקע טלפון NEVE-"</f>
        <v>שקע טלפון NEVE-</v>
      </c>
      <c r="C86" s="17">
        <v>14</v>
      </c>
      <c r="D86" s="17" t="s">
        <v>151</v>
      </c>
    </row>
    <row r="87" spans="1:92" x14ac:dyDescent="0.2">
      <c r="A87" s="19" t="str">
        <f>"150020014"</f>
        <v>150020014</v>
      </c>
      <c r="B87" s="19" t="str">
        <f>"דמי NEVE-"</f>
        <v>דמי NEVE-</v>
      </c>
      <c r="C87" s="17">
        <v>22</v>
      </c>
      <c r="D87" s="17" t="s">
        <v>151</v>
      </c>
    </row>
    <row r="88" spans="1:92" x14ac:dyDescent="0.2">
      <c r="A88" s="19" t="str">
        <f>"150020023"</f>
        <v>150020023</v>
      </c>
      <c r="B88" s="19" t="str">
        <f>"לחצן מואר NEVE-"</f>
        <v>לחצן מואר NEVE-</v>
      </c>
      <c r="C88" s="17">
        <v>4</v>
      </c>
      <c r="D88" s="17" t="s">
        <v>151</v>
      </c>
    </row>
    <row r="89" spans="1:92" x14ac:dyDescent="0.2">
      <c r="A89" s="19" t="str">
        <f>"150020024"</f>
        <v>150020024</v>
      </c>
      <c r="B89" s="19" t="str">
        <f>"לחצן רחב 2 .NEVE-"</f>
        <v>לחצן רחב 2 .NEVE-</v>
      </c>
      <c r="C89" s="17">
        <v>2</v>
      </c>
      <c r="D89" s="17" t="s">
        <v>151</v>
      </c>
    </row>
    <row r="90" spans="1:92" x14ac:dyDescent="0.2">
      <c r="A90" s="19" t="str">
        <f>"150020029"</f>
        <v>150020029</v>
      </c>
      <c r="B90" s="19" t="str">
        <f>"מסגרת 1 מודול NEVE-"</f>
        <v>מסגרת 1 מודול NEVE-</v>
      </c>
      <c r="C90" s="17">
        <v>33</v>
      </c>
      <c r="D90" s="17" t="s">
        <v>151</v>
      </c>
    </row>
    <row r="91" spans="1:92" x14ac:dyDescent="0.2">
      <c r="A91" s="19" t="str">
        <f>"150020036"</f>
        <v>150020036</v>
      </c>
      <c r="B91" s="19" t="str">
        <f>"מסגרת 2 מודול NEVE-"</f>
        <v>מסגרת 2 מודול NEVE-</v>
      </c>
      <c r="C91" s="17">
        <v>22</v>
      </c>
      <c r="D91" s="17" t="s">
        <v>151</v>
      </c>
    </row>
    <row r="92" spans="1:92" x14ac:dyDescent="0.2">
      <c r="A92" s="19" t="str">
        <f>"150020041"</f>
        <v>150020041</v>
      </c>
      <c r="B92" s="19" t="str">
        <f>"מסגרת 3 מודול NEVE-"</f>
        <v>מסגרת 3 מודול NEVE-</v>
      </c>
      <c r="C92" s="17">
        <v>13</v>
      </c>
      <c r="D92" s="17" t="s">
        <v>151</v>
      </c>
    </row>
    <row r="93" spans="1:92" x14ac:dyDescent="0.2">
      <c r="A93" s="19" t="str">
        <f>"150020045"</f>
        <v>150020045</v>
      </c>
      <c r="B93" s="19" t="str">
        <f>"מסגרת 4 מודול NEVE-"</f>
        <v>מסגרת 4 מודול NEVE-</v>
      </c>
      <c r="C93" s="17">
        <v>28</v>
      </c>
      <c r="D93" s="17" t="s">
        <v>151</v>
      </c>
    </row>
    <row r="94" spans="1:92" x14ac:dyDescent="0.2">
      <c r="A94" s="19" t="str">
        <f>"150020059"</f>
        <v>150020059</v>
      </c>
      <c r="B94" s="19" t="str">
        <f>"מפסק יחיד NEVE-"</f>
        <v>מפסק יחיד NEVE-</v>
      </c>
      <c r="C94" s="17">
        <v>30</v>
      </c>
      <c r="D94" s="17" t="s">
        <v>151</v>
      </c>
    </row>
    <row r="95" spans="1:92" x14ac:dyDescent="0.2">
      <c r="A95" s="19" t="str">
        <f>"150020061"</f>
        <v>150020061</v>
      </c>
      <c r="B95" s="19" t="str">
        <f>"מפסק חיולף NEVE-"</f>
        <v>מפסק חיולף NEVE-</v>
      </c>
      <c r="C95" s="17">
        <v>25</v>
      </c>
      <c r="D95" s="17" t="s">
        <v>151</v>
      </c>
    </row>
    <row r="96" spans="1:92" x14ac:dyDescent="0.2">
      <c r="A96" s="19" t="str">
        <f>"150020063"</f>
        <v>150020063</v>
      </c>
      <c r="B96" s="19" t="str">
        <f>"מפסק צלב NEVE-"</f>
        <v>מפסק צלב NEVE-</v>
      </c>
      <c r="C96" s="17">
        <v>3</v>
      </c>
      <c r="D96" s="17" t="s">
        <v>151</v>
      </c>
    </row>
    <row r="97" spans="1:92" x14ac:dyDescent="0.2">
      <c r="A97" s="19" t="str">
        <f>"150020068"</f>
        <v>150020068</v>
      </c>
      <c r="B97" s="19" t="str">
        <f>"מתאם 2 מודול NEVE-"</f>
        <v>מתאם 2 מודול NEVE-</v>
      </c>
      <c r="C97" s="17">
        <v>22</v>
      </c>
      <c r="D97" s="17" t="s">
        <v>151</v>
      </c>
    </row>
    <row r="98" spans="1:92" x14ac:dyDescent="0.2">
      <c r="A98" s="19" t="str">
        <f>"150020069"</f>
        <v>150020069</v>
      </c>
      <c r="B98" s="19" t="str">
        <f>"מתאם 3 מודול NEVE-"</f>
        <v>מתאם 3 מודול NEVE-</v>
      </c>
      <c r="C98" s="17">
        <v>46</v>
      </c>
      <c r="D98" s="17" t="s">
        <v>151</v>
      </c>
    </row>
    <row r="99" spans="1:92" x14ac:dyDescent="0.2">
      <c r="A99" s="19" t="str">
        <f>"150020070"</f>
        <v>150020070</v>
      </c>
      <c r="B99" s="19" t="str">
        <f>"מתאם 4 מודול NEVE-"</f>
        <v>מתאם 4 מודול NEVE-</v>
      </c>
      <c r="C99" s="17">
        <v>28</v>
      </c>
      <c r="D99" s="17" t="s">
        <v>151</v>
      </c>
    </row>
    <row r="100" spans="1:92" x14ac:dyDescent="0.2">
      <c r="A100" s="19" t="str">
        <f>"150020090"</f>
        <v>150020090</v>
      </c>
      <c r="B100" s="19" t="str">
        <f>"מפסק דוד NEVE-"</f>
        <v>מפסק דוד NEVE-</v>
      </c>
      <c r="C100" s="17">
        <v>4</v>
      </c>
      <c r="D100" s="17" t="s">
        <v>151</v>
      </c>
    </row>
    <row r="101" spans="1:92" x14ac:dyDescent="0.2">
      <c r="A101" s="19">
        <v>938140</v>
      </c>
      <c r="B101" s="21" t="s">
        <v>217</v>
      </c>
    </row>
    <row r="102" spans="1:92" x14ac:dyDescent="0.2">
      <c r="A102" s="19">
        <v>938150</v>
      </c>
      <c r="B102" s="21" t="s">
        <v>218</v>
      </c>
    </row>
    <row r="103" spans="1:92" x14ac:dyDescent="0.2">
      <c r="A103" s="19">
        <v>708370</v>
      </c>
      <c r="B103" s="21" t="s">
        <v>219</v>
      </c>
    </row>
    <row r="104" spans="1:92" x14ac:dyDescent="0.2">
      <c r="A104" s="19">
        <v>378160</v>
      </c>
      <c r="B104" s="21" t="s">
        <v>220</v>
      </c>
    </row>
    <row r="105" spans="1:92" x14ac:dyDescent="0.2">
      <c r="A105" s="19">
        <v>708470</v>
      </c>
      <c r="B105" s="21" t="s">
        <v>221</v>
      </c>
    </row>
    <row r="106" spans="1:92" x14ac:dyDescent="0.2">
      <c r="A106" s="19">
        <v>628160</v>
      </c>
      <c r="B106" s="21" t="s">
        <v>222</v>
      </c>
    </row>
    <row r="107" spans="1:92" x14ac:dyDescent="0.2">
      <c r="A107" s="11">
        <v>109999</v>
      </c>
      <c r="B107" s="11" t="s">
        <v>223</v>
      </c>
      <c r="C107" s="17">
        <v>1</v>
      </c>
      <c r="D107" s="17" t="s">
        <v>151</v>
      </c>
      <c r="E107" s="17">
        <v>8000</v>
      </c>
    </row>
    <row r="108" spans="1:92" x14ac:dyDescent="0.2">
      <c r="A108" s="11">
        <v>640000</v>
      </c>
      <c r="B108" s="22" t="s">
        <v>224</v>
      </c>
      <c r="C108">
        <v>1</v>
      </c>
      <c r="D108" t="s">
        <v>151</v>
      </c>
      <c r="E108">
        <v>6800</v>
      </c>
    </row>
    <row r="109" spans="1:92" x14ac:dyDescent="0.2">
      <c r="A109" s="11">
        <v>999999</v>
      </c>
      <c r="B109" s="22" t="s">
        <v>225</v>
      </c>
      <c r="C109">
        <v>1</v>
      </c>
      <c r="D109" t="s">
        <v>226</v>
      </c>
      <c r="E109">
        <v>1800</v>
      </c>
    </row>
    <row r="110" spans="1:92" x14ac:dyDescent="0.2">
      <c r="A110" s="5" t="s">
        <v>35</v>
      </c>
      <c r="B110" s="5" t="s">
        <v>57</v>
      </c>
      <c r="C110">
        <v>1</v>
      </c>
      <c r="E110">
        <v>0</v>
      </c>
      <c r="G110">
        <v>0</v>
      </c>
      <c r="I110">
        <v>3</v>
      </c>
      <c r="J110" t="s">
        <v>15</v>
      </c>
      <c r="L110">
        <v>1</v>
      </c>
      <c r="O110" t="str">
        <f t="shared" ref="O110:O826" si="42">"טיוטא"</f>
        <v>טיוטא</v>
      </c>
      <c r="P110" t="str">
        <f t="shared" ref="P110:P826" si="43">"אופיר"</f>
        <v>אופיר</v>
      </c>
      <c r="R110">
        <v>1</v>
      </c>
      <c r="X110" t="str">
        <f t="shared" ref="X110:X826" si="44">"ש""ח"</f>
        <v>ש"ח</v>
      </c>
      <c r="Y110">
        <v>0</v>
      </c>
      <c r="Z110" t="str">
        <f t="shared" ref="Z110:Z826" si="45">"ש""ח"</f>
        <v>ש"ח</v>
      </c>
    </row>
    <row r="111" spans="1:92" ht="15" x14ac:dyDescent="0.2">
      <c r="A111" s="6">
        <v>10.199999999999999</v>
      </c>
      <c r="B111" s="6" t="s">
        <v>58</v>
      </c>
      <c r="C111">
        <v>1</v>
      </c>
      <c r="E111">
        <v>0</v>
      </c>
      <c r="G111">
        <v>100</v>
      </c>
      <c r="I111">
        <v>2</v>
      </c>
      <c r="J111" t="s">
        <v>1</v>
      </c>
      <c r="L111">
        <v>0</v>
      </c>
      <c r="N111" t="s">
        <v>10</v>
      </c>
      <c r="O111" t="str">
        <f>"טיוטא"</f>
        <v>טיוטא</v>
      </c>
      <c r="P111" t="str">
        <f>"אופיר"</f>
        <v>אופיר</v>
      </c>
      <c r="R111">
        <v>0</v>
      </c>
      <c r="X111" t="str">
        <f>"ש""ח"</f>
        <v>ש"ח</v>
      </c>
      <c r="Y111">
        <v>0</v>
      </c>
      <c r="Z111" t="str">
        <f>"ש""ח"</f>
        <v>ש"ח</v>
      </c>
      <c r="AA111">
        <v>0</v>
      </c>
      <c r="AB111">
        <v>6840</v>
      </c>
      <c r="AC111">
        <v>6840</v>
      </c>
      <c r="AD111">
        <v>0</v>
      </c>
      <c r="AE111">
        <v>6840</v>
      </c>
      <c r="AF111">
        <v>6840</v>
      </c>
      <c r="AG111" t="str">
        <f t="shared" ref="AG111:AG436" si="46">"ש""ח"</f>
        <v>ש"ח</v>
      </c>
      <c r="AH111">
        <v>0</v>
      </c>
      <c r="AI111">
        <v>0</v>
      </c>
      <c r="AJ111" t="str">
        <f>"ידני"</f>
        <v>ידני</v>
      </c>
      <c r="AK111">
        <v>1</v>
      </c>
      <c r="AQ111">
        <v>0</v>
      </c>
      <c r="AW111" t="str">
        <f t="shared" ref="AW111:AW436" si="47">"אופיר"</f>
        <v>אופיר</v>
      </c>
      <c r="AX111" t="s">
        <v>9</v>
      </c>
      <c r="AY111">
        <v>38</v>
      </c>
      <c r="AZ111">
        <v>0</v>
      </c>
      <c r="BA111">
        <v>0</v>
      </c>
      <c r="BB111">
        <v>0</v>
      </c>
      <c r="BJ111">
        <v>0</v>
      </c>
      <c r="BK111">
        <v>0</v>
      </c>
      <c r="BN111">
        <v>0</v>
      </c>
      <c r="BO111">
        <v>6840</v>
      </c>
      <c r="BV111">
        <v>0</v>
      </c>
      <c r="BW111">
        <v>0</v>
      </c>
      <c r="BX111">
        <v>0</v>
      </c>
      <c r="CA111">
        <v>1</v>
      </c>
      <c r="CB111">
        <v>0</v>
      </c>
      <c r="CC111">
        <v>0</v>
      </c>
      <c r="CD111">
        <v>0</v>
      </c>
      <c r="CE111">
        <v>0</v>
      </c>
      <c r="CM111">
        <v>0</v>
      </c>
      <c r="CN111">
        <v>0</v>
      </c>
    </row>
    <row r="112" spans="1:92" x14ac:dyDescent="0.2">
      <c r="A112" s="5" t="s">
        <v>39</v>
      </c>
      <c r="B112" s="5" t="s">
        <v>54</v>
      </c>
      <c r="C112">
        <v>1</v>
      </c>
      <c r="E112">
        <v>0</v>
      </c>
      <c r="G112">
        <v>0</v>
      </c>
      <c r="I112">
        <v>3</v>
      </c>
      <c r="J112" t="s">
        <v>1</v>
      </c>
      <c r="L112">
        <v>0</v>
      </c>
      <c r="O112" t="str">
        <f>"טיוטא"</f>
        <v>טיוטא</v>
      </c>
      <c r="P112" t="str">
        <f>"אופיר"</f>
        <v>אופיר</v>
      </c>
      <c r="R112">
        <v>0</v>
      </c>
      <c r="X112" t="str">
        <f>"ש""ח"</f>
        <v>ש"ח</v>
      </c>
      <c r="Y112">
        <v>0</v>
      </c>
      <c r="Z112" t="str">
        <f>"ש""ח"</f>
        <v>ש"ח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 t="str">
        <f t="shared" si="46"/>
        <v>ש"ח</v>
      </c>
      <c r="AH112">
        <v>0</v>
      </c>
      <c r="AI112">
        <v>0</v>
      </c>
      <c r="AJ112" t="str">
        <f>"ידני"</f>
        <v>ידני</v>
      </c>
      <c r="AK112">
        <v>1</v>
      </c>
      <c r="AQ112">
        <v>0</v>
      </c>
      <c r="AW112" t="str">
        <f t="shared" si="47"/>
        <v>אופיר</v>
      </c>
      <c r="AX112" t="s">
        <v>9</v>
      </c>
      <c r="AY112">
        <v>39</v>
      </c>
      <c r="AZ112">
        <v>0</v>
      </c>
      <c r="BA112">
        <v>0</v>
      </c>
      <c r="BB112">
        <v>0</v>
      </c>
      <c r="BJ112">
        <v>0</v>
      </c>
      <c r="BK112">
        <v>0</v>
      </c>
      <c r="BN112">
        <v>0</v>
      </c>
      <c r="BO112">
        <v>0</v>
      </c>
      <c r="BV112">
        <v>0</v>
      </c>
      <c r="BW112">
        <v>0</v>
      </c>
      <c r="BX112">
        <v>0</v>
      </c>
      <c r="CA112">
        <v>1</v>
      </c>
      <c r="CB112">
        <v>0</v>
      </c>
      <c r="CC112">
        <v>0</v>
      </c>
      <c r="CD112">
        <v>0</v>
      </c>
      <c r="CE112">
        <v>0</v>
      </c>
      <c r="CM112">
        <v>0</v>
      </c>
      <c r="CN112">
        <v>0</v>
      </c>
    </row>
    <row r="113" spans="1:92" s="18" customFormat="1" ht="15" customHeight="1" x14ac:dyDescent="0.2">
      <c r="A113" s="16">
        <v>218260</v>
      </c>
      <c r="B113" s="12" t="s">
        <v>154</v>
      </c>
      <c r="C113" s="17">
        <v>500</v>
      </c>
      <c r="D113" s="17" t="s">
        <v>150</v>
      </c>
      <c r="Y113" s="18">
        <f>C113*E113</f>
        <v>0</v>
      </c>
    </row>
    <row r="114" spans="1:92" s="18" customFormat="1" ht="12.75" x14ac:dyDescent="0.2">
      <c r="A114" s="16">
        <v>218270</v>
      </c>
      <c r="B114" s="12" t="s">
        <v>155</v>
      </c>
      <c r="C114" s="17">
        <v>100</v>
      </c>
      <c r="D114" s="17" t="s">
        <v>150</v>
      </c>
      <c r="Y114" s="18">
        <f>C114*E114</f>
        <v>0</v>
      </c>
    </row>
    <row r="115" spans="1:92" s="18" customFormat="1" ht="12.75" x14ac:dyDescent="0.2">
      <c r="A115" s="16">
        <v>218140</v>
      </c>
      <c r="B115" s="17" t="s">
        <v>156</v>
      </c>
      <c r="C115" s="17">
        <v>50</v>
      </c>
      <c r="D115" s="17" t="s">
        <v>150</v>
      </c>
      <c r="Y115" s="18">
        <f>C115*E115</f>
        <v>0</v>
      </c>
    </row>
    <row r="116" spans="1:92" s="18" customFormat="1" ht="12.75" x14ac:dyDescent="0.2">
      <c r="A116" s="16">
        <v>228130</v>
      </c>
      <c r="B116" s="17" t="s">
        <v>147</v>
      </c>
      <c r="C116" s="17">
        <v>10</v>
      </c>
      <c r="D116" s="17" t="s">
        <v>151</v>
      </c>
    </row>
    <row r="117" spans="1:92" s="18" customFormat="1" ht="12.75" x14ac:dyDescent="0.2">
      <c r="A117" s="16">
        <v>228350</v>
      </c>
      <c r="B117" s="12" t="s">
        <v>157</v>
      </c>
      <c r="C117" s="17">
        <v>25</v>
      </c>
      <c r="D117" s="17" t="s">
        <v>151</v>
      </c>
    </row>
    <row r="118" spans="1:92" s="18" customFormat="1" ht="12.75" x14ac:dyDescent="0.2">
      <c r="A118" s="16">
        <v>228370</v>
      </c>
      <c r="B118" s="12" t="s">
        <v>158</v>
      </c>
      <c r="C118" s="17">
        <v>30</v>
      </c>
      <c r="D118" s="17" t="s">
        <v>151</v>
      </c>
    </row>
    <row r="119" spans="1:92" s="18" customFormat="1" ht="12.75" x14ac:dyDescent="0.2">
      <c r="A119" s="16">
        <v>798200</v>
      </c>
      <c r="B119" s="16" t="s">
        <v>159</v>
      </c>
      <c r="C119" s="17">
        <v>1</v>
      </c>
      <c r="D119" s="17" t="s">
        <v>151</v>
      </c>
    </row>
    <row r="120" spans="1:92" s="18" customFormat="1" ht="12.75" x14ac:dyDescent="0.2">
      <c r="A120" s="16">
        <v>918140</v>
      </c>
      <c r="B120" s="16" t="s">
        <v>160</v>
      </c>
      <c r="C120" s="17">
        <v>100</v>
      </c>
      <c r="D120" s="17" t="s">
        <v>151</v>
      </c>
    </row>
    <row r="121" spans="1:92" s="9" customFormat="1" x14ac:dyDescent="0.2">
      <c r="A121" s="11">
        <v>438200</v>
      </c>
      <c r="B121" s="12" t="s">
        <v>161</v>
      </c>
      <c r="C121" s="13">
        <v>5</v>
      </c>
      <c r="D121" s="13" t="s">
        <v>150</v>
      </c>
    </row>
    <row r="122" spans="1:92" s="9" customFormat="1" x14ac:dyDescent="0.2">
      <c r="A122" s="11"/>
      <c r="B122" s="12" t="s">
        <v>223</v>
      </c>
      <c r="C122" s="17">
        <v>1</v>
      </c>
      <c r="D122" s="17" t="s">
        <v>226</v>
      </c>
      <c r="E122" s="9">
        <v>3000</v>
      </c>
    </row>
    <row r="123" spans="1:92" x14ac:dyDescent="0.2">
      <c r="A123" s="5" t="s">
        <v>40</v>
      </c>
      <c r="B123" s="5" t="s">
        <v>55</v>
      </c>
      <c r="C123">
        <v>1</v>
      </c>
      <c r="E123">
        <v>0</v>
      </c>
      <c r="G123">
        <v>0</v>
      </c>
      <c r="I123">
        <v>3</v>
      </c>
      <c r="J123" t="s">
        <v>1</v>
      </c>
      <c r="L123">
        <v>0</v>
      </c>
      <c r="O123" t="str">
        <f>"טיוטא"</f>
        <v>טיוטא</v>
      </c>
      <c r="P123" t="str">
        <f>"אופיר"</f>
        <v>אופיר</v>
      </c>
      <c r="R123">
        <v>0</v>
      </c>
      <c r="X123" t="str">
        <f>"ש""ח"</f>
        <v>ש"ח</v>
      </c>
      <c r="Y123">
        <v>0</v>
      </c>
      <c r="Z123" t="str">
        <f>"ש""ח"</f>
        <v>ש"ח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 t="str">
        <f t="shared" si="46"/>
        <v>ש"ח</v>
      </c>
      <c r="AH123">
        <v>0</v>
      </c>
      <c r="AI123">
        <v>0</v>
      </c>
      <c r="AJ123" t="str">
        <f>"ידני"</f>
        <v>ידני</v>
      </c>
      <c r="AK123">
        <v>1</v>
      </c>
      <c r="AQ123">
        <v>0</v>
      </c>
      <c r="AW123" t="str">
        <f t="shared" si="47"/>
        <v>אופיר</v>
      </c>
      <c r="AX123" t="s">
        <v>8</v>
      </c>
      <c r="AY123">
        <v>40</v>
      </c>
      <c r="AZ123">
        <v>0</v>
      </c>
      <c r="BA123">
        <v>0</v>
      </c>
      <c r="BB123">
        <v>0</v>
      </c>
      <c r="BJ123">
        <v>0</v>
      </c>
      <c r="BK123">
        <v>0</v>
      </c>
      <c r="BN123">
        <v>0</v>
      </c>
      <c r="BO123">
        <v>0</v>
      </c>
      <c r="BV123">
        <v>0</v>
      </c>
      <c r="BW123">
        <v>0</v>
      </c>
      <c r="BX123">
        <v>0</v>
      </c>
      <c r="CA123">
        <v>1</v>
      </c>
      <c r="CB123">
        <v>0</v>
      </c>
      <c r="CC123">
        <v>0</v>
      </c>
      <c r="CD123">
        <v>0</v>
      </c>
      <c r="CE123">
        <v>0</v>
      </c>
      <c r="CM123">
        <v>0</v>
      </c>
      <c r="CN123">
        <v>0</v>
      </c>
    </row>
    <row r="124" spans="1:92" s="17" customFormat="1" ht="15" customHeight="1" x14ac:dyDescent="0.2">
      <c r="A124" s="16">
        <v>218260</v>
      </c>
      <c r="B124" s="12" t="s">
        <v>154</v>
      </c>
      <c r="C124" s="17">
        <v>700</v>
      </c>
      <c r="D124" s="17" t="s">
        <v>150</v>
      </c>
    </row>
    <row r="125" spans="1:92" s="17" customFormat="1" ht="12.75" x14ac:dyDescent="0.2">
      <c r="A125" s="16">
        <v>218290</v>
      </c>
      <c r="B125" s="12" t="s">
        <v>162</v>
      </c>
      <c r="C125" s="17">
        <v>800</v>
      </c>
      <c r="D125" s="17" t="s">
        <v>150</v>
      </c>
    </row>
    <row r="126" spans="1:92" s="17" customFormat="1" ht="12.75" x14ac:dyDescent="0.2">
      <c r="A126" s="16">
        <v>218370</v>
      </c>
      <c r="B126" s="12" t="s">
        <v>163</v>
      </c>
      <c r="C126" s="17">
        <v>150</v>
      </c>
      <c r="D126" s="17" t="s">
        <v>150</v>
      </c>
    </row>
    <row r="127" spans="1:92" s="17" customFormat="1" ht="12.75" x14ac:dyDescent="0.2">
      <c r="A127" s="16">
        <v>218340</v>
      </c>
      <c r="B127" s="12" t="s">
        <v>164</v>
      </c>
      <c r="C127" s="17">
        <v>150</v>
      </c>
      <c r="D127" s="17" t="s">
        <v>150</v>
      </c>
    </row>
    <row r="128" spans="1:92" s="17" customFormat="1" ht="12.75" x14ac:dyDescent="0.2">
      <c r="A128" s="16">
        <v>218190</v>
      </c>
      <c r="B128" s="12" t="s">
        <v>148</v>
      </c>
      <c r="C128" s="17">
        <v>300</v>
      </c>
      <c r="D128" s="17" t="s">
        <v>150</v>
      </c>
    </row>
    <row r="129" spans="1:4" s="17" customFormat="1" ht="12.75" x14ac:dyDescent="0.2">
      <c r="A129" s="16">
        <v>218300</v>
      </c>
      <c r="B129" s="12" t="s">
        <v>165</v>
      </c>
      <c r="C129" s="17">
        <v>50</v>
      </c>
      <c r="D129" s="17" t="s">
        <v>150</v>
      </c>
    </row>
    <row r="130" spans="1:4" s="17" customFormat="1" ht="12.75" x14ac:dyDescent="0.2">
      <c r="A130" s="16">
        <v>368110</v>
      </c>
      <c r="B130" s="12" t="s">
        <v>166</v>
      </c>
      <c r="C130" s="17">
        <v>800</v>
      </c>
      <c r="D130" s="17" t="s">
        <v>150</v>
      </c>
    </row>
    <row r="131" spans="1:4" s="17" customFormat="1" ht="12.75" x14ac:dyDescent="0.2">
      <c r="A131" s="16">
        <v>368120</v>
      </c>
      <c r="B131" s="12" t="s">
        <v>167</v>
      </c>
      <c r="C131" s="17">
        <v>800</v>
      </c>
      <c r="D131" s="17" t="s">
        <v>150</v>
      </c>
    </row>
    <row r="132" spans="1:4" s="17" customFormat="1" ht="12.75" x14ac:dyDescent="0.2">
      <c r="A132" s="16">
        <v>368130</v>
      </c>
      <c r="B132" s="12" t="s">
        <v>168</v>
      </c>
      <c r="C132" s="17">
        <v>800</v>
      </c>
      <c r="D132" s="17" t="s">
        <v>150</v>
      </c>
    </row>
    <row r="133" spans="1:4" s="17" customFormat="1" ht="12.75" x14ac:dyDescent="0.2">
      <c r="A133" s="16">
        <v>368140</v>
      </c>
      <c r="B133" s="12" t="s">
        <v>169</v>
      </c>
      <c r="C133" s="17">
        <v>800</v>
      </c>
      <c r="D133" s="17" t="s">
        <v>150</v>
      </c>
    </row>
    <row r="134" spans="1:4" s="17" customFormat="1" ht="12.75" x14ac:dyDescent="0.2">
      <c r="A134" s="16">
        <v>368150</v>
      </c>
      <c r="B134" s="12" t="s">
        <v>170</v>
      </c>
      <c r="C134" s="17">
        <v>800</v>
      </c>
      <c r="D134" s="17" t="s">
        <v>150</v>
      </c>
    </row>
    <row r="135" spans="1:4" s="17" customFormat="1" ht="12.75" x14ac:dyDescent="0.2">
      <c r="A135" s="16">
        <v>368160</v>
      </c>
      <c r="B135" s="12" t="s">
        <v>171</v>
      </c>
      <c r="C135" s="17">
        <v>700</v>
      </c>
      <c r="D135" s="17" t="s">
        <v>150</v>
      </c>
    </row>
    <row r="136" spans="1:4" s="17" customFormat="1" ht="12.75" x14ac:dyDescent="0.2">
      <c r="A136" s="16">
        <v>368170</v>
      </c>
      <c r="B136" s="12" t="s">
        <v>172</v>
      </c>
      <c r="C136" s="17">
        <v>700</v>
      </c>
      <c r="D136" s="17" t="s">
        <v>150</v>
      </c>
    </row>
    <row r="137" spans="1:4" s="17" customFormat="1" ht="12.75" x14ac:dyDescent="0.2">
      <c r="A137" s="16">
        <v>368180</v>
      </c>
      <c r="B137" s="12" t="s">
        <v>173</v>
      </c>
      <c r="C137" s="17">
        <v>700</v>
      </c>
      <c r="D137" s="17" t="s">
        <v>150</v>
      </c>
    </row>
    <row r="138" spans="1:4" s="17" customFormat="1" ht="12.75" x14ac:dyDescent="0.2">
      <c r="A138" s="16">
        <v>378120</v>
      </c>
      <c r="B138" s="12" t="s">
        <v>174</v>
      </c>
      <c r="C138" s="17">
        <v>200</v>
      </c>
      <c r="D138" s="17" t="s">
        <v>150</v>
      </c>
    </row>
    <row r="139" spans="1:4" s="17" customFormat="1" ht="12.75" x14ac:dyDescent="0.2">
      <c r="A139" s="16">
        <v>228350</v>
      </c>
      <c r="B139" s="12" t="s">
        <v>157</v>
      </c>
      <c r="C139" s="17">
        <v>60</v>
      </c>
      <c r="D139" s="17" t="s">
        <v>151</v>
      </c>
    </row>
    <row r="140" spans="1:4" s="17" customFormat="1" ht="12.75" x14ac:dyDescent="0.2">
      <c r="A140" s="16">
        <v>228370</v>
      </c>
      <c r="B140" s="12" t="s">
        <v>158</v>
      </c>
      <c r="C140" s="17">
        <v>30</v>
      </c>
      <c r="D140" s="17" t="s">
        <v>151</v>
      </c>
    </row>
    <row r="141" spans="1:4" s="17" customFormat="1" ht="12.75" x14ac:dyDescent="0.2">
      <c r="A141" s="16">
        <v>918180</v>
      </c>
      <c r="B141" s="12" t="s">
        <v>149</v>
      </c>
      <c r="C141" s="17">
        <v>4</v>
      </c>
      <c r="D141" s="17" t="s">
        <v>152</v>
      </c>
    </row>
    <row r="142" spans="1:4" s="17" customFormat="1" ht="12.75" x14ac:dyDescent="0.2">
      <c r="A142" s="16">
        <v>918190</v>
      </c>
      <c r="B142" s="16" t="s">
        <v>175</v>
      </c>
      <c r="C142" s="17">
        <v>4</v>
      </c>
      <c r="D142" s="17" t="s">
        <v>152</v>
      </c>
    </row>
    <row r="143" spans="1:4" s="17" customFormat="1" ht="12.75" x14ac:dyDescent="0.2">
      <c r="A143" s="16">
        <v>228130</v>
      </c>
      <c r="B143" s="17" t="s">
        <v>147</v>
      </c>
      <c r="C143" s="17">
        <v>10</v>
      </c>
      <c r="D143" s="17" t="s">
        <v>153</v>
      </c>
    </row>
    <row r="144" spans="1:4" s="17" customFormat="1" ht="12.75" x14ac:dyDescent="0.2">
      <c r="A144" s="16">
        <v>228140</v>
      </c>
      <c r="B144" s="12" t="s">
        <v>176</v>
      </c>
      <c r="C144" s="17">
        <v>25</v>
      </c>
      <c r="D144" s="17" t="s">
        <v>153</v>
      </c>
    </row>
    <row r="145" spans="1:92" s="17" customFormat="1" ht="13.5" customHeight="1" x14ac:dyDescent="0.2">
      <c r="A145" s="16">
        <v>438200</v>
      </c>
      <c r="B145" s="12" t="s">
        <v>161</v>
      </c>
      <c r="C145" s="17">
        <v>10</v>
      </c>
      <c r="D145" s="17" t="s">
        <v>151</v>
      </c>
    </row>
    <row r="146" spans="1:92" s="17" customFormat="1" ht="13.5" customHeight="1" x14ac:dyDescent="0.2">
      <c r="A146" s="19">
        <v>708580</v>
      </c>
      <c r="B146" s="20" t="s">
        <v>216</v>
      </c>
      <c r="C146" s="17">
        <v>1</v>
      </c>
      <c r="D146" s="17" t="s">
        <v>153</v>
      </c>
    </row>
    <row r="147" spans="1:92" s="17" customFormat="1" ht="13.5" customHeight="1" x14ac:dyDescent="0.2">
      <c r="A147" s="11">
        <v>109999</v>
      </c>
      <c r="B147" s="11" t="s">
        <v>223</v>
      </c>
      <c r="C147" s="17">
        <v>1</v>
      </c>
      <c r="D147" s="17" t="s">
        <v>151</v>
      </c>
      <c r="E147" s="17">
        <v>12000</v>
      </c>
    </row>
    <row r="148" spans="1:92" x14ac:dyDescent="0.2">
      <c r="A148" s="5" t="s">
        <v>41</v>
      </c>
      <c r="B148" s="5" t="s">
        <v>56</v>
      </c>
      <c r="C148">
        <v>1</v>
      </c>
      <c r="E148">
        <v>0</v>
      </c>
      <c r="G148">
        <v>0</v>
      </c>
      <c r="I148">
        <v>3</v>
      </c>
      <c r="J148" t="s">
        <v>1</v>
      </c>
      <c r="L148">
        <v>0</v>
      </c>
      <c r="O148" t="str">
        <f>"טיוטא"</f>
        <v>טיוטא</v>
      </c>
      <c r="P148" t="str">
        <f>"אופיר"</f>
        <v>אופיר</v>
      </c>
      <c r="R148">
        <v>0</v>
      </c>
      <c r="X148" t="str">
        <f>"ש""ח"</f>
        <v>ש"ח</v>
      </c>
      <c r="Y148">
        <v>0</v>
      </c>
      <c r="Z148" t="str">
        <f>"ש""ח"</f>
        <v>ש"ח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 t="str">
        <f t="shared" si="46"/>
        <v>ש"ח</v>
      </c>
      <c r="AH148">
        <v>0</v>
      </c>
      <c r="AI148">
        <v>0</v>
      </c>
      <c r="AJ148" t="str">
        <f>"ידני"</f>
        <v>ידני</v>
      </c>
      <c r="AK148">
        <v>1</v>
      </c>
      <c r="AQ148">
        <v>0</v>
      </c>
      <c r="AW148" t="str">
        <f t="shared" si="47"/>
        <v>אופיר</v>
      </c>
      <c r="AX148" t="s">
        <v>8</v>
      </c>
      <c r="AY148">
        <v>40</v>
      </c>
      <c r="AZ148">
        <v>0</v>
      </c>
      <c r="BA148">
        <v>0</v>
      </c>
      <c r="BB148">
        <v>0</v>
      </c>
      <c r="BJ148">
        <v>0</v>
      </c>
      <c r="BK148">
        <v>0</v>
      </c>
      <c r="BN148">
        <v>0</v>
      </c>
      <c r="BO148">
        <v>0</v>
      </c>
      <c r="BV148">
        <v>0</v>
      </c>
      <c r="BW148">
        <v>0</v>
      </c>
      <c r="BX148">
        <v>0</v>
      </c>
      <c r="CA148">
        <v>1</v>
      </c>
      <c r="CB148">
        <v>0</v>
      </c>
      <c r="CC148">
        <v>0</v>
      </c>
      <c r="CD148">
        <v>0</v>
      </c>
      <c r="CE148">
        <v>0</v>
      </c>
      <c r="CM148">
        <v>0</v>
      </c>
      <c r="CN148">
        <v>0</v>
      </c>
    </row>
    <row r="149" spans="1:92" x14ac:dyDescent="0.2">
      <c r="A149" s="19" t="str">
        <f>"150011290"</f>
        <v>150011290</v>
      </c>
      <c r="B149" s="19" t="str">
        <f>"נורת ניאון אדומה 220"</f>
        <v>נורת ניאון אדומה 220</v>
      </c>
      <c r="C149" s="17">
        <v>8</v>
      </c>
      <c r="D149" s="17" t="s">
        <v>151</v>
      </c>
    </row>
    <row r="150" spans="1:92" x14ac:dyDescent="0.2">
      <c r="A150" s="19" t="str">
        <f>"150020002"</f>
        <v>150020002</v>
      </c>
      <c r="B150" s="19" t="str">
        <f>"שקע כח ישראלי NEVE-"</f>
        <v>שקע כח ישראלי NEVE-</v>
      </c>
      <c r="C150" s="17">
        <v>77</v>
      </c>
      <c r="D150" s="17" t="s">
        <v>151</v>
      </c>
    </row>
    <row r="151" spans="1:92" x14ac:dyDescent="0.2">
      <c r="A151" s="19" t="str">
        <f>"150020004"</f>
        <v>150020004</v>
      </c>
      <c r="B151" s="19" t="str">
        <f>"שקע טלפון NEVE-"</f>
        <v>שקע טלפון NEVE-</v>
      </c>
      <c r="C151" s="17">
        <v>14</v>
      </c>
      <c r="D151" s="17" t="s">
        <v>151</v>
      </c>
    </row>
    <row r="152" spans="1:92" x14ac:dyDescent="0.2">
      <c r="A152" s="19" t="str">
        <f>"150020014"</f>
        <v>150020014</v>
      </c>
      <c r="B152" s="19" t="str">
        <f>"דמי NEVE-"</f>
        <v>דמי NEVE-</v>
      </c>
      <c r="C152" s="17">
        <v>22</v>
      </c>
      <c r="D152" s="17" t="s">
        <v>151</v>
      </c>
    </row>
    <row r="153" spans="1:92" x14ac:dyDescent="0.2">
      <c r="A153" s="19" t="str">
        <f>"150020023"</f>
        <v>150020023</v>
      </c>
      <c r="B153" s="19" t="str">
        <f>"לחצן מואר NEVE-"</f>
        <v>לחצן מואר NEVE-</v>
      </c>
      <c r="C153" s="17">
        <v>4</v>
      </c>
      <c r="D153" s="17" t="s">
        <v>151</v>
      </c>
    </row>
    <row r="154" spans="1:92" x14ac:dyDescent="0.2">
      <c r="A154" s="19" t="str">
        <f>"150020024"</f>
        <v>150020024</v>
      </c>
      <c r="B154" s="19" t="str">
        <f>"לחצן רחב 2 .NEVE-"</f>
        <v>לחצן רחב 2 .NEVE-</v>
      </c>
      <c r="C154" s="17">
        <v>2</v>
      </c>
      <c r="D154" s="17" t="s">
        <v>151</v>
      </c>
    </row>
    <row r="155" spans="1:92" x14ac:dyDescent="0.2">
      <c r="A155" s="19" t="str">
        <f>"150020029"</f>
        <v>150020029</v>
      </c>
      <c r="B155" s="19" t="str">
        <f>"מסגרת 1 מודול NEVE-"</f>
        <v>מסגרת 1 מודול NEVE-</v>
      </c>
      <c r="C155" s="17">
        <v>33</v>
      </c>
      <c r="D155" s="17" t="s">
        <v>151</v>
      </c>
    </row>
    <row r="156" spans="1:92" x14ac:dyDescent="0.2">
      <c r="A156" s="19" t="str">
        <f>"150020036"</f>
        <v>150020036</v>
      </c>
      <c r="B156" s="19" t="str">
        <f>"מסגרת 2 מודול NEVE-"</f>
        <v>מסגרת 2 מודול NEVE-</v>
      </c>
      <c r="C156" s="17">
        <v>22</v>
      </c>
      <c r="D156" s="17" t="s">
        <v>151</v>
      </c>
    </row>
    <row r="157" spans="1:92" x14ac:dyDescent="0.2">
      <c r="A157" s="19" t="str">
        <f>"150020041"</f>
        <v>150020041</v>
      </c>
      <c r="B157" s="19" t="str">
        <f>"מסגרת 3 מודול NEVE-"</f>
        <v>מסגרת 3 מודול NEVE-</v>
      </c>
      <c r="C157" s="17">
        <v>13</v>
      </c>
      <c r="D157" s="17" t="s">
        <v>151</v>
      </c>
    </row>
    <row r="158" spans="1:92" x14ac:dyDescent="0.2">
      <c r="A158" s="19" t="str">
        <f>"150020045"</f>
        <v>150020045</v>
      </c>
      <c r="B158" s="19" t="str">
        <f>"מסגרת 4 מודול NEVE-"</f>
        <v>מסגרת 4 מודול NEVE-</v>
      </c>
      <c r="C158" s="17">
        <v>28</v>
      </c>
      <c r="D158" s="17" t="s">
        <v>151</v>
      </c>
    </row>
    <row r="159" spans="1:92" x14ac:dyDescent="0.2">
      <c r="A159" s="19" t="str">
        <f>"150020059"</f>
        <v>150020059</v>
      </c>
      <c r="B159" s="19" t="str">
        <f>"מפסק יחיד NEVE-"</f>
        <v>מפסק יחיד NEVE-</v>
      </c>
      <c r="C159" s="17">
        <v>30</v>
      </c>
      <c r="D159" s="17" t="s">
        <v>151</v>
      </c>
    </row>
    <row r="160" spans="1:92" x14ac:dyDescent="0.2">
      <c r="A160" s="19" t="str">
        <f>"150020061"</f>
        <v>150020061</v>
      </c>
      <c r="B160" s="19" t="str">
        <f>"מפסק חיולף NEVE-"</f>
        <v>מפסק חיולף NEVE-</v>
      </c>
      <c r="C160" s="17">
        <v>25</v>
      </c>
      <c r="D160" s="17" t="s">
        <v>151</v>
      </c>
    </row>
    <row r="161" spans="1:92" x14ac:dyDescent="0.2">
      <c r="A161" s="19" t="str">
        <f>"150020063"</f>
        <v>150020063</v>
      </c>
      <c r="B161" s="19" t="str">
        <f>"מפסק צלב NEVE-"</f>
        <v>מפסק צלב NEVE-</v>
      </c>
      <c r="C161" s="17">
        <v>3</v>
      </c>
      <c r="D161" s="17" t="s">
        <v>151</v>
      </c>
    </row>
    <row r="162" spans="1:92" x14ac:dyDescent="0.2">
      <c r="A162" s="19" t="str">
        <f>"150020068"</f>
        <v>150020068</v>
      </c>
      <c r="B162" s="19" t="str">
        <f>"מתאם 2 מודול NEVE-"</f>
        <v>מתאם 2 מודול NEVE-</v>
      </c>
      <c r="C162" s="17">
        <v>22</v>
      </c>
      <c r="D162" s="17" t="s">
        <v>151</v>
      </c>
    </row>
    <row r="163" spans="1:92" x14ac:dyDescent="0.2">
      <c r="A163" s="19" t="str">
        <f>"150020069"</f>
        <v>150020069</v>
      </c>
      <c r="B163" s="19" t="str">
        <f>"מתאם 3 מודול NEVE-"</f>
        <v>מתאם 3 מודול NEVE-</v>
      </c>
      <c r="C163" s="17">
        <v>46</v>
      </c>
      <c r="D163" s="17" t="s">
        <v>151</v>
      </c>
    </row>
    <row r="164" spans="1:92" x14ac:dyDescent="0.2">
      <c r="A164" s="19" t="str">
        <f>"150020070"</f>
        <v>150020070</v>
      </c>
      <c r="B164" s="19" t="str">
        <f>"מתאם 4 מודול NEVE-"</f>
        <v>מתאם 4 מודול NEVE-</v>
      </c>
      <c r="C164" s="17">
        <v>28</v>
      </c>
      <c r="D164" s="17" t="s">
        <v>151</v>
      </c>
    </row>
    <row r="165" spans="1:92" x14ac:dyDescent="0.2">
      <c r="A165" s="19" t="str">
        <f>"150020090"</f>
        <v>150020090</v>
      </c>
      <c r="B165" s="19" t="str">
        <f>"מפסק דוד NEVE-"</f>
        <v>מפסק דוד NEVE-</v>
      </c>
      <c r="C165" s="17">
        <v>4</v>
      </c>
      <c r="D165" s="17" t="s">
        <v>151</v>
      </c>
    </row>
    <row r="166" spans="1:92" x14ac:dyDescent="0.2">
      <c r="A166" s="19">
        <v>938140</v>
      </c>
      <c r="B166" s="21" t="s">
        <v>217</v>
      </c>
      <c r="C166" s="17">
        <v>10</v>
      </c>
      <c r="D166" s="17" t="s">
        <v>151</v>
      </c>
    </row>
    <row r="167" spans="1:92" x14ac:dyDescent="0.2">
      <c r="A167" s="19">
        <v>938150</v>
      </c>
      <c r="B167" s="21" t="s">
        <v>218</v>
      </c>
      <c r="C167" s="17">
        <v>1</v>
      </c>
      <c r="D167" s="17" t="s">
        <v>152</v>
      </c>
    </row>
    <row r="168" spans="1:92" x14ac:dyDescent="0.2">
      <c r="A168" s="19">
        <v>708370</v>
      </c>
      <c r="B168" s="21" t="s">
        <v>219</v>
      </c>
      <c r="C168" s="17">
        <v>2</v>
      </c>
      <c r="D168" s="17" t="s">
        <v>153</v>
      </c>
    </row>
    <row r="169" spans="1:92" x14ac:dyDescent="0.2">
      <c r="A169" s="19">
        <v>378160</v>
      </c>
      <c r="B169" s="21" t="s">
        <v>220</v>
      </c>
      <c r="C169" s="17">
        <v>200</v>
      </c>
      <c r="D169" s="17" t="s">
        <v>150</v>
      </c>
    </row>
    <row r="170" spans="1:92" x14ac:dyDescent="0.2">
      <c r="A170" s="19">
        <v>708470</v>
      </c>
      <c r="B170" s="21" t="s">
        <v>240</v>
      </c>
      <c r="C170" s="17">
        <v>6</v>
      </c>
      <c r="D170" s="17" t="s">
        <v>153</v>
      </c>
    </row>
    <row r="171" spans="1:92" x14ac:dyDescent="0.2">
      <c r="A171" s="19">
        <v>628160</v>
      </c>
      <c r="B171" s="21" t="s">
        <v>222</v>
      </c>
      <c r="C171" s="17">
        <v>50</v>
      </c>
      <c r="D171" s="17" t="s">
        <v>151</v>
      </c>
    </row>
    <row r="172" spans="1:92" x14ac:dyDescent="0.2">
      <c r="A172" s="11">
        <v>109999</v>
      </c>
      <c r="B172" s="11" t="s">
        <v>223</v>
      </c>
      <c r="C172" s="17">
        <v>1</v>
      </c>
      <c r="D172" s="17" t="s">
        <v>151</v>
      </c>
      <c r="E172" s="17">
        <v>8000</v>
      </c>
    </row>
    <row r="173" spans="1:92" x14ac:dyDescent="0.2">
      <c r="A173" s="11">
        <v>640000</v>
      </c>
      <c r="B173" s="22" t="s">
        <v>224</v>
      </c>
      <c r="C173">
        <v>1</v>
      </c>
      <c r="D173" t="s">
        <v>151</v>
      </c>
      <c r="E173">
        <v>6800</v>
      </c>
    </row>
    <row r="174" spans="1:92" x14ac:dyDescent="0.2">
      <c r="A174" s="11">
        <v>999999</v>
      </c>
      <c r="B174" s="22" t="s">
        <v>225</v>
      </c>
      <c r="C174">
        <v>1</v>
      </c>
      <c r="D174" t="s">
        <v>226</v>
      </c>
      <c r="E174">
        <v>1800</v>
      </c>
    </row>
    <row r="175" spans="1:92" x14ac:dyDescent="0.2">
      <c r="A175" s="5" t="s">
        <v>42</v>
      </c>
      <c r="B175" s="5" t="s">
        <v>57</v>
      </c>
      <c r="C175">
        <v>1</v>
      </c>
      <c r="E175">
        <v>0</v>
      </c>
      <c r="G175">
        <v>0</v>
      </c>
      <c r="I175">
        <v>3</v>
      </c>
      <c r="J175" t="s">
        <v>16</v>
      </c>
      <c r="L175">
        <v>2</v>
      </c>
      <c r="O175" t="str">
        <f t="shared" si="42"/>
        <v>טיוטא</v>
      </c>
      <c r="P175" t="str">
        <f t="shared" si="43"/>
        <v>אופיר</v>
      </c>
      <c r="R175">
        <v>2</v>
      </c>
      <c r="X175" t="str">
        <f t="shared" si="44"/>
        <v>ש"ח</v>
      </c>
      <c r="Y175">
        <v>0</v>
      </c>
      <c r="Z175" t="str">
        <f t="shared" si="45"/>
        <v>ש"ח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 t="str">
        <f t="shared" si="46"/>
        <v>ש"ח</v>
      </c>
      <c r="AH175">
        <v>0</v>
      </c>
      <c r="AI175">
        <v>0</v>
      </c>
      <c r="AK175">
        <v>1</v>
      </c>
      <c r="AQ175">
        <v>0</v>
      </c>
      <c r="AW175" t="str">
        <f t="shared" si="47"/>
        <v>אופיר</v>
      </c>
      <c r="AX175" t="s">
        <v>7</v>
      </c>
      <c r="AY175">
        <v>43</v>
      </c>
      <c r="AZ175">
        <v>0</v>
      </c>
      <c r="BA175">
        <v>0</v>
      </c>
      <c r="BB175">
        <v>0</v>
      </c>
      <c r="BJ175">
        <v>0</v>
      </c>
      <c r="BK175">
        <v>0</v>
      </c>
      <c r="BN175">
        <v>0</v>
      </c>
      <c r="BO175">
        <v>0</v>
      </c>
      <c r="BV175">
        <v>0</v>
      </c>
      <c r="BW175">
        <v>0</v>
      </c>
      <c r="BX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M175">
        <v>0</v>
      </c>
      <c r="CN175">
        <v>0</v>
      </c>
    </row>
    <row r="176" spans="1:92" ht="15" x14ac:dyDescent="0.2">
      <c r="A176" s="6">
        <v>10.3</v>
      </c>
      <c r="B176" s="6" t="s">
        <v>59</v>
      </c>
      <c r="C176">
        <v>1</v>
      </c>
      <c r="E176">
        <v>0</v>
      </c>
      <c r="G176">
        <v>100</v>
      </c>
      <c r="I176">
        <v>2</v>
      </c>
      <c r="J176" t="s">
        <v>1</v>
      </c>
      <c r="L176">
        <v>0</v>
      </c>
      <c r="N176" t="s">
        <v>10</v>
      </c>
      <c r="O176" t="str">
        <f>"טיוטא"</f>
        <v>טיוטא</v>
      </c>
      <c r="P176" t="str">
        <f>"אופיר"</f>
        <v>אופיר</v>
      </c>
      <c r="R176">
        <v>0</v>
      </c>
      <c r="X176" t="str">
        <f>"ש""ח"</f>
        <v>ש"ח</v>
      </c>
      <c r="Y176">
        <v>0</v>
      </c>
      <c r="Z176" t="str">
        <f>"ש""ח"</f>
        <v>ש"ח</v>
      </c>
      <c r="AA176">
        <v>0</v>
      </c>
      <c r="AB176">
        <v>6840</v>
      </c>
      <c r="AC176">
        <v>6840</v>
      </c>
      <c r="AD176">
        <v>0</v>
      </c>
      <c r="AE176">
        <v>6840</v>
      </c>
      <c r="AF176">
        <v>6840</v>
      </c>
      <c r="AG176" t="str">
        <f t="shared" si="46"/>
        <v>ש"ח</v>
      </c>
      <c r="AH176">
        <v>0</v>
      </c>
      <c r="AI176">
        <v>0</v>
      </c>
      <c r="AJ176" t="str">
        <f t="shared" ref="AJ176:AJ502" si="48">"ידני"</f>
        <v>ידני</v>
      </c>
      <c r="AK176">
        <v>1</v>
      </c>
      <c r="AQ176">
        <v>0</v>
      </c>
      <c r="AW176" t="str">
        <f t="shared" si="47"/>
        <v>אופיר</v>
      </c>
      <c r="AX176" t="s">
        <v>9</v>
      </c>
      <c r="AY176">
        <v>38</v>
      </c>
      <c r="AZ176">
        <v>0</v>
      </c>
      <c r="BA176">
        <v>0</v>
      </c>
      <c r="BB176">
        <v>0</v>
      </c>
      <c r="BJ176">
        <v>0</v>
      </c>
      <c r="BK176">
        <v>0</v>
      </c>
      <c r="BN176">
        <v>0</v>
      </c>
      <c r="BO176">
        <v>6840</v>
      </c>
      <c r="BV176">
        <v>0</v>
      </c>
      <c r="BW176">
        <v>0</v>
      </c>
      <c r="BX176">
        <v>0</v>
      </c>
      <c r="CA176">
        <v>1</v>
      </c>
      <c r="CB176">
        <v>0</v>
      </c>
      <c r="CC176">
        <v>0</v>
      </c>
      <c r="CD176">
        <v>0</v>
      </c>
      <c r="CE176">
        <v>0</v>
      </c>
      <c r="CM176">
        <v>0</v>
      </c>
      <c r="CN176">
        <v>0</v>
      </c>
    </row>
    <row r="177" spans="1:92" x14ac:dyDescent="0.2">
      <c r="A177" s="5" t="s">
        <v>60</v>
      </c>
      <c r="B177" s="5" t="s">
        <v>54</v>
      </c>
      <c r="C177">
        <v>1</v>
      </c>
      <c r="E177">
        <v>0</v>
      </c>
      <c r="G177">
        <v>0</v>
      </c>
      <c r="I177">
        <v>3</v>
      </c>
      <c r="J177" t="s">
        <v>1</v>
      </c>
      <c r="L177">
        <v>0</v>
      </c>
      <c r="O177" t="str">
        <f>"טיוטא"</f>
        <v>טיוטא</v>
      </c>
      <c r="P177" t="str">
        <f>"אופיר"</f>
        <v>אופיר</v>
      </c>
      <c r="R177">
        <v>0</v>
      </c>
      <c r="X177" t="str">
        <f>"ש""ח"</f>
        <v>ש"ח</v>
      </c>
      <c r="Y177">
        <v>0</v>
      </c>
      <c r="Z177" t="str">
        <f>"ש""ח"</f>
        <v>ש"ח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 t="str">
        <f t="shared" si="46"/>
        <v>ש"ח</v>
      </c>
      <c r="AH177">
        <v>0</v>
      </c>
      <c r="AI177">
        <v>0</v>
      </c>
      <c r="AJ177" t="str">
        <f t="shared" si="48"/>
        <v>ידני</v>
      </c>
      <c r="AK177">
        <v>1</v>
      </c>
      <c r="AQ177">
        <v>0</v>
      </c>
      <c r="AW177" t="str">
        <f t="shared" si="47"/>
        <v>אופיר</v>
      </c>
      <c r="AX177" t="s">
        <v>9</v>
      </c>
      <c r="AY177">
        <v>39</v>
      </c>
      <c r="AZ177">
        <v>0</v>
      </c>
      <c r="BA177">
        <v>0</v>
      </c>
      <c r="BB177">
        <v>0</v>
      </c>
      <c r="BJ177">
        <v>0</v>
      </c>
      <c r="BK177">
        <v>0</v>
      </c>
      <c r="BN177">
        <v>0</v>
      </c>
      <c r="BO177">
        <v>0</v>
      </c>
      <c r="BV177">
        <v>0</v>
      </c>
      <c r="BW177">
        <v>0</v>
      </c>
      <c r="BX177">
        <v>0</v>
      </c>
      <c r="CA177">
        <v>1</v>
      </c>
      <c r="CB177">
        <v>0</v>
      </c>
      <c r="CC177">
        <v>0</v>
      </c>
      <c r="CD177">
        <v>0</v>
      </c>
      <c r="CE177">
        <v>0</v>
      </c>
      <c r="CM177">
        <v>0</v>
      </c>
      <c r="CN177">
        <v>0</v>
      </c>
    </row>
    <row r="178" spans="1:92" s="18" customFormat="1" ht="15" customHeight="1" x14ac:dyDescent="0.2">
      <c r="A178" s="16">
        <v>218260</v>
      </c>
      <c r="B178" s="12" t="s">
        <v>154</v>
      </c>
      <c r="C178" s="17">
        <v>500</v>
      </c>
      <c r="D178" s="17" t="s">
        <v>150</v>
      </c>
      <c r="Y178" s="18">
        <f>C178*E178</f>
        <v>0</v>
      </c>
    </row>
    <row r="179" spans="1:92" s="18" customFormat="1" ht="12.75" x14ac:dyDescent="0.2">
      <c r="A179" s="16">
        <v>218270</v>
      </c>
      <c r="B179" s="12" t="s">
        <v>155</v>
      </c>
      <c r="C179" s="17">
        <v>100</v>
      </c>
      <c r="D179" s="17" t="s">
        <v>150</v>
      </c>
      <c r="Y179" s="18">
        <f>C179*E179</f>
        <v>0</v>
      </c>
    </row>
    <row r="180" spans="1:92" s="18" customFormat="1" ht="12.75" x14ac:dyDescent="0.2">
      <c r="A180" s="16">
        <v>218140</v>
      </c>
      <c r="B180" s="17" t="s">
        <v>156</v>
      </c>
      <c r="C180" s="17">
        <v>50</v>
      </c>
      <c r="D180" s="17" t="s">
        <v>150</v>
      </c>
      <c r="Y180" s="18">
        <f>C180*E180</f>
        <v>0</v>
      </c>
    </row>
    <row r="181" spans="1:92" s="18" customFormat="1" ht="12.75" x14ac:dyDescent="0.2">
      <c r="A181" s="16">
        <v>228130</v>
      </c>
      <c r="B181" s="17" t="s">
        <v>147</v>
      </c>
      <c r="C181" s="17">
        <v>10</v>
      </c>
      <c r="D181" s="17" t="s">
        <v>151</v>
      </c>
    </row>
    <row r="182" spans="1:92" s="18" customFormat="1" ht="12.75" x14ac:dyDescent="0.2">
      <c r="A182" s="16">
        <v>228350</v>
      </c>
      <c r="B182" s="12" t="s">
        <v>157</v>
      </c>
      <c r="C182" s="17">
        <v>25</v>
      </c>
      <c r="D182" s="17" t="s">
        <v>151</v>
      </c>
    </row>
    <row r="183" spans="1:92" s="18" customFormat="1" ht="12.75" x14ac:dyDescent="0.2">
      <c r="A183" s="16">
        <v>228370</v>
      </c>
      <c r="B183" s="12" t="s">
        <v>158</v>
      </c>
      <c r="C183" s="17">
        <v>30</v>
      </c>
      <c r="D183" s="17" t="s">
        <v>151</v>
      </c>
    </row>
    <row r="184" spans="1:92" s="18" customFormat="1" ht="12.75" x14ac:dyDescent="0.2">
      <c r="A184" s="16">
        <v>798200</v>
      </c>
      <c r="B184" s="16" t="s">
        <v>159</v>
      </c>
      <c r="C184" s="17">
        <v>1</v>
      </c>
      <c r="D184" s="17" t="s">
        <v>151</v>
      </c>
    </row>
    <row r="185" spans="1:92" s="18" customFormat="1" ht="12.75" x14ac:dyDescent="0.2">
      <c r="A185" s="16">
        <v>918140</v>
      </c>
      <c r="B185" s="16" t="s">
        <v>160</v>
      </c>
      <c r="C185" s="17">
        <v>100</v>
      </c>
      <c r="D185" s="17" t="s">
        <v>151</v>
      </c>
    </row>
    <row r="186" spans="1:92" s="9" customFormat="1" x14ac:dyDescent="0.2">
      <c r="A186" s="11">
        <v>438200</v>
      </c>
      <c r="B186" s="12" t="s">
        <v>161</v>
      </c>
      <c r="C186" s="13">
        <v>5</v>
      </c>
      <c r="D186" s="13" t="s">
        <v>150</v>
      </c>
    </row>
    <row r="187" spans="1:92" s="9" customFormat="1" x14ac:dyDescent="0.2">
      <c r="A187" s="11">
        <v>109999</v>
      </c>
      <c r="B187" s="12" t="s">
        <v>223</v>
      </c>
      <c r="C187" s="17">
        <v>1</v>
      </c>
      <c r="D187" s="17" t="s">
        <v>226</v>
      </c>
      <c r="E187" s="9">
        <v>3000</v>
      </c>
    </row>
    <row r="188" spans="1:92" x14ac:dyDescent="0.2">
      <c r="A188" s="5" t="s">
        <v>61</v>
      </c>
      <c r="B188" s="5" t="s">
        <v>55</v>
      </c>
      <c r="C188">
        <v>1</v>
      </c>
      <c r="E188">
        <v>0</v>
      </c>
      <c r="G188">
        <v>0</v>
      </c>
      <c r="I188">
        <v>3</v>
      </c>
      <c r="J188" t="s">
        <v>1</v>
      </c>
      <c r="L188">
        <v>0</v>
      </c>
      <c r="O188" t="str">
        <f>"טיוטא"</f>
        <v>טיוטא</v>
      </c>
      <c r="P188" t="str">
        <f>"אופיר"</f>
        <v>אופיר</v>
      </c>
      <c r="R188">
        <v>0</v>
      </c>
      <c r="X188" t="str">
        <f>"ש""ח"</f>
        <v>ש"ח</v>
      </c>
      <c r="Y188">
        <v>0</v>
      </c>
      <c r="Z188" t="str">
        <f>"ש""ח"</f>
        <v>ש"ח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 t="str">
        <f t="shared" si="46"/>
        <v>ש"ח</v>
      </c>
      <c r="AH188">
        <v>0</v>
      </c>
      <c r="AI188">
        <v>0</v>
      </c>
      <c r="AJ188" t="str">
        <f t="shared" si="48"/>
        <v>ידני</v>
      </c>
      <c r="AK188">
        <v>1</v>
      </c>
      <c r="AQ188">
        <v>0</v>
      </c>
      <c r="AW188" t="str">
        <f t="shared" si="47"/>
        <v>אופיר</v>
      </c>
      <c r="AX188" t="s">
        <v>8</v>
      </c>
      <c r="AY188">
        <v>40</v>
      </c>
      <c r="AZ188">
        <v>0</v>
      </c>
      <c r="BA188">
        <v>0</v>
      </c>
      <c r="BB188">
        <v>0</v>
      </c>
      <c r="BJ188">
        <v>0</v>
      </c>
      <c r="BK188">
        <v>0</v>
      </c>
      <c r="BN188">
        <v>0</v>
      </c>
      <c r="BO188">
        <v>0</v>
      </c>
      <c r="BV188">
        <v>0</v>
      </c>
      <c r="BW188">
        <v>0</v>
      </c>
      <c r="BX188">
        <v>0</v>
      </c>
      <c r="CA188">
        <v>1</v>
      </c>
      <c r="CB188">
        <v>0</v>
      </c>
      <c r="CC188">
        <v>0</v>
      </c>
      <c r="CD188">
        <v>0</v>
      </c>
      <c r="CE188">
        <v>0</v>
      </c>
      <c r="CM188">
        <v>0</v>
      </c>
      <c r="CN188">
        <v>0</v>
      </c>
    </row>
    <row r="189" spans="1:92" s="17" customFormat="1" ht="15" customHeight="1" x14ac:dyDescent="0.2">
      <c r="A189" s="16">
        <v>218260</v>
      </c>
      <c r="B189" s="12" t="s">
        <v>154</v>
      </c>
      <c r="C189" s="17">
        <v>700</v>
      </c>
      <c r="D189" s="17" t="s">
        <v>150</v>
      </c>
    </row>
    <row r="190" spans="1:92" s="17" customFormat="1" ht="12.75" x14ac:dyDescent="0.2">
      <c r="A190" s="16">
        <v>218290</v>
      </c>
      <c r="B190" s="12" t="s">
        <v>162</v>
      </c>
      <c r="C190" s="17">
        <v>800</v>
      </c>
      <c r="D190" s="17" t="s">
        <v>150</v>
      </c>
    </row>
    <row r="191" spans="1:92" s="17" customFormat="1" ht="12.75" x14ac:dyDescent="0.2">
      <c r="A191" s="16">
        <v>218370</v>
      </c>
      <c r="B191" s="12" t="s">
        <v>163</v>
      </c>
      <c r="C191" s="17">
        <v>150</v>
      </c>
      <c r="D191" s="17" t="s">
        <v>150</v>
      </c>
    </row>
    <row r="192" spans="1:92" s="17" customFormat="1" ht="12.75" x14ac:dyDescent="0.2">
      <c r="A192" s="16">
        <v>218340</v>
      </c>
      <c r="B192" s="12" t="s">
        <v>164</v>
      </c>
      <c r="C192" s="17">
        <v>150</v>
      </c>
      <c r="D192" s="17" t="s">
        <v>150</v>
      </c>
    </row>
    <row r="193" spans="1:4" s="17" customFormat="1" ht="12.75" x14ac:dyDescent="0.2">
      <c r="A193" s="16">
        <v>218190</v>
      </c>
      <c r="B193" s="12" t="s">
        <v>148</v>
      </c>
      <c r="C193" s="17">
        <v>300</v>
      </c>
      <c r="D193" s="17" t="s">
        <v>150</v>
      </c>
    </row>
    <row r="194" spans="1:4" s="17" customFormat="1" ht="12.75" x14ac:dyDescent="0.2">
      <c r="A194" s="16">
        <v>218300</v>
      </c>
      <c r="B194" s="12" t="s">
        <v>165</v>
      </c>
      <c r="C194" s="17">
        <v>50</v>
      </c>
      <c r="D194" s="17" t="s">
        <v>150</v>
      </c>
    </row>
    <row r="195" spans="1:4" s="17" customFormat="1" ht="12.75" x14ac:dyDescent="0.2">
      <c r="A195" s="16">
        <v>368110</v>
      </c>
      <c r="B195" s="12" t="s">
        <v>166</v>
      </c>
      <c r="C195" s="17">
        <v>800</v>
      </c>
      <c r="D195" s="17" t="s">
        <v>150</v>
      </c>
    </row>
    <row r="196" spans="1:4" s="17" customFormat="1" ht="12.75" x14ac:dyDescent="0.2">
      <c r="A196" s="16">
        <v>368120</v>
      </c>
      <c r="B196" s="12" t="s">
        <v>167</v>
      </c>
      <c r="C196" s="17">
        <v>800</v>
      </c>
      <c r="D196" s="17" t="s">
        <v>150</v>
      </c>
    </row>
    <row r="197" spans="1:4" s="17" customFormat="1" ht="12.75" x14ac:dyDescent="0.2">
      <c r="A197" s="16">
        <v>368130</v>
      </c>
      <c r="B197" s="12" t="s">
        <v>168</v>
      </c>
      <c r="C197" s="17">
        <v>800</v>
      </c>
      <c r="D197" s="17" t="s">
        <v>150</v>
      </c>
    </row>
    <row r="198" spans="1:4" s="17" customFormat="1" ht="12.75" x14ac:dyDescent="0.2">
      <c r="A198" s="16">
        <v>368140</v>
      </c>
      <c r="B198" s="12" t="s">
        <v>169</v>
      </c>
      <c r="C198" s="17">
        <v>800</v>
      </c>
      <c r="D198" s="17" t="s">
        <v>150</v>
      </c>
    </row>
    <row r="199" spans="1:4" s="17" customFormat="1" ht="12.75" x14ac:dyDescent="0.2">
      <c r="A199" s="16">
        <v>368150</v>
      </c>
      <c r="B199" s="12" t="s">
        <v>170</v>
      </c>
      <c r="C199" s="17">
        <v>800</v>
      </c>
      <c r="D199" s="17" t="s">
        <v>150</v>
      </c>
    </row>
    <row r="200" spans="1:4" s="17" customFormat="1" ht="12.75" x14ac:dyDescent="0.2">
      <c r="A200" s="16">
        <v>368160</v>
      </c>
      <c r="B200" s="12" t="s">
        <v>171</v>
      </c>
      <c r="C200" s="17">
        <v>700</v>
      </c>
      <c r="D200" s="17" t="s">
        <v>150</v>
      </c>
    </row>
    <row r="201" spans="1:4" s="17" customFormat="1" ht="12.75" x14ac:dyDescent="0.2">
      <c r="A201" s="16">
        <v>368170</v>
      </c>
      <c r="B201" s="12" t="s">
        <v>172</v>
      </c>
      <c r="C201" s="17">
        <v>700</v>
      </c>
      <c r="D201" s="17" t="s">
        <v>150</v>
      </c>
    </row>
    <row r="202" spans="1:4" s="17" customFormat="1" ht="12.75" x14ac:dyDescent="0.2">
      <c r="A202" s="16">
        <v>368180</v>
      </c>
      <c r="B202" s="12" t="s">
        <v>173</v>
      </c>
      <c r="C202" s="17">
        <v>700</v>
      </c>
      <c r="D202" s="17" t="s">
        <v>150</v>
      </c>
    </row>
    <row r="203" spans="1:4" s="17" customFormat="1" ht="12.75" x14ac:dyDescent="0.2">
      <c r="A203" s="16">
        <v>378120</v>
      </c>
      <c r="B203" s="12" t="s">
        <v>174</v>
      </c>
      <c r="C203" s="17">
        <v>200</v>
      </c>
      <c r="D203" s="17" t="s">
        <v>150</v>
      </c>
    </row>
    <row r="204" spans="1:4" s="17" customFormat="1" ht="12.75" x14ac:dyDescent="0.2">
      <c r="A204" s="16">
        <v>228350</v>
      </c>
      <c r="B204" s="12" t="s">
        <v>157</v>
      </c>
      <c r="C204" s="17">
        <v>60</v>
      </c>
      <c r="D204" s="17" t="s">
        <v>151</v>
      </c>
    </row>
    <row r="205" spans="1:4" s="17" customFormat="1" ht="12.75" x14ac:dyDescent="0.2">
      <c r="A205" s="16">
        <v>228370</v>
      </c>
      <c r="B205" s="12" t="s">
        <v>158</v>
      </c>
      <c r="C205" s="17">
        <v>30</v>
      </c>
      <c r="D205" s="17" t="s">
        <v>151</v>
      </c>
    </row>
    <row r="206" spans="1:4" s="17" customFormat="1" ht="12.75" x14ac:dyDescent="0.2">
      <c r="A206" s="16">
        <v>918180</v>
      </c>
      <c r="B206" s="12" t="s">
        <v>149</v>
      </c>
      <c r="C206" s="17">
        <v>4</v>
      </c>
      <c r="D206" s="17" t="s">
        <v>152</v>
      </c>
    </row>
    <row r="207" spans="1:4" s="17" customFormat="1" ht="12.75" x14ac:dyDescent="0.2">
      <c r="A207" s="16">
        <v>918190</v>
      </c>
      <c r="B207" s="16" t="s">
        <v>175</v>
      </c>
      <c r="C207" s="17">
        <v>4</v>
      </c>
      <c r="D207" s="17" t="s">
        <v>152</v>
      </c>
    </row>
    <row r="208" spans="1:4" s="17" customFormat="1" ht="12.75" x14ac:dyDescent="0.2">
      <c r="A208" s="16">
        <v>228130</v>
      </c>
      <c r="B208" s="17" t="s">
        <v>147</v>
      </c>
      <c r="C208" s="17">
        <v>10</v>
      </c>
      <c r="D208" s="17" t="s">
        <v>153</v>
      </c>
    </row>
    <row r="209" spans="1:92" s="17" customFormat="1" ht="12.75" x14ac:dyDescent="0.2">
      <c r="A209" s="16">
        <v>228140</v>
      </c>
      <c r="B209" s="12" t="s">
        <v>176</v>
      </c>
      <c r="C209" s="17">
        <v>25</v>
      </c>
      <c r="D209" s="17" t="s">
        <v>153</v>
      </c>
    </row>
    <row r="210" spans="1:92" s="17" customFormat="1" ht="13.5" customHeight="1" x14ac:dyDescent="0.2">
      <c r="A210" s="16">
        <v>438200</v>
      </c>
      <c r="B210" s="12" t="s">
        <v>161</v>
      </c>
      <c r="C210" s="17">
        <v>10</v>
      </c>
      <c r="D210" s="17" t="s">
        <v>151</v>
      </c>
    </row>
    <row r="211" spans="1:92" s="17" customFormat="1" ht="13.5" customHeight="1" x14ac:dyDescent="0.2">
      <c r="A211" s="19">
        <v>708580</v>
      </c>
      <c r="B211" s="20" t="s">
        <v>216</v>
      </c>
      <c r="C211" s="17">
        <v>1</v>
      </c>
      <c r="D211" s="17" t="s">
        <v>153</v>
      </c>
    </row>
    <row r="212" spans="1:92" s="17" customFormat="1" ht="13.5" customHeight="1" x14ac:dyDescent="0.2">
      <c r="A212" s="11">
        <v>109999</v>
      </c>
      <c r="B212" s="11" t="s">
        <v>223</v>
      </c>
      <c r="C212" s="17">
        <v>1</v>
      </c>
      <c r="D212" s="17" t="s">
        <v>151</v>
      </c>
      <c r="E212" s="17">
        <v>12000</v>
      </c>
    </row>
    <row r="213" spans="1:92" x14ac:dyDescent="0.2">
      <c r="A213" s="5" t="s">
        <v>62</v>
      </c>
      <c r="B213" s="5" t="s">
        <v>56</v>
      </c>
      <c r="C213">
        <v>1</v>
      </c>
      <c r="E213">
        <v>0</v>
      </c>
      <c r="G213">
        <v>0</v>
      </c>
      <c r="I213">
        <v>3</v>
      </c>
      <c r="J213" t="s">
        <v>1</v>
      </c>
      <c r="L213">
        <v>0</v>
      </c>
      <c r="O213" t="str">
        <f>"טיוטא"</f>
        <v>טיוטא</v>
      </c>
      <c r="P213" t="str">
        <f>"אופיר"</f>
        <v>אופיר</v>
      </c>
      <c r="R213">
        <v>0</v>
      </c>
      <c r="X213" t="str">
        <f>"ש""ח"</f>
        <v>ש"ח</v>
      </c>
      <c r="Y213">
        <v>0</v>
      </c>
      <c r="Z213" t="str">
        <f>"ש""ח"</f>
        <v>ש"ח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 t="str">
        <f t="shared" si="46"/>
        <v>ש"ח</v>
      </c>
      <c r="AH213">
        <v>0</v>
      </c>
      <c r="AI213">
        <v>0</v>
      </c>
      <c r="AJ213" t="str">
        <f t="shared" si="48"/>
        <v>ידני</v>
      </c>
      <c r="AK213">
        <v>1</v>
      </c>
      <c r="AQ213">
        <v>0</v>
      </c>
      <c r="AW213" t="str">
        <f t="shared" si="47"/>
        <v>אופיר</v>
      </c>
      <c r="AX213" t="s">
        <v>8</v>
      </c>
      <c r="AY213">
        <v>40</v>
      </c>
      <c r="AZ213">
        <v>0</v>
      </c>
      <c r="BA213">
        <v>0</v>
      </c>
      <c r="BB213">
        <v>0</v>
      </c>
      <c r="BJ213">
        <v>0</v>
      </c>
      <c r="BK213">
        <v>0</v>
      </c>
      <c r="BN213">
        <v>0</v>
      </c>
      <c r="BO213">
        <v>0</v>
      </c>
      <c r="BV213">
        <v>0</v>
      </c>
      <c r="BW213">
        <v>0</v>
      </c>
      <c r="BX213">
        <v>0</v>
      </c>
      <c r="CA213">
        <v>1</v>
      </c>
      <c r="CB213">
        <v>0</v>
      </c>
      <c r="CC213">
        <v>0</v>
      </c>
      <c r="CD213">
        <v>0</v>
      </c>
      <c r="CE213">
        <v>0</v>
      </c>
      <c r="CM213">
        <v>0</v>
      </c>
      <c r="CN213">
        <v>0</v>
      </c>
    </row>
    <row r="214" spans="1:92" x14ac:dyDescent="0.2">
      <c r="A214" s="19" t="str">
        <f>"150011290"</f>
        <v>150011290</v>
      </c>
      <c r="B214" s="19" t="str">
        <f>"נורת ניאון אדומה 220"</f>
        <v>נורת ניאון אדומה 220</v>
      </c>
      <c r="C214" s="17">
        <v>8</v>
      </c>
      <c r="D214" s="17" t="s">
        <v>151</v>
      </c>
    </row>
    <row r="215" spans="1:92" x14ac:dyDescent="0.2">
      <c r="A215" s="19" t="str">
        <f>"150020002"</f>
        <v>150020002</v>
      </c>
      <c r="B215" s="19" t="str">
        <f>"שקע כח ישראלי NEVE-"</f>
        <v>שקע כח ישראלי NEVE-</v>
      </c>
      <c r="C215" s="17">
        <v>77</v>
      </c>
      <c r="D215" s="17" t="s">
        <v>151</v>
      </c>
    </row>
    <row r="216" spans="1:92" x14ac:dyDescent="0.2">
      <c r="A216" s="19" t="str">
        <f>"150020004"</f>
        <v>150020004</v>
      </c>
      <c r="B216" s="19" t="str">
        <f>"שקע טלפון NEVE-"</f>
        <v>שקע טלפון NEVE-</v>
      </c>
      <c r="C216" s="17">
        <v>14</v>
      </c>
      <c r="D216" s="17" t="s">
        <v>151</v>
      </c>
    </row>
    <row r="217" spans="1:92" x14ac:dyDescent="0.2">
      <c r="A217" s="19" t="str">
        <f>"150020014"</f>
        <v>150020014</v>
      </c>
      <c r="B217" s="19" t="str">
        <f>"דמי NEVE-"</f>
        <v>דמי NEVE-</v>
      </c>
      <c r="C217" s="17">
        <v>22</v>
      </c>
      <c r="D217" s="17" t="s">
        <v>151</v>
      </c>
    </row>
    <row r="218" spans="1:92" x14ac:dyDescent="0.2">
      <c r="A218" s="19" t="str">
        <f>"150020023"</f>
        <v>150020023</v>
      </c>
      <c r="B218" s="19" t="str">
        <f>"לחצן מואר NEVE-"</f>
        <v>לחצן מואר NEVE-</v>
      </c>
      <c r="C218" s="17">
        <v>4</v>
      </c>
      <c r="D218" s="17" t="s">
        <v>151</v>
      </c>
    </row>
    <row r="219" spans="1:92" x14ac:dyDescent="0.2">
      <c r="A219" s="19" t="str">
        <f>"150020024"</f>
        <v>150020024</v>
      </c>
      <c r="B219" s="19" t="str">
        <f>"לחצן רחב 2 .NEVE-"</f>
        <v>לחצן רחב 2 .NEVE-</v>
      </c>
      <c r="C219" s="17">
        <v>2</v>
      </c>
      <c r="D219" s="17" t="s">
        <v>151</v>
      </c>
    </row>
    <row r="220" spans="1:92" x14ac:dyDescent="0.2">
      <c r="A220" s="19" t="str">
        <f>"150020029"</f>
        <v>150020029</v>
      </c>
      <c r="B220" s="19" t="str">
        <f>"מסגרת 1 מודול NEVE-"</f>
        <v>מסגרת 1 מודול NEVE-</v>
      </c>
      <c r="C220" s="17">
        <v>33</v>
      </c>
      <c r="D220" s="17" t="s">
        <v>151</v>
      </c>
    </row>
    <row r="221" spans="1:92" x14ac:dyDescent="0.2">
      <c r="A221" s="19" t="str">
        <f>"150020036"</f>
        <v>150020036</v>
      </c>
      <c r="B221" s="19" t="str">
        <f>"מסגרת 2 מודול NEVE-"</f>
        <v>מסגרת 2 מודול NEVE-</v>
      </c>
      <c r="C221" s="17">
        <v>22</v>
      </c>
      <c r="D221" s="17" t="s">
        <v>151</v>
      </c>
    </row>
    <row r="222" spans="1:92" x14ac:dyDescent="0.2">
      <c r="A222" s="19" t="str">
        <f>"150020041"</f>
        <v>150020041</v>
      </c>
      <c r="B222" s="19" t="str">
        <f>"מסגרת 3 מודול NEVE-"</f>
        <v>מסגרת 3 מודול NEVE-</v>
      </c>
      <c r="C222" s="17">
        <v>13</v>
      </c>
      <c r="D222" s="17" t="s">
        <v>151</v>
      </c>
    </row>
    <row r="223" spans="1:92" x14ac:dyDescent="0.2">
      <c r="A223" s="19" t="str">
        <f>"150020045"</f>
        <v>150020045</v>
      </c>
      <c r="B223" s="19" t="str">
        <f>"מסגרת 4 מודול NEVE-"</f>
        <v>מסגרת 4 מודול NEVE-</v>
      </c>
      <c r="C223" s="17">
        <v>28</v>
      </c>
      <c r="D223" s="17" t="s">
        <v>151</v>
      </c>
    </row>
    <row r="224" spans="1:92" x14ac:dyDescent="0.2">
      <c r="A224" s="19" t="str">
        <f>"150020059"</f>
        <v>150020059</v>
      </c>
      <c r="B224" s="19" t="str">
        <f>"מפסק יחיד NEVE-"</f>
        <v>מפסק יחיד NEVE-</v>
      </c>
      <c r="C224" s="17">
        <v>30</v>
      </c>
      <c r="D224" s="17" t="s">
        <v>151</v>
      </c>
    </row>
    <row r="225" spans="1:92" x14ac:dyDescent="0.2">
      <c r="A225" s="19" t="str">
        <f>"150020061"</f>
        <v>150020061</v>
      </c>
      <c r="B225" s="19" t="str">
        <f>"מפסק חיולף NEVE-"</f>
        <v>מפסק חיולף NEVE-</v>
      </c>
      <c r="C225" s="17">
        <v>25</v>
      </c>
      <c r="D225" s="17" t="s">
        <v>151</v>
      </c>
    </row>
    <row r="226" spans="1:92" x14ac:dyDescent="0.2">
      <c r="A226" s="19" t="str">
        <f>"150020063"</f>
        <v>150020063</v>
      </c>
      <c r="B226" s="19" t="str">
        <f>"מפסק צלב NEVE-"</f>
        <v>מפסק צלב NEVE-</v>
      </c>
      <c r="C226" s="17">
        <v>3</v>
      </c>
      <c r="D226" s="17" t="s">
        <v>151</v>
      </c>
    </row>
    <row r="227" spans="1:92" x14ac:dyDescent="0.2">
      <c r="A227" s="19" t="str">
        <f>"150020068"</f>
        <v>150020068</v>
      </c>
      <c r="B227" s="19" t="str">
        <f>"מתאם 2 מודול NEVE-"</f>
        <v>מתאם 2 מודול NEVE-</v>
      </c>
      <c r="C227" s="17">
        <v>22</v>
      </c>
      <c r="D227" s="17" t="s">
        <v>151</v>
      </c>
    </row>
    <row r="228" spans="1:92" x14ac:dyDescent="0.2">
      <c r="A228" s="19" t="str">
        <f>"150020069"</f>
        <v>150020069</v>
      </c>
      <c r="B228" s="19" t="str">
        <f>"מתאם 3 מודול NEVE-"</f>
        <v>מתאם 3 מודול NEVE-</v>
      </c>
      <c r="C228" s="17">
        <v>46</v>
      </c>
      <c r="D228" s="17" t="s">
        <v>151</v>
      </c>
    </row>
    <row r="229" spans="1:92" x14ac:dyDescent="0.2">
      <c r="A229" s="19" t="str">
        <f>"150020070"</f>
        <v>150020070</v>
      </c>
      <c r="B229" s="19" t="str">
        <f>"מתאם 4 מודול NEVE-"</f>
        <v>מתאם 4 מודול NEVE-</v>
      </c>
      <c r="C229" s="17">
        <v>28</v>
      </c>
      <c r="D229" s="17" t="s">
        <v>151</v>
      </c>
    </row>
    <row r="230" spans="1:92" x14ac:dyDescent="0.2">
      <c r="A230" s="19" t="str">
        <f>"150020090"</f>
        <v>150020090</v>
      </c>
      <c r="B230" s="19" t="str">
        <f>"מפסק דוד NEVE-"</f>
        <v>מפסק דוד NEVE-</v>
      </c>
      <c r="C230" s="17">
        <v>4</v>
      </c>
      <c r="D230" s="17" t="s">
        <v>151</v>
      </c>
    </row>
    <row r="231" spans="1:92" x14ac:dyDescent="0.2">
      <c r="A231" s="19">
        <v>938140</v>
      </c>
      <c r="B231" s="21" t="s">
        <v>217</v>
      </c>
      <c r="C231" s="17">
        <v>10</v>
      </c>
      <c r="D231" s="17" t="s">
        <v>151</v>
      </c>
    </row>
    <row r="232" spans="1:92" x14ac:dyDescent="0.2">
      <c r="A232" s="19">
        <v>938150</v>
      </c>
      <c r="B232" s="21" t="s">
        <v>218</v>
      </c>
      <c r="C232" s="17">
        <v>1</v>
      </c>
      <c r="D232" s="17" t="s">
        <v>152</v>
      </c>
    </row>
    <row r="233" spans="1:92" x14ac:dyDescent="0.2">
      <c r="A233" s="19">
        <v>708370</v>
      </c>
      <c r="B233" s="21" t="s">
        <v>219</v>
      </c>
      <c r="C233" s="17">
        <v>2</v>
      </c>
      <c r="D233" s="17" t="s">
        <v>153</v>
      </c>
    </row>
    <row r="234" spans="1:92" x14ac:dyDescent="0.2">
      <c r="A234" s="19">
        <v>378160</v>
      </c>
      <c r="B234" s="21" t="s">
        <v>220</v>
      </c>
      <c r="C234" s="17">
        <v>200</v>
      </c>
      <c r="D234" s="17" t="s">
        <v>150</v>
      </c>
    </row>
    <row r="235" spans="1:92" x14ac:dyDescent="0.2">
      <c r="A235" s="19">
        <v>708470</v>
      </c>
      <c r="B235" s="21" t="s">
        <v>221</v>
      </c>
      <c r="C235" s="17">
        <v>6</v>
      </c>
      <c r="D235" s="17" t="s">
        <v>153</v>
      </c>
    </row>
    <row r="236" spans="1:92" x14ac:dyDescent="0.2">
      <c r="A236" s="19">
        <v>628160</v>
      </c>
      <c r="B236" s="21" t="s">
        <v>222</v>
      </c>
      <c r="C236" s="17">
        <v>50</v>
      </c>
      <c r="D236" s="17" t="s">
        <v>151</v>
      </c>
    </row>
    <row r="237" spans="1:92" x14ac:dyDescent="0.2">
      <c r="A237" s="11">
        <v>109999</v>
      </c>
      <c r="B237" s="11" t="s">
        <v>223</v>
      </c>
      <c r="C237" s="17">
        <v>1</v>
      </c>
      <c r="D237" s="17" t="s">
        <v>151</v>
      </c>
      <c r="E237" s="17">
        <v>8000</v>
      </c>
    </row>
    <row r="238" spans="1:92" x14ac:dyDescent="0.2">
      <c r="A238" s="11">
        <v>640000</v>
      </c>
      <c r="B238" s="22" t="s">
        <v>224</v>
      </c>
      <c r="C238">
        <v>1</v>
      </c>
      <c r="D238" t="s">
        <v>151</v>
      </c>
      <c r="E238">
        <v>6800</v>
      </c>
    </row>
    <row r="239" spans="1:92" x14ac:dyDescent="0.2">
      <c r="A239" s="11">
        <v>999999</v>
      </c>
      <c r="B239" s="22" t="s">
        <v>225</v>
      </c>
      <c r="C239">
        <v>1</v>
      </c>
      <c r="D239" t="s">
        <v>226</v>
      </c>
      <c r="E239">
        <v>1800</v>
      </c>
    </row>
    <row r="240" spans="1:92" x14ac:dyDescent="0.2">
      <c r="A240" s="5" t="s">
        <v>63</v>
      </c>
      <c r="B240" s="5" t="s">
        <v>57</v>
      </c>
      <c r="C240">
        <v>1</v>
      </c>
      <c r="E240">
        <v>0</v>
      </c>
      <c r="G240">
        <v>0</v>
      </c>
      <c r="I240">
        <v>3</v>
      </c>
      <c r="J240" t="s">
        <v>17</v>
      </c>
      <c r="L240">
        <v>3</v>
      </c>
      <c r="O240" t="str">
        <f t="shared" si="42"/>
        <v>טיוטא</v>
      </c>
      <c r="P240" t="str">
        <f t="shared" si="43"/>
        <v>אופיר</v>
      </c>
      <c r="R240">
        <v>3</v>
      </c>
      <c r="X240" t="str">
        <f t="shared" si="44"/>
        <v>ש"ח</v>
      </c>
      <c r="Y240">
        <v>0</v>
      </c>
      <c r="Z240" t="str">
        <f t="shared" si="45"/>
        <v>ש"ח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 t="str">
        <f t="shared" si="46"/>
        <v>ש"ח</v>
      </c>
      <c r="AH240">
        <v>0</v>
      </c>
      <c r="AI240">
        <v>0</v>
      </c>
      <c r="AJ240" t="str">
        <f t="shared" si="48"/>
        <v>ידני</v>
      </c>
      <c r="AK240">
        <v>1</v>
      </c>
      <c r="AQ240">
        <v>0</v>
      </c>
      <c r="AW240" t="str">
        <f t="shared" si="47"/>
        <v>אופיר</v>
      </c>
      <c r="AX240" t="s">
        <v>6</v>
      </c>
      <c r="AY240">
        <v>16</v>
      </c>
      <c r="AZ240">
        <v>0</v>
      </c>
      <c r="BA240">
        <v>0</v>
      </c>
      <c r="BB240">
        <v>0</v>
      </c>
      <c r="BJ240">
        <v>0</v>
      </c>
      <c r="BK240">
        <v>0</v>
      </c>
      <c r="BN240">
        <v>0</v>
      </c>
      <c r="BO240">
        <v>0</v>
      </c>
      <c r="BV240">
        <v>0</v>
      </c>
      <c r="BW240">
        <v>0</v>
      </c>
      <c r="BX240">
        <v>0</v>
      </c>
      <c r="CA240">
        <v>1</v>
      </c>
      <c r="CB240">
        <v>0</v>
      </c>
      <c r="CC240">
        <v>0</v>
      </c>
      <c r="CD240">
        <v>0</v>
      </c>
      <c r="CE240">
        <v>0</v>
      </c>
      <c r="CM240">
        <v>0</v>
      </c>
      <c r="CN240">
        <v>0</v>
      </c>
    </row>
    <row r="241" spans="1:92" ht="15" x14ac:dyDescent="0.2">
      <c r="A241" s="6">
        <v>10.4</v>
      </c>
      <c r="B241" s="6" t="s">
        <v>64</v>
      </c>
      <c r="C241">
        <v>1</v>
      </c>
      <c r="E241">
        <v>0</v>
      </c>
      <c r="G241">
        <v>100</v>
      </c>
      <c r="I241">
        <v>2</v>
      </c>
      <c r="J241" t="s">
        <v>1</v>
      </c>
      <c r="L241">
        <v>0</v>
      </c>
      <c r="N241" t="s">
        <v>10</v>
      </c>
      <c r="O241" t="str">
        <f>"טיוטא"</f>
        <v>טיוטא</v>
      </c>
      <c r="P241" t="str">
        <f>"אופיר"</f>
        <v>אופיר</v>
      </c>
      <c r="R241">
        <v>0</v>
      </c>
      <c r="X241" t="str">
        <f>"ש""ח"</f>
        <v>ש"ח</v>
      </c>
      <c r="Y241">
        <v>0</v>
      </c>
      <c r="Z241" t="str">
        <f>"ש""ח"</f>
        <v>ש"ח</v>
      </c>
      <c r="AA241">
        <v>0</v>
      </c>
      <c r="AB241">
        <v>6840</v>
      </c>
      <c r="AC241">
        <v>6840</v>
      </c>
      <c r="AD241">
        <v>0</v>
      </c>
      <c r="AE241">
        <v>6840</v>
      </c>
      <c r="AF241">
        <v>6840</v>
      </c>
      <c r="AG241" t="str">
        <f t="shared" si="46"/>
        <v>ש"ח</v>
      </c>
      <c r="AH241">
        <v>0</v>
      </c>
      <c r="AI241">
        <v>0</v>
      </c>
      <c r="AJ241" t="str">
        <f t="shared" si="48"/>
        <v>ידני</v>
      </c>
      <c r="AK241">
        <v>1</v>
      </c>
      <c r="AQ241">
        <v>0</v>
      </c>
      <c r="AW241" t="str">
        <f t="shared" si="47"/>
        <v>אופיר</v>
      </c>
      <c r="AX241" t="s">
        <v>9</v>
      </c>
      <c r="AY241">
        <v>38</v>
      </c>
      <c r="AZ241">
        <v>0</v>
      </c>
      <c r="BA241">
        <v>0</v>
      </c>
      <c r="BB241">
        <v>0</v>
      </c>
      <c r="BJ241">
        <v>0</v>
      </c>
      <c r="BK241">
        <v>0</v>
      </c>
      <c r="BN241">
        <v>0</v>
      </c>
      <c r="BO241">
        <v>6840</v>
      </c>
      <c r="BV241">
        <v>0</v>
      </c>
      <c r="BW241">
        <v>0</v>
      </c>
      <c r="BX241">
        <v>0</v>
      </c>
      <c r="CA241">
        <v>1</v>
      </c>
      <c r="CB241">
        <v>0</v>
      </c>
      <c r="CC241">
        <v>0</v>
      </c>
      <c r="CD241">
        <v>0</v>
      </c>
      <c r="CE241">
        <v>0</v>
      </c>
      <c r="CM241">
        <v>0</v>
      </c>
      <c r="CN241">
        <v>0</v>
      </c>
    </row>
    <row r="242" spans="1:92" x14ac:dyDescent="0.2">
      <c r="A242" s="5" t="s">
        <v>65</v>
      </c>
      <c r="B242" s="5" t="s">
        <v>54</v>
      </c>
      <c r="C242">
        <v>1</v>
      </c>
      <c r="E242">
        <v>0</v>
      </c>
      <c r="G242">
        <v>0</v>
      </c>
      <c r="I242">
        <v>3</v>
      </c>
      <c r="J242" t="s">
        <v>1</v>
      </c>
      <c r="L242">
        <v>0</v>
      </c>
      <c r="O242" t="str">
        <f>"טיוטא"</f>
        <v>טיוטא</v>
      </c>
      <c r="P242" t="str">
        <f>"אופיר"</f>
        <v>אופיר</v>
      </c>
      <c r="R242">
        <v>0</v>
      </c>
      <c r="X242" t="str">
        <f>"ש""ח"</f>
        <v>ש"ח</v>
      </c>
      <c r="Y242">
        <v>0</v>
      </c>
      <c r="Z242" t="str">
        <f>"ש""ח"</f>
        <v>ש"ח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 t="str">
        <f t="shared" si="46"/>
        <v>ש"ח</v>
      </c>
      <c r="AH242">
        <v>0</v>
      </c>
      <c r="AI242">
        <v>0</v>
      </c>
      <c r="AJ242" t="str">
        <f t="shared" si="48"/>
        <v>ידני</v>
      </c>
      <c r="AK242">
        <v>1</v>
      </c>
      <c r="AQ242">
        <v>0</v>
      </c>
      <c r="AW242" t="str">
        <f t="shared" si="47"/>
        <v>אופיר</v>
      </c>
      <c r="AX242" t="s">
        <v>9</v>
      </c>
      <c r="AY242">
        <v>39</v>
      </c>
      <c r="AZ242">
        <v>0</v>
      </c>
      <c r="BA242">
        <v>0</v>
      </c>
      <c r="BB242">
        <v>0</v>
      </c>
      <c r="BJ242">
        <v>0</v>
      </c>
      <c r="BK242">
        <v>0</v>
      </c>
      <c r="BN242">
        <v>0</v>
      </c>
      <c r="BO242">
        <v>0</v>
      </c>
      <c r="BV242">
        <v>0</v>
      </c>
      <c r="BW242">
        <v>0</v>
      </c>
      <c r="BX242">
        <v>0</v>
      </c>
      <c r="CA242">
        <v>1</v>
      </c>
      <c r="CB242">
        <v>0</v>
      </c>
      <c r="CC242">
        <v>0</v>
      </c>
      <c r="CD242">
        <v>0</v>
      </c>
      <c r="CE242">
        <v>0</v>
      </c>
      <c r="CM242">
        <v>0</v>
      </c>
      <c r="CN242">
        <v>0</v>
      </c>
    </row>
    <row r="243" spans="1:92" s="18" customFormat="1" ht="15" customHeight="1" x14ac:dyDescent="0.2">
      <c r="A243" s="16">
        <v>218260</v>
      </c>
      <c r="B243" s="12" t="s">
        <v>154</v>
      </c>
      <c r="C243" s="17">
        <v>500</v>
      </c>
      <c r="D243" s="17" t="s">
        <v>150</v>
      </c>
      <c r="Y243" s="18">
        <f>C243*E243</f>
        <v>0</v>
      </c>
    </row>
    <row r="244" spans="1:92" s="18" customFormat="1" ht="12.75" x14ac:dyDescent="0.2">
      <c r="A244" s="16">
        <v>218270</v>
      </c>
      <c r="B244" s="12" t="s">
        <v>155</v>
      </c>
      <c r="C244" s="17">
        <v>100</v>
      </c>
      <c r="D244" s="17" t="s">
        <v>150</v>
      </c>
      <c r="Y244" s="18">
        <f>C244*E244</f>
        <v>0</v>
      </c>
    </row>
    <row r="245" spans="1:92" s="18" customFormat="1" ht="12.75" x14ac:dyDescent="0.2">
      <c r="A245" s="16">
        <v>218140</v>
      </c>
      <c r="B245" s="17" t="s">
        <v>156</v>
      </c>
      <c r="C245" s="17">
        <v>50</v>
      </c>
      <c r="D245" s="17" t="s">
        <v>150</v>
      </c>
      <c r="Y245" s="18">
        <f>C245*E245</f>
        <v>0</v>
      </c>
    </row>
    <row r="246" spans="1:92" s="18" customFormat="1" ht="12.75" x14ac:dyDescent="0.2">
      <c r="A246" s="16">
        <v>228130</v>
      </c>
      <c r="B246" s="17" t="s">
        <v>147</v>
      </c>
      <c r="C246" s="17">
        <v>10</v>
      </c>
      <c r="D246" s="17" t="s">
        <v>151</v>
      </c>
    </row>
    <row r="247" spans="1:92" s="18" customFormat="1" ht="12.75" x14ac:dyDescent="0.2">
      <c r="A247" s="16">
        <v>228350</v>
      </c>
      <c r="B247" s="12" t="s">
        <v>157</v>
      </c>
      <c r="C247" s="17">
        <v>25</v>
      </c>
      <c r="D247" s="17" t="s">
        <v>151</v>
      </c>
    </row>
    <row r="248" spans="1:92" s="18" customFormat="1" ht="12.75" x14ac:dyDescent="0.2">
      <c r="A248" s="16">
        <v>228370</v>
      </c>
      <c r="B248" s="12" t="s">
        <v>158</v>
      </c>
      <c r="C248" s="17">
        <v>30</v>
      </c>
      <c r="D248" s="17" t="s">
        <v>151</v>
      </c>
    </row>
    <row r="249" spans="1:92" s="18" customFormat="1" ht="12.75" x14ac:dyDescent="0.2">
      <c r="A249" s="16">
        <v>798200</v>
      </c>
      <c r="B249" s="16" t="s">
        <v>159</v>
      </c>
      <c r="C249" s="17">
        <v>1</v>
      </c>
      <c r="D249" s="17" t="s">
        <v>151</v>
      </c>
    </row>
    <row r="250" spans="1:92" s="18" customFormat="1" ht="12.75" x14ac:dyDescent="0.2">
      <c r="A250" s="16">
        <v>918140</v>
      </c>
      <c r="B250" s="16" t="s">
        <v>160</v>
      </c>
      <c r="C250" s="17">
        <v>100</v>
      </c>
      <c r="D250" s="17" t="s">
        <v>151</v>
      </c>
    </row>
    <row r="251" spans="1:92" s="9" customFormat="1" x14ac:dyDescent="0.2">
      <c r="A251" s="11">
        <v>438200</v>
      </c>
      <c r="B251" s="12" t="s">
        <v>161</v>
      </c>
      <c r="C251" s="13">
        <v>5</v>
      </c>
      <c r="D251" s="13" t="s">
        <v>150</v>
      </c>
    </row>
    <row r="252" spans="1:92" s="9" customFormat="1" x14ac:dyDescent="0.2">
      <c r="A252" s="11"/>
      <c r="B252" s="12" t="s">
        <v>223</v>
      </c>
      <c r="C252" s="17">
        <v>1</v>
      </c>
      <c r="D252" s="17" t="s">
        <v>226</v>
      </c>
      <c r="E252" s="9">
        <v>3000</v>
      </c>
    </row>
    <row r="253" spans="1:92" x14ac:dyDescent="0.2">
      <c r="A253" s="5" t="s">
        <v>66</v>
      </c>
      <c r="B253" s="5" t="s">
        <v>55</v>
      </c>
      <c r="C253">
        <v>1</v>
      </c>
      <c r="E253">
        <v>0</v>
      </c>
      <c r="G253">
        <v>0</v>
      </c>
      <c r="I253">
        <v>3</v>
      </c>
      <c r="J253" t="s">
        <v>1</v>
      </c>
      <c r="L253">
        <v>0</v>
      </c>
      <c r="O253" t="str">
        <f>"טיוטא"</f>
        <v>טיוטא</v>
      </c>
      <c r="P253" t="str">
        <f>"אופיר"</f>
        <v>אופיר</v>
      </c>
      <c r="R253">
        <v>0</v>
      </c>
      <c r="X253" t="str">
        <f>"ש""ח"</f>
        <v>ש"ח</v>
      </c>
      <c r="Y253">
        <v>0</v>
      </c>
      <c r="Z253" t="str">
        <f>"ש""ח"</f>
        <v>ש"ח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 t="str">
        <f t="shared" si="46"/>
        <v>ש"ח</v>
      </c>
      <c r="AH253">
        <v>0</v>
      </c>
      <c r="AI253">
        <v>0</v>
      </c>
      <c r="AJ253" t="str">
        <f t="shared" si="48"/>
        <v>ידני</v>
      </c>
      <c r="AK253">
        <v>1</v>
      </c>
      <c r="AQ253">
        <v>0</v>
      </c>
      <c r="AW253" t="str">
        <f t="shared" si="47"/>
        <v>אופיר</v>
      </c>
      <c r="AX253" t="s">
        <v>8</v>
      </c>
      <c r="AY253">
        <v>40</v>
      </c>
      <c r="AZ253">
        <v>0</v>
      </c>
      <c r="BA253">
        <v>0</v>
      </c>
      <c r="BB253">
        <v>0</v>
      </c>
      <c r="BJ253">
        <v>0</v>
      </c>
      <c r="BK253">
        <v>0</v>
      </c>
      <c r="BN253">
        <v>0</v>
      </c>
      <c r="BO253">
        <v>0</v>
      </c>
      <c r="BV253">
        <v>0</v>
      </c>
      <c r="BW253">
        <v>0</v>
      </c>
      <c r="BX253">
        <v>0</v>
      </c>
      <c r="CA253">
        <v>1</v>
      </c>
      <c r="CB253">
        <v>0</v>
      </c>
      <c r="CC253">
        <v>0</v>
      </c>
      <c r="CD253">
        <v>0</v>
      </c>
      <c r="CE253">
        <v>0</v>
      </c>
      <c r="CM253">
        <v>0</v>
      </c>
      <c r="CN253">
        <v>0</v>
      </c>
    </row>
    <row r="254" spans="1:92" s="17" customFormat="1" ht="15" customHeight="1" x14ac:dyDescent="0.2">
      <c r="A254" s="16">
        <v>218260</v>
      </c>
      <c r="B254" s="12" t="s">
        <v>154</v>
      </c>
      <c r="C254" s="17">
        <v>700</v>
      </c>
      <c r="D254" s="17" t="s">
        <v>150</v>
      </c>
    </row>
    <row r="255" spans="1:92" s="17" customFormat="1" ht="12.75" x14ac:dyDescent="0.2">
      <c r="A255" s="16">
        <v>218290</v>
      </c>
      <c r="B255" s="12" t="s">
        <v>162</v>
      </c>
      <c r="C255" s="17">
        <v>800</v>
      </c>
      <c r="D255" s="17" t="s">
        <v>150</v>
      </c>
    </row>
    <row r="256" spans="1:92" s="17" customFormat="1" ht="12.75" x14ac:dyDescent="0.2">
      <c r="A256" s="16">
        <v>218370</v>
      </c>
      <c r="B256" s="12" t="s">
        <v>163</v>
      </c>
      <c r="C256" s="17">
        <v>150</v>
      </c>
      <c r="D256" s="17" t="s">
        <v>150</v>
      </c>
    </row>
    <row r="257" spans="1:4" s="17" customFormat="1" ht="12.75" x14ac:dyDescent="0.2">
      <c r="A257" s="16">
        <v>218340</v>
      </c>
      <c r="B257" s="12" t="s">
        <v>164</v>
      </c>
      <c r="C257" s="17">
        <v>150</v>
      </c>
      <c r="D257" s="17" t="s">
        <v>150</v>
      </c>
    </row>
    <row r="258" spans="1:4" s="17" customFormat="1" ht="12.75" x14ac:dyDescent="0.2">
      <c r="A258" s="16">
        <v>218190</v>
      </c>
      <c r="B258" s="12" t="s">
        <v>148</v>
      </c>
      <c r="C258" s="17">
        <v>300</v>
      </c>
      <c r="D258" s="17" t="s">
        <v>150</v>
      </c>
    </row>
    <row r="259" spans="1:4" s="17" customFormat="1" ht="12.75" x14ac:dyDescent="0.2">
      <c r="A259" s="16">
        <v>218300</v>
      </c>
      <c r="B259" s="12" t="s">
        <v>165</v>
      </c>
      <c r="C259" s="17">
        <v>50</v>
      </c>
      <c r="D259" s="17" t="s">
        <v>150</v>
      </c>
    </row>
    <row r="260" spans="1:4" s="17" customFormat="1" ht="12.75" x14ac:dyDescent="0.2">
      <c r="A260" s="16">
        <v>368110</v>
      </c>
      <c r="B260" s="12" t="s">
        <v>166</v>
      </c>
      <c r="C260" s="17">
        <v>800</v>
      </c>
      <c r="D260" s="17" t="s">
        <v>150</v>
      </c>
    </row>
    <row r="261" spans="1:4" s="17" customFormat="1" ht="12.75" x14ac:dyDescent="0.2">
      <c r="A261" s="16">
        <v>368120</v>
      </c>
      <c r="B261" s="12" t="s">
        <v>167</v>
      </c>
      <c r="C261" s="17">
        <v>800</v>
      </c>
      <c r="D261" s="17" t="s">
        <v>150</v>
      </c>
    </row>
    <row r="262" spans="1:4" s="17" customFormat="1" ht="12.75" x14ac:dyDescent="0.2">
      <c r="A262" s="16">
        <v>368130</v>
      </c>
      <c r="B262" s="12" t="s">
        <v>168</v>
      </c>
      <c r="C262" s="17">
        <v>800</v>
      </c>
      <c r="D262" s="17" t="s">
        <v>150</v>
      </c>
    </row>
    <row r="263" spans="1:4" s="17" customFormat="1" ht="12.75" x14ac:dyDescent="0.2">
      <c r="A263" s="16">
        <v>368140</v>
      </c>
      <c r="B263" s="12" t="s">
        <v>169</v>
      </c>
      <c r="C263" s="17">
        <v>800</v>
      </c>
      <c r="D263" s="17" t="s">
        <v>150</v>
      </c>
    </row>
    <row r="264" spans="1:4" s="17" customFormat="1" ht="12.75" x14ac:dyDescent="0.2">
      <c r="A264" s="16">
        <v>368150</v>
      </c>
      <c r="B264" s="12" t="s">
        <v>170</v>
      </c>
      <c r="C264" s="17">
        <v>800</v>
      </c>
      <c r="D264" s="17" t="s">
        <v>150</v>
      </c>
    </row>
    <row r="265" spans="1:4" s="17" customFormat="1" ht="12.75" x14ac:dyDescent="0.2">
      <c r="A265" s="16">
        <v>368160</v>
      </c>
      <c r="B265" s="12" t="s">
        <v>171</v>
      </c>
      <c r="C265" s="17">
        <v>700</v>
      </c>
      <c r="D265" s="17" t="s">
        <v>150</v>
      </c>
    </row>
    <row r="266" spans="1:4" s="17" customFormat="1" ht="12.75" x14ac:dyDescent="0.2">
      <c r="A266" s="16">
        <v>368170</v>
      </c>
      <c r="B266" s="12" t="s">
        <v>172</v>
      </c>
      <c r="C266" s="17">
        <v>700</v>
      </c>
      <c r="D266" s="17" t="s">
        <v>150</v>
      </c>
    </row>
    <row r="267" spans="1:4" s="17" customFormat="1" ht="12.75" x14ac:dyDescent="0.2">
      <c r="A267" s="16">
        <v>368180</v>
      </c>
      <c r="B267" s="12" t="s">
        <v>173</v>
      </c>
      <c r="C267" s="17">
        <v>700</v>
      </c>
      <c r="D267" s="17" t="s">
        <v>150</v>
      </c>
    </row>
    <row r="268" spans="1:4" s="17" customFormat="1" ht="12.75" x14ac:dyDescent="0.2">
      <c r="A268" s="16">
        <v>378120</v>
      </c>
      <c r="B268" s="12" t="s">
        <v>174</v>
      </c>
      <c r="C268" s="17">
        <v>200</v>
      </c>
      <c r="D268" s="17" t="s">
        <v>150</v>
      </c>
    </row>
    <row r="269" spans="1:4" s="17" customFormat="1" ht="12.75" x14ac:dyDescent="0.2">
      <c r="A269" s="16">
        <v>228350</v>
      </c>
      <c r="B269" s="12" t="s">
        <v>157</v>
      </c>
      <c r="C269" s="17">
        <v>60</v>
      </c>
      <c r="D269" s="17" t="s">
        <v>151</v>
      </c>
    </row>
    <row r="270" spans="1:4" s="17" customFormat="1" ht="12.75" x14ac:dyDescent="0.2">
      <c r="A270" s="16">
        <v>228370</v>
      </c>
      <c r="B270" s="12" t="s">
        <v>158</v>
      </c>
      <c r="C270" s="17">
        <v>30</v>
      </c>
      <c r="D270" s="17" t="s">
        <v>151</v>
      </c>
    </row>
    <row r="271" spans="1:4" s="17" customFormat="1" ht="12.75" x14ac:dyDescent="0.2">
      <c r="A271" s="16">
        <v>918180</v>
      </c>
      <c r="B271" s="12" t="s">
        <v>149</v>
      </c>
      <c r="C271" s="17">
        <v>4</v>
      </c>
      <c r="D271" s="17" t="s">
        <v>152</v>
      </c>
    </row>
    <row r="272" spans="1:4" s="17" customFormat="1" ht="12.75" x14ac:dyDescent="0.2">
      <c r="A272" s="16">
        <v>918190</v>
      </c>
      <c r="B272" s="16" t="s">
        <v>175</v>
      </c>
      <c r="C272" s="17">
        <v>4</v>
      </c>
      <c r="D272" s="17" t="s">
        <v>152</v>
      </c>
    </row>
    <row r="273" spans="1:92" s="17" customFormat="1" ht="12.75" x14ac:dyDescent="0.2">
      <c r="A273" s="16">
        <v>228130</v>
      </c>
      <c r="B273" s="17" t="s">
        <v>147</v>
      </c>
      <c r="C273" s="17">
        <v>10</v>
      </c>
      <c r="D273" s="17" t="s">
        <v>153</v>
      </c>
    </row>
    <row r="274" spans="1:92" s="17" customFormat="1" ht="12.75" x14ac:dyDescent="0.2">
      <c r="A274" s="16">
        <v>228140</v>
      </c>
      <c r="B274" s="12" t="s">
        <v>176</v>
      </c>
      <c r="C274" s="17">
        <v>25</v>
      </c>
      <c r="D274" s="17" t="s">
        <v>153</v>
      </c>
    </row>
    <row r="275" spans="1:92" s="17" customFormat="1" ht="13.5" customHeight="1" x14ac:dyDescent="0.2">
      <c r="A275" s="16">
        <v>438200</v>
      </c>
      <c r="B275" s="12" t="s">
        <v>161</v>
      </c>
      <c r="C275" s="17">
        <v>10</v>
      </c>
      <c r="D275" s="17" t="s">
        <v>151</v>
      </c>
    </row>
    <row r="276" spans="1:92" s="17" customFormat="1" ht="13.5" customHeight="1" x14ac:dyDescent="0.2">
      <c r="A276" s="19">
        <v>708580</v>
      </c>
      <c r="B276" s="20" t="s">
        <v>216</v>
      </c>
      <c r="C276" s="17">
        <v>1</v>
      </c>
      <c r="D276" s="17" t="s">
        <v>153</v>
      </c>
    </row>
    <row r="277" spans="1:92" s="17" customFormat="1" ht="13.5" customHeight="1" x14ac:dyDescent="0.2">
      <c r="A277" s="11">
        <v>109999</v>
      </c>
      <c r="B277" s="11" t="s">
        <v>223</v>
      </c>
      <c r="C277" s="17">
        <v>1</v>
      </c>
      <c r="D277" s="17" t="s">
        <v>151</v>
      </c>
      <c r="E277" s="17">
        <v>12000</v>
      </c>
    </row>
    <row r="278" spans="1:92" x14ac:dyDescent="0.2">
      <c r="A278" s="5" t="s">
        <v>67</v>
      </c>
      <c r="B278" s="5" t="s">
        <v>56</v>
      </c>
      <c r="C278">
        <v>1</v>
      </c>
      <c r="E278">
        <v>0</v>
      </c>
      <c r="G278">
        <v>0</v>
      </c>
      <c r="I278">
        <v>3</v>
      </c>
      <c r="J278" t="s">
        <v>1</v>
      </c>
      <c r="L278">
        <v>0</v>
      </c>
      <c r="O278" t="str">
        <f>"טיוטא"</f>
        <v>טיוטא</v>
      </c>
      <c r="P278" t="str">
        <f>"אופיר"</f>
        <v>אופיר</v>
      </c>
      <c r="R278">
        <v>0</v>
      </c>
      <c r="X278" t="str">
        <f>"ש""ח"</f>
        <v>ש"ח</v>
      </c>
      <c r="Y278">
        <v>0</v>
      </c>
      <c r="Z278" t="str">
        <f>"ש""ח"</f>
        <v>ש"ח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 t="str">
        <f t="shared" si="46"/>
        <v>ש"ח</v>
      </c>
      <c r="AH278">
        <v>0</v>
      </c>
      <c r="AI278">
        <v>0</v>
      </c>
      <c r="AJ278" t="str">
        <f t="shared" si="48"/>
        <v>ידני</v>
      </c>
      <c r="AK278">
        <v>1</v>
      </c>
      <c r="AQ278">
        <v>0</v>
      </c>
      <c r="AW278" t="str">
        <f t="shared" si="47"/>
        <v>אופיר</v>
      </c>
      <c r="AX278" t="s">
        <v>8</v>
      </c>
      <c r="AY278">
        <v>40</v>
      </c>
      <c r="AZ278">
        <v>0</v>
      </c>
      <c r="BA278">
        <v>0</v>
      </c>
      <c r="BB278">
        <v>0</v>
      </c>
      <c r="BJ278">
        <v>0</v>
      </c>
      <c r="BK278">
        <v>0</v>
      </c>
      <c r="BN278">
        <v>0</v>
      </c>
      <c r="BO278">
        <v>0</v>
      </c>
      <c r="BV278">
        <v>0</v>
      </c>
      <c r="BW278">
        <v>0</v>
      </c>
      <c r="BX278">
        <v>0</v>
      </c>
      <c r="CA278">
        <v>1</v>
      </c>
      <c r="CB278">
        <v>0</v>
      </c>
      <c r="CC278">
        <v>0</v>
      </c>
      <c r="CD278">
        <v>0</v>
      </c>
      <c r="CE278">
        <v>0</v>
      </c>
      <c r="CM278">
        <v>0</v>
      </c>
      <c r="CN278">
        <v>0</v>
      </c>
    </row>
    <row r="279" spans="1:92" x14ac:dyDescent="0.2">
      <c r="A279" s="19" t="str">
        <f>"150011290"</f>
        <v>150011290</v>
      </c>
      <c r="B279" s="19" t="str">
        <f>"נורת ניאון אדומה 220"</f>
        <v>נורת ניאון אדומה 220</v>
      </c>
      <c r="C279" s="17">
        <v>8</v>
      </c>
      <c r="D279" s="17" t="s">
        <v>151</v>
      </c>
    </row>
    <row r="280" spans="1:92" x14ac:dyDescent="0.2">
      <c r="A280" s="19" t="str">
        <f>"150020002"</f>
        <v>150020002</v>
      </c>
      <c r="B280" s="19" t="str">
        <f>"שקע כח ישראלי NEVE-"</f>
        <v>שקע כח ישראלי NEVE-</v>
      </c>
      <c r="C280" s="17">
        <v>77</v>
      </c>
      <c r="D280" s="17" t="s">
        <v>151</v>
      </c>
    </row>
    <row r="281" spans="1:92" x14ac:dyDescent="0.2">
      <c r="A281" s="19" t="str">
        <f>"150020004"</f>
        <v>150020004</v>
      </c>
      <c r="B281" s="19" t="str">
        <f>"שקע טלפון NEVE-"</f>
        <v>שקע טלפון NEVE-</v>
      </c>
      <c r="C281" s="17">
        <v>14</v>
      </c>
      <c r="D281" s="17" t="s">
        <v>151</v>
      </c>
    </row>
    <row r="282" spans="1:92" x14ac:dyDescent="0.2">
      <c r="A282" s="19" t="str">
        <f>"150020014"</f>
        <v>150020014</v>
      </c>
      <c r="B282" s="19" t="str">
        <f>"דמי NEVE-"</f>
        <v>דמי NEVE-</v>
      </c>
      <c r="C282" s="17">
        <v>22</v>
      </c>
      <c r="D282" s="17" t="s">
        <v>151</v>
      </c>
    </row>
    <row r="283" spans="1:92" x14ac:dyDescent="0.2">
      <c r="A283" s="19" t="str">
        <f>"150020023"</f>
        <v>150020023</v>
      </c>
      <c r="B283" s="19" t="str">
        <f>"לחצן מואר NEVE-"</f>
        <v>לחצן מואר NEVE-</v>
      </c>
      <c r="C283" s="17">
        <v>4</v>
      </c>
      <c r="D283" s="17" t="s">
        <v>151</v>
      </c>
    </row>
    <row r="284" spans="1:92" x14ac:dyDescent="0.2">
      <c r="A284" s="19" t="str">
        <f>"150020024"</f>
        <v>150020024</v>
      </c>
      <c r="B284" s="19" t="str">
        <f>"לחצן רחב 2 .NEVE-"</f>
        <v>לחצן רחב 2 .NEVE-</v>
      </c>
      <c r="C284" s="17">
        <v>2</v>
      </c>
      <c r="D284" s="17" t="s">
        <v>151</v>
      </c>
    </row>
    <row r="285" spans="1:92" x14ac:dyDescent="0.2">
      <c r="A285" s="19" t="str">
        <f>"150020029"</f>
        <v>150020029</v>
      </c>
      <c r="B285" s="19" t="str">
        <f>"מסגרת 1 מודול NEVE-"</f>
        <v>מסגרת 1 מודול NEVE-</v>
      </c>
      <c r="C285" s="17">
        <v>33</v>
      </c>
      <c r="D285" s="17" t="s">
        <v>151</v>
      </c>
    </row>
    <row r="286" spans="1:92" x14ac:dyDescent="0.2">
      <c r="A286" s="19" t="str">
        <f>"150020036"</f>
        <v>150020036</v>
      </c>
      <c r="B286" s="19" t="str">
        <f>"מסגרת 2 מודול NEVE-"</f>
        <v>מסגרת 2 מודול NEVE-</v>
      </c>
      <c r="C286" s="17">
        <v>22</v>
      </c>
      <c r="D286" s="17" t="s">
        <v>151</v>
      </c>
    </row>
    <row r="287" spans="1:92" x14ac:dyDescent="0.2">
      <c r="A287" s="19" t="str">
        <f>"150020041"</f>
        <v>150020041</v>
      </c>
      <c r="B287" s="19" t="str">
        <f>"מסגרת 3 מודול NEVE-"</f>
        <v>מסגרת 3 מודול NEVE-</v>
      </c>
      <c r="C287" s="17">
        <v>13</v>
      </c>
      <c r="D287" s="17" t="s">
        <v>151</v>
      </c>
    </row>
    <row r="288" spans="1:92" x14ac:dyDescent="0.2">
      <c r="A288" s="19" t="str">
        <f>"150020045"</f>
        <v>150020045</v>
      </c>
      <c r="B288" s="19" t="str">
        <f>"מסגרת 4 מודול NEVE-"</f>
        <v>מסגרת 4 מודול NEVE-</v>
      </c>
      <c r="C288" s="17">
        <v>28</v>
      </c>
      <c r="D288" s="17" t="s">
        <v>151</v>
      </c>
    </row>
    <row r="289" spans="1:5" x14ac:dyDescent="0.2">
      <c r="A289" s="19" t="str">
        <f>"150020059"</f>
        <v>150020059</v>
      </c>
      <c r="B289" s="19" t="str">
        <f>"מפסק יחיד NEVE-"</f>
        <v>מפסק יחיד NEVE-</v>
      </c>
      <c r="C289" s="17">
        <v>30</v>
      </c>
      <c r="D289" s="17" t="s">
        <v>151</v>
      </c>
    </row>
    <row r="290" spans="1:5" x14ac:dyDescent="0.2">
      <c r="A290" s="19" t="str">
        <f>"150020061"</f>
        <v>150020061</v>
      </c>
      <c r="B290" s="19" t="str">
        <f>"מפסק חיולף NEVE-"</f>
        <v>מפסק חיולף NEVE-</v>
      </c>
      <c r="C290" s="17">
        <v>25</v>
      </c>
      <c r="D290" s="17" t="s">
        <v>151</v>
      </c>
    </row>
    <row r="291" spans="1:5" x14ac:dyDescent="0.2">
      <c r="A291" s="19" t="str">
        <f>"150020063"</f>
        <v>150020063</v>
      </c>
      <c r="B291" s="19" t="str">
        <f>"מפסק צלב NEVE-"</f>
        <v>מפסק צלב NEVE-</v>
      </c>
      <c r="C291" s="17">
        <v>3</v>
      </c>
      <c r="D291" s="17" t="s">
        <v>151</v>
      </c>
    </row>
    <row r="292" spans="1:5" x14ac:dyDescent="0.2">
      <c r="A292" s="19" t="str">
        <f>"150020068"</f>
        <v>150020068</v>
      </c>
      <c r="B292" s="19" t="str">
        <f>"מתאם 2 מודול NEVE-"</f>
        <v>מתאם 2 מודול NEVE-</v>
      </c>
      <c r="C292" s="17">
        <v>22</v>
      </c>
      <c r="D292" s="17" t="s">
        <v>151</v>
      </c>
    </row>
    <row r="293" spans="1:5" x14ac:dyDescent="0.2">
      <c r="A293" s="19" t="str">
        <f>"150020069"</f>
        <v>150020069</v>
      </c>
      <c r="B293" s="19" t="str">
        <f>"מתאם 3 מודול NEVE-"</f>
        <v>מתאם 3 מודול NEVE-</v>
      </c>
      <c r="C293" s="17">
        <v>46</v>
      </c>
      <c r="D293" s="17" t="s">
        <v>151</v>
      </c>
    </row>
    <row r="294" spans="1:5" x14ac:dyDescent="0.2">
      <c r="A294" s="19" t="str">
        <f>"150020070"</f>
        <v>150020070</v>
      </c>
      <c r="B294" s="19" t="str">
        <f>"מתאם 4 מודול NEVE-"</f>
        <v>מתאם 4 מודול NEVE-</v>
      </c>
      <c r="C294" s="17">
        <v>28</v>
      </c>
      <c r="D294" s="17" t="s">
        <v>151</v>
      </c>
    </row>
    <row r="295" spans="1:5" x14ac:dyDescent="0.2">
      <c r="A295" s="19" t="str">
        <f>"150020090"</f>
        <v>150020090</v>
      </c>
      <c r="B295" s="19" t="str">
        <f>"מפסק דוד NEVE-"</f>
        <v>מפסק דוד NEVE-</v>
      </c>
      <c r="C295" s="17">
        <v>4</v>
      </c>
      <c r="D295" s="17" t="s">
        <v>151</v>
      </c>
    </row>
    <row r="296" spans="1:5" x14ac:dyDescent="0.2">
      <c r="A296" s="19">
        <v>938140</v>
      </c>
      <c r="B296" s="21" t="s">
        <v>217</v>
      </c>
      <c r="C296" s="17">
        <v>10</v>
      </c>
      <c r="D296" s="17" t="s">
        <v>151</v>
      </c>
    </row>
    <row r="297" spans="1:5" x14ac:dyDescent="0.2">
      <c r="A297" s="19">
        <v>938150</v>
      </c>
      <c r="B297" s="21" t="s">
        <v>218</v>
      </c>
      <c r="C297" s="17">
        <v>1</v>
      </c>
      <c r="D297" s="17" t="s">
        <v>152</v>
      </c>
    </row>
    <row r="298" spans="1:5" x14ac:dyDescent="0.2">
      <c r="A298" s="19">
        <v>708370</v>
      </c>
      <c r="B298" s="21" t="s">
        <v>219</v>
      </c>
      <c r="C298" s="17">
        <v>2</v>
      </c>
      <c r="D298" s="17" t="s">
        <v>153</v>
      </c>
    </row>
    <row r="299" spans="1:5" x14ac:dyDescent="0.2">
      <c r="A299" s="19">
        <v>378160</v>
      </c>
      <c r="B299" s="21" t="s">
        <v>220</v>
      </c>
      <c r="C299" s="17">
        <v>200</v>
      </c>
      <c r="D299" s="17" t="s">
        <v>150</v>
      </c>
    </row>
    <row r="300" spans="1:5" x14ac:dyDescent="0.2">
      <c r="A300" s="19">
        <v>708470</v>
      </c>
      <c r="B300" s="21" t="s">
        <v>221</v>
      </c>
      <c r="C300" s="17">
        <v>6</v>
      </c>
      <c r="D300" s="17" t="s">
        <v>153</v>
      </c>
    </row>
    <row r="301" spans="1:5" x14ac:dyDescent="0.2">
      <c r="A301" s="19">
        <v>628160</v>
      </c>
      <c r="B301" s="21" t="s">
        <v>222</v>
      </c>
      <c r="C301" s="17">
        <v>50</v>
      </c>
      <c r="D301" s="17" t="s">
        <v>151</v>
      </c>
    </row>
    <row r="302" spans="1:5" x14ac:dyDescent="0.2">
      <c r="A302" s="11">
        <v>109999</v>
      </c>
      <c r="B302" s="11" t="s">
        <v>223</v>
      </c>
      <c r="C302" s="17">
        <v>1</v>
      </c>
      <c r="D302" s="17" t="s">
        <v>151</v>
      </c>
      <c r="E302" s="17">
        <v>8000</v>
      </c>
    </row>
    <row r="303" spans="1:5" x14ac:dyDescent="0.2">
      <c r="A303" s="11">
        <v>640000</v>
      </c>
      <c r="B303" s="22" t="s">
        <v>224</v>
      </c>
      <c r="C303">
        <v>1</v>
      </c>
      <c r="D303" t="s">
        <v>151</v>
      </c>
      <c r="E303">
        <v>6800</v>
      </c>
    </row>
    <row r="304" spans="1:5" x14ac:dyDescent="0.2">
      <c r="A304" s="11">
        <v>999999</v>
      </c>
      <c r="B304" s="22" t="s">
        <v>225</v>
      </c>
      <c r="C304">
        <v>1</v>
      </c>
      <c r="D304" t="s">
        <v>226</v>
      </c>
      <c r="E304">
        <v>1800</v>
      </c>
    </row>
    <row r="305" spans="1:92" x14ac:dyDescent="0.2">
      <c r="A305" s="5" t="s">
        <v>68</v>
      </c>
      <c r="B305" s="5" t="s">
        <v>57</v>
      </c>
      <c r="C305">
        <v>1</v>
      </c>
      <c r="E305">
        <v>0</v>
      </c>
      <c r="G305">
        <v>0</v>
      </c>
      <c r="I305">
        <v>3</v>
      </c>
      <c r="J305" t="s">
        <v>18</v>
      </c>
      <c r="L305">
        <v>6</v>
      </c>
      <c r="O305" t="str">
        <f t="shared" si="42"/>
        <v>טיוטא</v>
      </c>
      <c r="P305" t="str">
        <f t="shared" si="43"/>
        <v>אופיר</v>
      </c>
      <c r="R305">
        <v>6</v>
      </c>
      <c r="X305" t="str">
        <f t="shared" si="44"/>
        <v>ש"ח</v>
      </c>
      <c r="Y305">
        <v>0</v>
      </c>
      <c r="Z305" t="str">
        <f t="shared" si="45"/>
        <v>ש"ח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 t="str">
        <f t="shared" si="46"/>
        <v>ש"ח</v>
      </c>
      <c r="AH305">
        <v>0</v>
      </c>
      <c r="AI305">
        <v>0</v>
      </c>
      <c r="AJ305" t="str">
        <f t="shared" si="48"/>
        <v>ידני</v>
      </c>
      <c r="AK305">
        <v>1</v>
      </c>
      <c r="AQ305">
        <v>0</v>
      </c>
      <c r="AW305" t="str">
        <f t="shared" si="47"/>
        <v>אופיר</v>
      </c>
      <c r="AX305" t="s">
        <v>6</v>
      </c>
      <c r="AY305">
        <v>19</v>
      </c>
      <c r="AZ305">
        <v>0</v>
      </c>
      <c r="BA305">
        <v>0</v>
      </c>
      <c r="BB305">
        <v>0</v>
      </c>
      <c r="BJ305">
        <v>0</v>
      </c>
      <c r="BK305">
        <v>0</v>
      </c>
      <c r="BN305">
        <v>0</v>
      </c>
      <c r="BO305">
        <v>0</v>
      </c>
      <c r="BV305">
        <v>0</v>
      </c>
      <c r="BW305">
        <v>0</v>
      </c>
      <c r="BX305">
        <v>0</v>
      </c>
      <c r="CA305">
        <v>1</v>
      </c>
      <c r="CB305">
        <v>0</v>
      </c>
      <c r="CC305">
        <v>0</v>
      </c>
      <c r="CD305">
        <v>0</v>
      </c>
      <c r="CE305">
        <v>0</v>
      </c>
      <c r="CM305">
        <v>0</v>
      </c>
      <c r="CN305">
        <v>0</v>
      </c>
    </row>
    <row r="306" spans="1:92" ht="15" x14ac:dyDescent="0.2">
      <c r="A306" s="6">
        <v>10.4</v>
      </c>
      <c r="B306" s="6" t="s">
        <v>69</v>
      </c>
      <c r="C306">
        <v>1</v>
      </c>
      <c r="E306">
        <v>0</v>
      </c>
      <c r="G306">
        <v>100</v>
      </c>
      <c r="I306">
        <v>2</v>
      </c>
      <c r="J306" t="s">
        <v>1</v>
      </c>
      <c r="L306">
        <v>0</v>
      </c>
      <c r="N306" t="s">
        <v>10</v>
      </c>
      <c r="O306" t="str">
        <f>"טיוטא"</f>
        <v>טיוטא</v>
      </c>
      <c r="P306" t="str">
        <f>"אופיר"</f>
        <v>אופיר</v>
      </c>
      <c r="R306">
        <v>0</v>
      </c>
      <c r="X306" t="str">
        <f>"ש""ח"</f>
        <v>ש"ח</v>
      </c>
      <c r="Y306">
        <v>0</v>
      </c>
      <c r="Z306" t="str">
        <f>"ש""ח"</f>
        <v>ש"ח</v>
      </c>
      <c r="AA306">
        <v>0</v>
      </c>
      <c r="AB306">
        <v>6840</v>
      </c>
      <c r="AC306">
        <v>6840</v>
      </c>
      <c r="AD306">
        <v>0</v>
      </c>
      <c r="AE306">
        <v>6840</v>
      </c>
      <c r="AF306">
        <v>6840</v>
      </c>
      <c r="AG306" t="str">
        <f t="shared" si="46"/>
        <v>ש"ח</v>
      </c>
      <c r="AH306">
        <v>0</v>
      </c>
      <c r="AI306">
        <v>0</v>
      </c>
      <c r="AJ306" t="str">
        <f t="shared" si="48"/>
        <v>ידני</v>
      </c>
      <c r="AK306">
        <v>1</v>
      </c>
      <c r="AQ306">
        <v>0</v>
      </c>
      <c r="AW306" t="str">
        <f t="shared" si="47"/>
        <v>אופיר</v>
      </c>
      <c r="AX306" t="s">
        <v>9</v>
      </c>
      <c r="AY306">
        <v>38</v>
      </c>
      <c r="AZ306">
        <v>0</v>
      </c>
      <c r="BA306">
        <v>0</v>
      </c>
      <c r="BB306">
        <v>0</v>
      </c>
      <c r="BJ306">
        <v>0</v>
      </c>
      <c r="BK306">
        <v>0</v>
      </c>
      <c r="BN306">
        <v>0</v>
      </c>
      <c r="BO306">
        <v>6840</v>
      </c>
      <c r="BV306">
        <v>0</v>
      </c>
      <c r="BW306">
        <v>0</v>
      </c>
      <c r="BX306">
        <v>0</v>
      </c>
      <c r="CA306">
        <v>1</v>
      </c>
      <c r="CB306">
        <v>0</v>
      </c>
      <c r="CC306">
        <v>0</v>
      </c>
      <c r="CD306">
        <v>0</v>
      </c>
      <c r="CE306">
        <v>0</v>
      </c>
      <c r="CM306">
        <v>0</v>
      </c>
      <c r="CN306">
        <v>0</v>
      </c>
    </row>
    <row r="307" spans="1:92" x14ac:dyDescent="0.2">
      <c r="A307" s="5" t="s">
        <v>177</v>
      </c>
      <c r="B307" s="5" t="s">
        <v>54</v>
      </c>
      <c r="C307">
        <v>1</v>
      </c>
      <c r="E307">
        <v>0</v>
      </c>
      <c r="G307">
        <v>0</v>
      </c>
      <c r="I307">
        <v>3</v>
      </c>
      <c r="J307" t="s">
        <v>1</v>
      </c>
      <c r="L307">
        <v>0</v>
      </c>
      <c r="O307" t="str">
        <f>"טיוטא"</f>
        <v>טיוטא</v>
      </c>
      <c r="P307" t="str">
        <f>"אופיר"</f>
        <v>אופיר</v>
      </c>
      <c r="R307">
        <v>0</v>
      </c>
      <c r="X307" t="str">
        <f>"ש""ח"</f>
        <v>ש"ח</v>
      </c>
      <c r="Y307">
        <v>0</v>
      </c>
      <c r="Z307" t="str">
        <f>"ש""ח"</f>
        <v>ש"ח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 t="str">
        <f t="shared" si="46"/>
        <v>ש"ח</v>
      </c>
      <c r="AH307">
        <v>0</v>
      </c>
      <c r="AI307">
        <v>0</v>
      </c>
      <c r="AJ307" t="str">
        <f t="shared" si="48"/>
        <v>ידני</v>
      </c>
      <c r="AK307">
        <v>1</v>
      </c>
      <c r="AQ307">
        <v>0</v>
      </c>
      <c r="AW307" t="str">
        <f t="shared" si="47"/>
        <v>אופיר</v>
      </c>
      <c r="AX307" t="s">
        <v>9</v>
      </c>
      <c r="AY307">
        <v>39</v>
      </c>
      <c r="AZ307">
        <v>0</v>
      </c>
      <c r="BA307">
        <v>0</v>
      </c>
      <c r="BB307">
        <v>0</v>
      </c>
      <c r="BJ307">
        <v>0</v>
      </c>
      <c r="BK307">
        <v>0</v>
      </c>
      <c r="BN307">
        <v>0</v>
      </c>
      <c r="BO307">
        <v>0</v>
      </c>
      <c r="BV307">
        <v>0</v>
      </c>
      <c r="BW307">
        <v>0</v>
      </c>
      <c r="BX307">
        <v>0</v>
      </c>
      <c r="CA307">
        <v>1</v>
      </c>
      <c r="CB307">
        <v>0</v>
      </c>
      <c r="CC307">
        <v>0</v>
      </c>
      <c r="CD307">
        <v>0</v>
      </c>
      <c r="CE307">
        <v>0</v>
      </c>
      <c r="CM307">
        <v>0</v>
      </c>
      <c r="CN307">
        <v>0</v>
      </c>
    </row>
    <row r="308" spans="1:92" s="18" customFormat="1" ht="15" customHeight="1" x14ac:dyDescent="0.2">
      <c r="A308" s="16">
        <v>218260</v>
      </c>
      <c r="B308" s="12" t="s">
        <v>154</v>
      </c>
      <c r="C308" s="17">
        <v>500</v>
      </c>
      <c r="D308" s="17" t="s">
        <v>150</v>
      </c>
      <c r="Y308" s="18">
        <f>C308*E308</f>
        <v>0</v>
      </c>
    </row>
    <row r="309" spans="1:92" s="18" customFormat="1" ht="12.75" x14ac:dyDescent="0.2">
      <c r="A309" s="16">
        <v>218270</v>
      </c>
      <c r="B309" s="12" t="s">
        <v>155</v>
      </c>
      <c r="C309" s="17">
        <v>100</v>
      </c>
      <c r="D309" s="17" t="s">
        <v>150</v>
      </c>
      <c r="Y309" s="18">
        <f>C309*E309</f>
        <v>0</v>
      </c>
    </row>
    <row r="310" spans="1:92" s="18" customFormat="1" ht="12.75" x14ac:dyDescent="0.2">
      <c r="A310" s="16">
        <v>218140</v>
      </c>
      <c r="B310" s="17" t="s">
        <v>156</v>
      </c>
      <c r="C310" s="17">
        <v>50</v>
      </c>
      <c r="D310" s="17" t="s">
        <v>150</v>
      </c>
      <c r="Y310" s="18">
        <f>C310*E310</f>
        <v>0</v>
      </c>
    </row>
    <row r="311" spans="1:92" s="18" customFormat="1" ht="12.75" x14ac:dyDescent="0.2">
      <c r="A311" s="16">
        <v>228130</v>
      </c>
      <c r="B311" s="17" t="s">
        <v>147</v>
      </c>
      <c r="C311" s="17">
        <v>10</v>
      </c>
      <c r="D311" s="17" t="s">
        <v>151</v>
      </c>
    </row>
    <row r="312" spans="1:92" s="18" customFormat="1" ht="12.75" x14ac:dyDescent="0.2">
      <c r="A312" s="16">
        <v>228350</v>
      </c>
      <c r="B312" s="12" t="s">
        <v>157</v>
      </c>
      <c r="C312" s="17">
        <v>25</v>
      </c>
      <c r="D312" s="17" t="s">
        <v>151</v>
      </c>
    </row>
    <row r="313" spans="1:92" s="18" customFormat="1" ht="12.75" x14ac:dyDescent="0.2">
      <c r="A313" s="16">
        <v>228370</v>
      </c>
      <c r="B313" s="12" t="s">
        <v>158</v>
      </c>
      <c r="C313" s="17">
        <v>30</v>
      </c>
      <c r="D313" s="17" t="s">
        <v>151</v>
      </c>
    </row>
    <row r="314" spans="1:92" s="18" customFormat="1" ht="12.75" x14ac:dyDescent="0.2">
      <c r="A314" s="16">
        <v>798200</v>
      </c>
      <c r="B314" s="16" t="s">
        <v>159</v>
      </c>
      <c r="C314" s="17">
        <v>1</v>
      </c>
      <c r="D314" s="17" t="s">
        <v>151</v>
      </c>
    </row>
    <row r="315" spans="1:92" s="18" customFormat="1" ht="12.75" x14ac:dyDescent="0.2">
      <c r="A315" s="16">
        <v>918140</v>
      </c>
      <c r="B315" s="16" t="s">
        <v>160</v>
      </c>
      <c r="C315" s="17">
        <v>100</v>
      </c>
      <c r="D315" s="17" t="s">
        <v>151</v>
      </c>
    </row>
    <row r="316" spans="1:92" s="9" customFormat="1" x14ac:dyDescent="0.2">
      <c r="A316" s="11">
        <v>438200</v>
      </c>
      <c r="B316" s="12" t="s">
        <v>161</v>
      </c>
      <c r="C316" s="13">
        <v>5</v>
      </c>
      <c r="D316" s="13" t="s">
        <v>150</v>
      </c>
    </row>
    <row r="317" spans="1:92" s="9" customFormat="1" x14ac:dyDescent="0.2">
      <c r="A317" s="11"/>
      <c r="B317" s="12" t="s">
        <v>223</v>
      </c>
      <c r="C317" s="17">
        <v>1</v>
      </c>
      <c r="D317" s="17" t="s">
        <v>226</v>
      </c>
      <c r="E317" s="9">
        <v>3000</v>
      </c>
    </row>
    <row r="318" spans="1:92" x14ac:dyDescent="0.2">
      <c r="A318" s="5" t="s">
        <v>178</v>
      </c>
      <c r="B318" s="5" t="s">
        <v>55</v>
      </c>
      <c r="C318">
        <v>1</v>
      </c>
      <c r="E318">
        <v>0</v>
      </c>
      <c r="G318">
        <v>0</v>
      </c>
      <c r="I318">
        <v>3</v>
      </c>
      <c r="J318" t="s">
        <v>1</v>
      </c>
      <c r="L318">
        <v>0</v>
      </c>
      <c r="O318" t="str">
        <f>"טיוטא"</f>
        <v>טיוטא</v>
      </c>
      <c r="P318" t="str">
        <f>"אופיר"</f>
        <v>אופיר</v>
      </c>
      <c r="R318">
        <v>0</v>
      </c>
      <c r="X318" t="str">
        <f>"ש""ח"</f>
        <v>ש"ח</v>
      </c>
      <c r="Y318">
        <v>0</v>
      </c>
      <c r="Z318" t="str">
        <f>"ש""ח"</f>
        <v>ש"ח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 t="str">
        <f t="shared" si="46"/>
        <v>ש"ח</v>
      </c>
      <c r="AH318">
        <v>0</v>
      </c>
      <c r="AI318">
        <v>0</v>
      </c>
      <c r="AJ318" t="str">
        <f t="shared" si="48"/>
        <v>ידני</v>
      </c>
      <c r="AK318">
        <v>1</v>
      </c>
      <c r="AQ318">
        <v>0</v>
      </c>
      <c r="AW318" t="str">
        <f t="shared" si="47"/>
        <v>אופיר</v>
      </c>
      <c r="AX318" t="s">
        <v>8</v>
      </c>
      <c r="AY318">
        <v>40</v>
      </c>
      <c r="AZ318">
        <v>0</v>
      </c>
      <c r="BA318">
        <v>0</v>
      </c>
      <c r="BB318">
        <v>0</v>
      </c>
      <c r="BJ318">
        <v>0</v>
      </c>
      <c r="BK318">
        <v>0</v>
      </c>
      <c r="BN318">
        <v>0</v>
      </c>
      <c r="BO318">
        <v>0</v>
      </c>
      <c r="BV318">
        <v>0</v>
      </c>
      <c r="BW318">
        <v>0</v>
      </c>
      <c r="BX318">
        <v>0</v>
      </c>
      <c r="CA318">
        <v>1</v>
      </c>
      <c r="CB318">
        <v>0</v>
      </c>
      <c r="CC318">
        <v>0</v>
      </c>
      <c r="CD318">
        <v>0</v>
      </c>
      <c r="CE318">
        <v>0</v>
      </c>
      <c r="CM318">
        <v>0</v>
      </c>
      <c r="CN318">
        <v>0</v>
      </c>
    </row>
    <row r="319" spans="1:92" s="17" customFormat="1" ht="15" customHeight="1" x14ac:dyDescent="0.2">
      <c r="A319" s="16">
        <v>218260</v>
      </c>
      <c r="B319" s="12" t="s">
        <v>154</v>
      </c>
      <c r="C319" s="17">
        <v>700</v>
      </c>
      <c r="D319" s="17" t="s">
        <v>150</v>
      </c>
    </row>
    <row r="320" spans="1:92" s="17" customFormat="1" ht="12.75" x14ac:dyDescent="0.2">
      <c r="A320" s="16">
        <v>218290</v>
      </c>
      <c r="B320" s="12" t="s">
        <v>162</v>
      </c>
      <c r="C320" s="17">
        <v>800</v>
      </c>
      <c r="D320" s="17" t="s">
        <v>150</v>
      </c>
    </row>
    <row r="321" spans="1:4" s="17" customFormat="1" ht="12.75" x14ac:dyDescent="0.2">
      <c r="A321" s="16">
        <v>218370</v>
      </c>
      <c r="B321" s="12" t="s">
        <v>163</v>
      </c>
      <c r="C321" s="17">
        <v>150</v>
      </c>
      <c r="D321" s="17" t="s">
        <v>150</v>
      </c>
    </row>
    <row r="322" spans="1:4" s="17" customFormat="1" ht="12.75" x14ac:dyDescent="0.2">
      <c r="A322" s="16">
        <v>218340</v>
      </c>
      <c r="B322" s="12" t="s">
        <v>164</v>
      </c>
      <c r="C322" s="17">
        <v>150</v>
      </c>
      <c r="D322" s="17" t="s">
        <v>150</v>
      </c>
    </row>
    <row r="323" spans="1:4" s="17" customFormat="1" ht="12.75" x14ac:dyDescent="0.2">
      <c r="A323" s="16">
        <v>218190</v>
      </c>
      <c r="B323" s="12" t="s">
        <v>148</v>
      </c>
      <c r="C323" s="17">
        <v>300</v>
      </c>
      <c r="D323" s="17" t="s">
        <v>150</v>
      </c>
    </row>
    <row r="324" spans="1:4" s="17" customFormat="1" ht="12.75" x14ac:dyDescent="0.2">
      <c r="A324" s="16">
        <v>218300</v>
      </c>
      <c r="B324" s="12" t="s">
        <v>165</v>
      </c>
      <c r="C324" s="17">
        <v>50</v>
      </c>
      <c r="D324" s="17" t="s">
        <v>150</v>
      </c>
    </row>
    <row r="325" spans="1:4" s="17" customFormat="1" ht="12.75" x14ac:dyDescent="0.2">
      <c r="A325" s="16">
        <v>368110</v>
      </c>
      <c r="B325" s="12" t="s">
        <v>166</v>
      </c>
      <c r="C325" s="17">
        <v>800</v>
      </c>
      <c r="D325" s="17" t="s">
        <v>150</v>
      </c>
    </row>
    <row r="326" spans="1:4" s="17" customFormat="1" ht="12.75" x14ac:dyDescent="0.2">
      <c r="A326" s="16">
        <v>368120</v>
      </c>
      <c r="B326" s="12" t="s">
        <v>167</v>
      </c>
      <c r="C326" s="17">
        <v>800</v>
      </c>
      <c r="D326" s="17" t="s">
        <v>150</v>
      </c>
    </row>
    <row r="327" spans="1:4" s="17" customFormat="1" ht="12.75" x14ac:dyDescent="0.2">
      <c r="A327" s="16">
        <v>368130</v>
      </c>
      <c r="B327" s="12" t="s">
        <v>168</v>
      </c>
      <c r="C327" s="17">
        <v>800</v>
      </c>
      <c r="D327" s="17" t="s">
        <v>150</v>
      </c>
    </row>
    <row r="328" spans="1:4" s="17" customFormat="1" ht="12.75" x14ac:dyDescent="0.2">
      <c r="A328" s="16">
        <v>368140</v>
      </c>
      <c r="B328" s="12" t="s">
        <v>169</v>
      </c>
      <c r="C328" s="17">
        <v>800</v>
      </c>
      <c r="D328" s="17" t="s">
        <v>150</v>
      </c>
    </row>
    <row r="329" spans="1:4" s="17" customFormat="1" ht="12.75" x14ac:dyDescent="0.2">
      <c r="A329" s="16">
        <v>368150</v>
      </c>
      <c r="B329" s="12" t="s">
        <v>170</v>
      </c>
      <c r="C329" s="17">
        <v>800</v>
      </c>
      <c r="D329" s="17" t="s">
        <v>150</v>
      </c>
    </row>
    <row r="330" spans="1:4" s="17" customFormat="1" ht="12.75" x14ac:dyDescent="0.2">
      <c r="A330" s="16">
        <v>368160</v>
      </c>
      <c r="B330" s="12" t="s">
        <v>171</v>
      </c>
      <c r="C330" s="17">
        <v>700</v>
      </c>
      <c r="D330" s="17" t="s">
        <v>150</v>
      </c>
    </row>
    <row r="331" spans="1:4" s="17" customFormat="1" ht="12.75" x14ac:dyDescent="0.2">
      <c r="A331" s="16">
        <v>368170</v>
      </c>
      <c r="B331" s="12" t="s">
        <v>172</v>
      </c>
      <c r="C331" s="17">
        <v>700</v>
      </c>
      <c r="D331" s="17" t="s">
        <v>150</v>
      </c>
    </row>
    <row r="332" spans="1:4" s="17" customFormat="1" ht="12.75" x14ac:dyDescent="0.2">
      <c r="A332" s="16">
        <v>368180</v>
      </c>
      <c r="B332" s="12" t="s">
        <v>173</v>
      </c>
      <c r="C332" s="17">
        <v>700</v>
      </c>
      <c r="D332" s="17" t="s">
        <v>150</v>
      </c>
    </row>
    <row r="333" spans="1:4" s="17" customFormat="1" ht="12.75" x14ac:dyDescent="0.2">
      <c r="A333" s="16">
        <v>378120</v>
      </c>
      <c r="B333" s="12" t="s">
        <v>174</v>
      </c>
      <c r="C333" s="17">
        <v>200</v>
      </c>
      <c r="D333" s="17" t="s">
        <v>150</v>
      </c>
    </row>
    <row r="334" spans="1:4" s="17" customFormat="1" ht="12.75" x14ac:dyDescent="0.2">
      <c r="A334" s="16">
        <v>228350</v>
      </c>
      <c r="B334" s="12" t="s">
        <v>157</v>
      </c>
      <c r="C334" s="17">
        <v>60</v>
      </c>
      <c r="D334" s="17" t="s">
        <v>151</v>
      </c>
    </row>
    <row r="335" spans="1:4" s="17" customFormat="1" ht="12.75" x14ac:dyDescent="0.2">
      <c r="A335" s="16">
        <v>228370</v>
      </c>
      <c r="B335" s="12" t="s">
        <v>158</v>
      </c>
      <c r="C335" s="17">
        <v>30</v>
      </c>
      <c r="D335" s="17" t="s">
        <v>151</v>
      </c>
    </row>
    <row r="336" spans="1:4" s="17" customFormat="1" ht="12.75" x14ac:dyDescent="0.2">
      <c r="A336" s="16">
        <v>918180</v>
      </c>
      <c r="B336" s="12" t="s">
        <v>149</v>
      </c>
      <c r="C336" s="17">
        <v>4</v>
      </c>
      <c r="D336" s="17" t="s">
        <v>152</v>
      </c>
    </row>
    <row r="337" spans="1:92" s="17" customFormat="1" ht="12.75" x14ac:dyDescent="0.2">
      <c r="A337" s="16">
        <v>918190</v>
      </c>
      <c r="B337" s="16" t="s">
        <v>175</v>
      </c>
      <c r="C337" s="17">
        <v>4</v>
      </c>
      <c r="D337" s="17" t="s">
        <v>152</v>
      </c>
    </row>
    <row r="338" spans="1:92" s="17" customFormat="1" ht="12.75" x14ac:dyDescent="0.2">
      <c r="A338" s="16">
        <v>228130</v>
      </c>
      <c r="B338" s="17" t="s">
        <v>147</v>
      </c>
      <c r="C338" s="17">
        <v>10</v>
      </c>
      <c r="D338" s="17" t="s">
        <v>153</v>
      </c>
    </row>
    <row r="339" spans="1:92" s="17" customFormat="1" ht="12.75" x14ac:dyDescent="0.2">
      <c r="A339" s="16">
        <v>228140</v>
      </c>
      <c r="B339" s="12" t="s">
        <v>176</v>
      </c>
      <c r="C339" s="17">
        <v>25</v>
      </c>
      <c r="D339" s="17" t="s">
        <v>153</v>
      </c>
    </row>
    <row r="340" spans="1:92" s="17" customFormat="1" ht="13.5" customHeight="1" x14ac:dyDescent="0.2">
      <c r="A340" s="16">
        <v>438200</v>
      </c>
      <c r="B340" s="12" t="s">
        <v>161</v>
      </c>
      <c r="C340" s="17">
        <v>10</v>
      </c>
      <c r="D340" s="17" t="s">
        <v>151</v>
      </c>
    </row>
    <row r="341" spans="1:92" s="17" customFormat="1" ht="13.5" customHeight="1" x14ac:dyDescent="0.2">
      <c r="A341" s="19">
        <v>708580</v>
      </c>
      <c r="B341" s="20" t="s">
        <v>216</v>
      </c>
      <c r="C341" s="17">
        <v>1</v>
      </c>
      <c r="D341" s="17" t="s">
        <v>153</v>
      </c>
    </row>
    <row r="342" spans="1:92" s="17" customFormat="1" ht="13.5" customHeight="1" x14ac:dyDescent="0.2">
      <c r="A342" s="11">
        <v>109999</v>
      </c>
      <c r="B342" s="11" t="s">
        <v>223</v>
      </c>
      <c r="C342" s="17">
        <v>1</v>
      </c>
      <c r="D342" s="17" t="s">
        <v>151</v>
      </c>
      <c r="E342" s="17">
        <v>12000</v>
      </c>
    </row>
    <row r="343" spans="1:92" x14ac:dyDescent="0.2">
      <c r="A343" s="5" t="s">
        <v>179</v>
      </c>
      <c r="B343" s="5" t="s">
        <v>56</v>
      </c>
      <c r="C343">
        <v>1</v>
      </c>
      <c r="E343">
        <v>0</v>
      </c>
      <c r="G343">
        <v>0</v>
      </c>
      <c r="I343">
        <v>3</v>
      </c>
      <c r="J343" t="s">
        <v>1</v>
      </c>
      <c r="L343">
        <v>0</v>
      </c>
      <c r="O343" t="str">
        <f>"טיוטא"</f>
        <v>טיוטא</v>
      </c>
      <c r="P343" t="str">
        <f>"אופיר"</f>
        <v>אופיר</v>
      </c>
      <c r="R343">
        <v>0</v>
      </c>
      <c r="X343" t="str">
        <f>"ש""ח"</f>
        <v>ש"ח</v>
      </c>
      <c r="Y343">
        <v>0</v>
      </c>
      <c r="Z343" t="str">
        <f>"ש""ח"</f>
        <v>ש"ח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 t="str">
        <f t="shared" si="46"/>
        <v>ש"ח</v>
      </c>
      <c r="AH343">
        <v>0</v>
      </c>
      <c r="AI343">
        <v>0</v>
      </c>
      <c r="AJ343" t="str">
        <f t="shared" si="48"/>
        <v>ידני</v>
      </c>
      <c r="AK343">
        <v>1</v>
      </c>
      <c r="AQ343">
        <v>0</v>
      </c>
      <c r="AW343" t="str">
        <f t="shared" si="47"/>
        <v>אופיר</v>
      </c>
      <c r="AX343" t="s">
        <v>8</v>
      </c>
      <c r="AY343">
        <v>40</v>
      </c>
      <c r="AZ343">
        <v>0</v>
      </c>
      <c r="BA343">
        <v>0</v>
      </c>
      <c r="BB343">
        <v>0</v>
      </c>
      <c r="BJ343">
        <v>0</v>
      </c>
      <c r="BK343">
        <v>0</v>
      </c>
      <c r="BN343">
        <v>0</v>
      </c>
      <c r="BO343">
        <v>0</v>
      </c>
      <c r="BV343">
        <v>0</v>
      </c>
      <c r="BW343">
        <v>0</v>
      </c>
      <c r="BX343">
        <v>0</v>
      </c>
      <c r="CA343">
        <v>1</v>
      </c>
      <c r="CB343">
        <v>0</v>
      </c>
      <c r="CC343">
        <v>0</v>
      </c>
      <c r="CD343">
        <v>0</v>
      </c>
      <c r="CE343">
        <v>0</v>
      </c>
      <c r="CM343">
        <v>0</v>
      </c>
      <c r="CN343">
        <v>0</v>
      </c>
    </row>
    <row r="344" spans="1:92" x14ac:dyDescent="0.2">
      <c r="A344" s="19" t="str">
        <f>"150011290"</f>
        <v>150011290</v>
      </c>
      <c r="B344" s="19" t="str">
        <f>"נורת ניאון אדומה 220"</f>
        <v>נורת ניאון אדומה 220</v>
      </c>
      <c r="C344" s="17">
        <v>8</v>
      </c>
      <c r="D344" s="17" t="s">
        <v>151</v>
      </c>
    </row>
    <row r="345" spans="1:92" x14ac:dyDescent="0.2">
      <c r="A345" s="19" t="str">
        <f>"150020002"</f>
        <v>150020002</v>
      </c>
      <c r="B345" s="19" t="str">
        <f>"שקע כח ישראלי NEVE-"</f>
        <v>שקע כח ישראלי NEVE-</v>
      </c>
      <c r="C345" s="17">
        <v>77</v>
      </c>
      <c r="D345" s="17" t="s">
        <v>151</v>
      </c>
    </row>
    <row r="346" spans="1:92" x14ac:dyDescent="0.2">
      <c r="A346" s="19" t="str">
        <f>"150020004"</f>
        <v>150020004</v>
      </c>
      <c r="B346" s="19" t="str">
        <f>"שקע טלפון NEVE-"</f>
        <v>שקע טלפון NEVE-</v>
      </c>
      <c r="C346" s="17">
        <v>14</v>
      </c>
      <c r="D346" s="17" t="s">
        <v>151</v>
      </c>
    </row>
    <row r="347" spans="1:92" x14ac:dyDescent="0.2">
      <c r="A347" s="19" t="str">
        <f>"150020014"</f>
        <v>150020014</v>
      </c>
      <c r="B347" s="19" t="str">
        <f>"דמי NEVE-"</f>
        <v>דמי NEVE-</v>
      </c>
      <c r="C347" s="17">
        <v>22</v>
      </c>
      <c r="D347" s="17" t="s">
        <v>151</v>
      </c>
    </row>
    <row r="348" spans="1:92" x14ac:dyDescent="0.2">
      <c r="A348" s="19" t="str">
        <f>"150020023"</f>
        <v>150020023</v>
      </c>
      <c r="B348" s="19" t="str">
        <f>"לחצן מואר NEVE-"</f>
        <v>לחצן מואר NEVE-</v>
      </c>
      <c r="C348" s="17">
        <v>4</v>
      </c>
      <c r="D348" s="17" t="s">
        <v>151</v>
      </c>
    </row>
    <row r="349" spans="1:92" x14ac:dyDescent="0.2">
      <c r="A349" s="19" t="str">
        <f>"150020024"</f>
        <v>150020024</v>
      </c>
      <c r="B349" s="19" t="str">
        <f>"לחצן רחב 2 .NEVE-"</f>
        <v>לחצן רחב 2 .NEVE-</v>
      </c>
      <c r="C349" s="17">
        <v>2</v>
      </c>
      <c r="D349" s="17" t="s">
        <v>151</v>
      </c>
    </row>
    <row r="350" spans="1:92" x14ac:dyDescent="0.2">
      <c r="A350" s="19" t="str">
        <f>"150020029"</f>
        <v>150020029</v>
      </c>
      <c r="B350" s="19" t="str">
        <f>"מסגרת 1 מודול NEVE-"</f>
        <v>מסגרת 1 מודול NEVE-</v>
      </c>
      <c r="C350" s="17">
        <v>33</v>
      </c>
      <c r="D350" s="17" t="s">
        <v>151</v>
      </c>
    </row>
    <row r="351" spans="1:92" x14ac:dyDescent="0.2">
      <c r="A351" s="19" t="str">
        <f>"150020036"</f>
        <v>150020036</v>
      </c>
      <c r="B351" s="19" t="str">
        <f>"מסגרת 2 מודול NEVE-"</f>
        <v>מסגרת 2 מודול NEVE-</v>
      </c>
      <c r="C351" s="17">
        <v>22</v>
      </c>
      <c r="D351" s="17" t="s">
        <v>151</v>
      </c>
    </row>
    <row r="352" spans="1:92" x14ac:dyDescent="0.2">
      <c r="A352" s="19" t="str">
        <f>"150020041"</f>
        <v>150020041</v>
      </c>
      <c r="B352" s="19" t="str">
        <f>"מסגרת 3 מודול NEVE-"</f>
        <v>מסגרת 3 מודול NEVE-</v>
      </c>
      <c r="C352" s="17">
        <v>13</v>
      </c>
      <c r="D352" s="17" t="s">
        <v>151</v>
      </c>
    </row>
    <row r="353" spans="1:5" x14ac:dyDescent="0.2">
      <c r="A353" s="19" t="str">
        <f>"150020045"</f>
        <v>150020045</v>
      </c>
      <c r="B353" s="19" t="str">
        <f>"מסגרת 4 מודול NEVE-"</f>
        <v>מסגרת 4 מודול NEVE-</v>
      </c>
      <c r="C353" s="17">
        <v>28</v>
      </c>
      <c r="D353" s="17" t="s">
        <v>151</v>
      </c>
    </row>
    <row r="354" spans="1:5" x14ac:dyDescent="0.2">
      <c r="A354" s="19" t="str">
        <f>"150020059"</f>
        <v>150020059</v>
      </c>
      <c r="B354" s="19" t="str">
        <f>"מפסק יחיד NEVE-"</f>
        <v>מפסק יחיד NEVE-</v>
      </c>
      <c r="C354" s="17">
        <v>30</v>
      </c>
      <c r="D354" s="17" t="s">
        <v>151</v>
      </c>
    </row>
    <row r="355" spans="1:5" x14ac:dyDescent="0.2">
      <c r="A355" s="19" t="str">
        <f>"150020061"</f>
        <v>150020061</v>
      </c>
      <c r="B355" s="19" t="str">
        <f>"מפסק חיולף NEVE-"</f>
        <v>מפסק חיולף NEVE-</v>
      </c>
      <c r="C355" s="17">
        <v>25</v>
      </c>
      <c r="D355" s="17" t="s">
        <v>151</v>
      </c>
    </row>
    <row r="356" spans="1:5" x14ac:dyDescent="0.2">
      <c r="A356" s="19" t="str">
        <f>"150020063"</f>
        <v>150020063</v>
      </c>
      <c r="B356" s="19" t="str">
        <f>"מפסק צלב NEVE-"</f>
        <v>מפסק צלב NEVE-</v>
      </c>
      <c r="C356" s="17">
        <v>3</v>
      </c>
      <c r="D356" s="17" t="s">
        <v>151</v>
      </c>
    </row>
    <row r="357" spans="1:5" x14ac:dyDescent="0.2">
      <c r="A357" s="19" t="str">
        <f>"150020068"</f>
        <v>150020068</v>
      </c>
      <c r="B357" s="19" t="str">
        <f>"מתאם 2 מודול NEVE-"</f>
        <v>מתאם 2 מודול NEVE-</v>
      </c>
      <c r="C357" s="17">
        <v>22</v>
      </c>
      <c r="D357" s="17" t="s">
        <v>151</v>
      </c>
    </row>
    <row r="358" spans="1:5" x14ac:dyDescent="0.2">
      <c r="A358" s="19" t="str">
        <f>"150020069"</f>
        <v>150020069</v>
      </c>
      <c r="B358" s="19" t="str">
        <f>"מתאם 3 מודול NEVE-"</f>
        <v>מתאם 3 מודול NEVE-</v>
      </c>
      <c r="C358" s="17">
        <v>46</v>
      </c>
      <c r="D358" s="17" t="s">
        <v>151</v>
      </c>
    </row>
    <row r="359" spans="1:5" x14ac:dyDescent="0.2">
      <c r="A359" s="19" t="str">
        <f>"150020070"</f>
        <v>150020070</v>
      </c>
      <c r="B359" s="19" t="str">
        <f>"מתאם 4 מודול NEVE-"</f>
        <v>מתאם 4 מודול NEVE-</v>
      </c>
      <c r="C359" s="17">
        <v>28</v>
      </c>
      <c r="D359" s="17" t="s">
        <v>151</v>
      </c>
    </row>
    <row r="360" spans="1:5" x14ac:dyDescent="0.2">
      <c r="A360" s="19" t="str">
        <f>"150020090"</f>
        <v>150020090</v>
      </c>
      <c r="B360" s="19" t="str">
        <f>"מפסק דוד NEVE-"</f>
        <v>מפסק דוד NEVE-</v>
      </c>
      <c r="C360" s="17">
        <v>4</v>
      </c>
      <c r="D360" s="17" t="s">
        <v>151</v>
      </c>
    </row>
    <row r="361" spans="1:5" x14ac:dyDescent="0.2">
      <c r="A361" s="19">
        <v>938140</v>
      </c>
      <c r="B361" s="21" t="s">
        <v>217</v>
      </c>
      <c r="C361" s="17">
        <v>10</v>
      </c>
      <c r="D361" s="17" t="s">
        <v>151</v>
      </c>
    </row>
    <row r="362" spans="1:5" x14ac:dyDescent="0.2">
      <c r="A362" s="19">
        <v>938150</v>
      </c>
      <c r="B362" s="21" t="s">
        <v>218</v>
      </c>
      <c r="C362" s="17">
        <v>1</v>
      </c>
      <c r="D362" s="17" t="s">
        <v>152</v>
      </c>
    </row>
    <row r="363" spans="1:5" x14ac:dyDescent="0.2">
      <c r="A363" s="19">
        <v>708370</v>
      </c>
      <c r="B363" s="21" t="s">
        <v>219</v>
      </c>
      <c r="C363" s="17">
        <v>2</v>
      </c>
      <c r="D363" s="17" t="s">
        <v>153</v>
      </c>
    </row>
    <row r="364" spans="1:5" x14ac:dyDescent="0.2">
      <c r="A364" s="19">
        <v>378160</v>
      </c>
      <c r="B364" s="21" t="s">
        <v>220</v>
      </c>
      <c r="C364" s="17">
        <v>200</v>
      </c>
      <c r="D364" s="17" t="s">
        <v>150</v>
      </c>
    </row>
    <row r="365" spans="1:5" x14ac:dyDescent="0.2">
      <c r="A365" s="19">
        <v>708470</v>
      </c>
      <c r="B365" s="21" t="s">
        <v>221</v>
      </c>
      <c r="C365" s="17">
        <v>6</v>
      </c>
      <c r="D365" s="17" t="s">
        <v>153</v>
      </c>
    </row>
    <row r="366" spans="1:5" x14ac:dyDescent="0.2">
      <c r="A366" s="19">
        <v>628160</v>
      </c>
      <c r="B366" s="21" t="s">
        <v>222</v>
      </c>
      <c r="C366" s="17">
        <v>50</v>
      </c>
      <c r="D366" s="17" t="s">
        <v>151</v>
      </c>
    </row>
    <row r="367" spans="1:5" x14ac:dyDescent="0.2">
      <c r="A367" s="11">
        <v>109999</v>
      </c>
      <c r="B367" s="11" t="s">
        <v>223</v>
      </c>
      <c r="C367" s="17">
        <v>1</v>
      </c>
      <c r="D367" s="17" t="s">
        <v>151</v>
      </c>
      <c r="E367" s="17">
        <v>8000</v>
      </c>
    </row>
    <row r="368" spans="1:5" x14ac:dyDescent="0.2">
      <c r="A368" s="11">
        <v>640000</v>
      </c>
      <c r="B368" s="22" t="s">
        <v>224</v>
      </c>
      <c r="C368">
        <v>1</v>
      </c>
      <c r="D368" t="s">
        <v>151</v>
      </c>
      <c r="E368">
        <v>6800</v>
      </c>
    </row>
    <row r="369" spans="1:92" x14ac:dyDescent="0.2">
      <c r="A369" s="11">
        <v>999999</v>
      </c>
      <c r="B369" s="22" t="s">
        <v>225</v>
      </c>
      <c r="C369">
        <v>1</v>
      </c>
      <c r="D369" t="s">
        <v>226</v>
      </c>
      <c r="E369">
        <v>1800</v>
      </c>
    </row>
    <row r="370" spans="1:92" x14ac:dyDescent="0.2">
      <c r="A370" s="5" t="s">
        <v>180</v>
      </c>
      <c r="B370" s="5" t="s">
        <v>57</v>
      </c>
      <c r="C370">
        <v>1</v>
      </c>
      <c r="E370">
        <v>0</v>
      </c>
      <c r="G370">
        <v>0</v>
      </c>
      <c r="I370">
        <v>3</v>
      </c>
      <c r="J370" t="s">
        <v>18</v>
      </c>
      <c r="L370">
        <v>6</v>
      </c>
      <c r="O370" t="str">
        <f t="shared" si="42"/>
        <v>טיוטא</v>
      </c>
      <c r="P370" t="str">
        <f t="shared" si="43"/>
        <v>אופיר</v>
      </c>
      <c r="R370">
        <v>6</v>
      </c>
      <c r="X370" t="str">
        <f t="shared" si="44"/>
        <v>ש"ח</v>
      </c>
      <c r="Y370">
        <v>0</v>
      </c>
      <c r="Z370" t="str">
        <f t="shared" si="45"/>
        <v>ש"ח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 t="str">
        <f t="shared" si="46"/>
        <v>ש"ח</v>
      </c>
      <c r="AH370">
        <v>0</v>
      </c>
      <c r="AI370">
        <v>0</v>
      </c>
      <c r="AJ370" t="str">
        <f t="shared" si="48"/>
        <v>ידני</v>
      </c>
      <c r="AK370">
        <v>1</v>
      </c>
      <c r="AQ370">
        <v>0</v>
      </c>
      <c r="AW370" t="str">
        <f t="shared" si="47"/>
        <v>אופיר</v>
      </c>
      <c r="AX370" t="s">
        <v>6</v>
      </c>
      <c r="AY370">
        <v>19</v>
      </c>
      <c r="AZ370">
        <v>0</v>
      </c>
      <c r="BA370">
        <v>0</v>
      </c>
      <c r="BB370">
        <v>0</v>
      </c>
      <c r="BJ370">
        <v>0</v>
      </c>
      <c r="BK370">
        <v>0</v>
      </c>
      <c r="BN370">
        <v>0</v>
      </c>
      <c r="BO370">
        <v>0</v>
      </c>
      <c r="BV370">
        <v>0</v>
      </c>
      <c r="BW370">
        <v>0</v>
      </c>
      <c r="BX370">
        <v>0</v>
      </c>
      <c r="CA370">
        <v>1</v>
      </c>
      <c r="CB370">
        <v>0</v>
      </c>
      <c r="CC370">
        <v>0</v>
      </c>
      <c r="CD370">
        <v>0</v>
      </c>
      <c r="CE370">
        <v>0</v>
      </c>
      <c r="CM370">
        <v>0</v>
      </c>
      <c r="CN370">
        <v>0</v>
      </c>
    </row>
    <row r="371" spans="1:92" ht="15" x14ac:dyDescent="0.2">
      <c r="A371" s="6">
        <v>10.4</v>
      </c>
      <c r="B371" s="6" t="s">
        <v>70</v>
      </c>
      <c r="C371">
        <v>1</v>
      </c>
      <c r="E371">
        <v>0</v>
      </c>
      <c r="G371">
        <v>100</v>
      </c>
      <c r="I371">
        <v>2</v>
      </c>
      <c r="J371" t="s">
        <v>1</v>
      </c>
      <c r="L371">
        <v>0</v>
      </c>
      <c r="N371" t="s">
        <v>10</v>
      </c>
      <c r="O371" t="str">
        <f>"טיוטא"</f>
        <v>טיוטא</v>
      </c>
      <c r="P371" t="str">
        <f>"אופיר"</f>
        <v>אופיר</v>
      </c>
      <c r="R371">
        <v>0</v>
      </c>
      <c r="X371" t="str">
        <f>"ש""ח"</f>
        <v>ש"ח</v>
      </c>
      <c r="Y371">
        <v>0</v>
      </c>
      <c r="Z371" t="str">
        <f>"ש""ח"</f>
        <v>ש"ח</v>
      </c>
      <c r="AA371">
        <v>0</v>
      </c>
      <c r="AB371">
        <v>6840</v>
      </c>
      <c r="AC371">
        <v>6840</v>
      </c>
      <c r="AD371">
        <v>0</v>
      </c>
      <c r="AE371">
        <v>6840</v>
      </c>
      <c r="AF371">
        <v>6840</v>
      </c>
      <c r="AG371" t="str">
        <f t="shared" si="46"/>
        <v>ש"ח</v>
      </c>
      <c r="AH371">
        <v>0</v>
      </c>
      <c r="AI371">
        <v>0</v>
      </c>
      <c r="AJ371" t="str">
        <f t="shared" si="48"/>
        <v>ידני</v>
      </c>
      <c r="AK371">
        <v>1</v>
      </c>
      <c r="AQ371">
        <v>0</v>
      </c>
      <c r="AW371" t="str">
        <f t="shared" si="47"/>
        <v>אופיר</v>
      </c>
      <c r="AX371" t="s">
        <v>9</v>
      </c>
      <c r="AY371">
        <v>38</v>
      </c>
      <c r="AZ371">
        <v>0</v>
      </c>
      <c r="BA371">
        <v>0</v>
      </c>
      <c r="BB371">
        <v>0</v>
      </c>
      <c r="BJ371">
        <v>0</v>
      </c>
      <c r="BK371">
        <v>0</v>
      </c>
      <c r="BN371">
        <v>0</v>
      </c>
      <c r="BO371">
        <v>6840</v>
      </c>
      <c r="BV371">
        <v>0</v>
      </c>
      <c r="BW371">
        <v>0</v>
      </c>
      <c r="BX371">
        <v>0</v>
      </c>
      <c r="CA371">
        <v>1</v>
      </c>
      <c r="CB371">
        <v>0</v>
      </c>
      <c r="CC371">
        <v>0</v>
      </c>
      <c r="CD371">
        <v>0</v>
      </c>
      <c r="CE371">
        <v>0</v>
      </c>
      <c r="CM371">
        <v>0</v>
      </c>
      <c r="CN371">
        <v>0</v>
      </c>
    </row>
    <row r="372" spans="1:92" x14ac:dyDescent="0.2">
      <c r="A372" s="5" t="s">
        <v>181</v>
      </c>
      <c r="B372" s="5" t="s">
        <v>54</v>
      </c>
      <c r="C372">
        <v>1</v>
      </c>
      <c r="E372">
        <v>0</v>
      </c>
      <c r="G372">
        <v>0</v>
      </c>
      <c r="I372">
        <v>3</v>
      </c>
      <c r="J372" t="s">
        <v>1</v>
      </c>
      <c r="L372">
        <v>0</v>
      </c>
      <c r="O372" t="str">
        <f>"טיוטא"</f>
        <v>טיוטא</v>
      </c>
      <c r="P372" t="str">
        <f>"אופיר"</f>
        <v>אופיר</v>
      </c>
      <c r="R372">
        <v>0</v>
      </c>
      <c r="X372" t="str">
        <f>"ש""ח"</f>
        <v>ש"ח</v>
      </c>
      <c r="Y372">
        <v>0</v>
      </c>
      <c r="Z372" t="str">
        <f>"ש""ח"</f>
        <v>ש"ח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 t="str">
        <f t="shared" si="46"/>
        <v>ש"ח</v>
      </c>
      <c r="AH372">
        <v>0</v>
      </c>
      <c r="AI372">
        <v>0</v>
      </c>
      <c r="AJ372" t="str">
        <f t="shared" si="48"/>
        <v>ידני</v>
      </c>
      <c r="AK372">
        <v>1</v>
      </c>
      <c r="AQ372">
        <v>0</v>
      </c>
      <c r="AW372" t="str">
        <f t="shared" si="47"/>
        <v>אופיר</v>
      </c>
      <c r="AX372" t="s">
        <v>9</v>
      </c>
      <c r="AY372">
        <v>39</v>
      </c>
      <c r="AZ372">
        <v>0</v>
      </c>
      <c r="BA372">
        <v>0</v>
      </c>
      <c r="BB372">
        <v>0</v>
      </c>
      <c r="BJ372">
        <v>0</v>
      </c>
      <c r="BK372">
        <v>0</v>
      </c>
      <c r="BN372">
        <v>0</v>
      </c>
      <c r="BO372">
        <v>0</v>
      </c>
      <c r="BV372">
        <v>0</v>
      </c>
      <c r="BW372">
        <v>0</v>
      </c>
      <c r="BX372">
        <v>0</v>
      </c>
      <c r="CA372">
        <v>1</v>
      </c>
      <c r="CB372">
        <v>0</v>
      </c>
      <c r="CC372">
        <v>0</v>
      </c>
      <c r="CD372">
        <v>0</v>
      </c>
      <c r="CE372">
        <v>0</v>
      </c>
      <c r="CM372">
        <v>0</v>
      </c>
      <c r="CN372">
        <v>0</v>
      </c>
    </row>
    <row r="373" spans="1:92" s="18" customFormat="1" ht="15" customHeight="1" x14ac:dyDescent="0.2">
      <c r="A373" s="16">
        <v>218260</v>
      </c>
      <c r="B373" s="12" t="s">
        <v>154</v>
      </c>
      <c r="C373" s="17">
        <v>500</v>
      </c>
      <c r="D373" s="17" t="s">
        <v>150</v>
      </c>
      <c r="Y373" s="18">
        <f>C373*E373</f>
        <v>0</v>
      </c>
    </row>
    <row r="374" spans="1:92" s="18" customFormat="1" ht="12.75" x14ac:dyDescent="0.2">
      <c r="A374" s="16">
        <v>218270</v>
      </c>
      <c r="B374" s="12" t="s">
        <v>155</v>
      </c>
      <c r="C374" s="17">
        <v>100</v>
      </c>
      <c r="D374" s="17" t="s">
        <v>150</v>
      </c>
      <c r="Y374" s="18">
        <f>C374*E374</f>
        <v>0</v>
      </c>
    </row>
    <row r="375" spans="1:92" s="18" customFormat="1" ht="12.75" x14ac:dyDescent="0.2">
      <c r="A375" s="16">
        <v>218140</v>
      </c>
      <c r="B375" s="17" t="s">
        <v>156</v>
      </c>
      <c r="C375" s="17">
        <v>50</v>
      </c>
      <c r="D375" s="17" t="s">
        <v>150</v>
      </c>
      <c r="Y375" s="18">
        <f>C375*E375</f>
        <v>0</v>
      </c>
    </row>
    <row r="376" spans="1:92" s="18" customFormat="1" ht="12.75" x14ac:dyDescent="0.2">
      <c r="A376" s="16">
        <v>228130</v>
      </c>
      <c r="B376" s="17" t="s">
        <v>147</v>
      </c>
      <c r="C376" s="17">
        <v>10</v>
      </c>
      <c r="D376" s="17" t="s">
        <v>151</v>
      </c>
    </row>
    <row r="377" spans="1:92" s="18" customFormat="1" ht="12.75" x14ac:dyDescent="0.2">
      <c r="A377" s="16">
        <v>228350</v>
      </c>
      <c r="B377" s="12" t="s">
        <v>157</v>
      </c>
      <c r="C377" s="17">
        <v>25</v>
      </c>
      <c r="D377" s="17" t="s">
        <v>151</v>
      </c>
    </row>
    <row r="378" spans="1:92" s="18" customFormat="1" ht="12.75" x14ac:dyDescent="0.2">
      <c r="A378" s="16">
        <v>228370</v>
      </c>
      <c r="B378" s="12" t="s">
        <v>158</v>
      </c>
      <c r="C378" s="17">
        <v>30</v>
      </c>
      <c r="D378" s="17" t="s">
        <v>151</v>
      </c>
    </row>
    <row r="379" spans="1:92" s="18" customFormat="1" ht="12.75" x14ac:dyDescent="0.2">
      <c r="A379" s="16">
        <v>798200</v>
      </c>
      <c r="B379" s="16" t="s">
        <v>159</v>
      </c>
      <c r="C379" s="17">
        <v>1</v>
      </c>
      <c r="D379" s="17" t="s">
        <v>151</v>
      </c>
    </row>
    <row r="380" spans="1:92" s="18" customFormat="1" ht="12.75" x14ac:dyDescent="0.2">
      <c r="A380" s="16">
        <v>918140</v>
      </c>
      <c r="B380" s="16" t="s">
        <v>160</v>
      </c>
      <c r="C380" s="17">
        <v>100</v>
      </c>
      <c r="D380" s="17" t="s">
        <v>151</v>
      </c>
    </row>
    <row r="381" spans="1:92" s="9" customFormat="1" x14ac:dyDescent="0.2">
      <c r="A381" s="11">
        <v>438200</v>
      </c>
      <c r="B381" s="12" t="s">
        <v>161</v>
      </c>
      <c r="C381" s="13">
        <v>5</v>
      </c>
      <c r="D381" s="13" t="s">
        <v>150</v>
      </c>
    </row>
    <row r="382" spans="1:92" s="9" customFormat="1" x14ac:dyDescent="0.2">
      <c r="A382" s="11"/>
      <c r="B382" s="12" t="s">
        <v>223</v>
      </c>
      <c r="C382" s="17">
        <v>1</v>
      </c>
      <c r="D382" s="17" t="s">
        <v>226</v>
      </c>
      <c r="E382" s="9">
        <v>3000</v>
      </c>
    </row>
    <row r="383" spans="1:92" x14ac:dyDescent="0.2">
      <c r="A383" s="5" t="s">
        <v>182</v>
      </c>
      <c r="B383" s="5" t="s">
        <v>55</v>
      </c>
      <c r="C383">
        <v>1</v>
      </c>
      <c r="E383">
        <v>0</v>
      </c>
      <c r="G383">
        <v>0</v>
      </c>
      <c r="I383">
        <v>3</v>
      </c>
      <c r="J383" t="s">
        <v>1</v>
      </c>
      <c r="L383">
        <v>0</v>
      </c>
      <c r="O383" t="str">
        <f>"טיוטא"</f>
        <v>טיוטא</v>
      </c>
      <c r="P383" t="str">
        <f>"אופיר"</f>
        <v>אופיר</v>
      </c>
      <c r="R383">
        <v>0</v>
      </c>
      <c r="X383" t="str">
        <f>"ש""ח"</f>
        <v>ש"ח</v>
      </c>
      <c r="Y383">
        <v>0</v>
      </c>
      <c r="Z383" t="str">
        <f>"ש""ח"</f>
        <v>ש"ח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 t="str">
        <f t="shared" si="46"/>
        <v>ש"ח</v>
      </c>
      <c r="AH383">
        <v>0</v>
      </c>
      <c r="AI383">
        <v>0</v>
      </c>
      <c r="AJ383" t="str">
        <f t="shared" si="48"/>
        <v>ידני</v>
      </c>
      <c r="AK383">
        <v>1</v>
      </c>
      <c r="AQ383">
        <v>0</v>
      </c>
      <c r="AW383" t="str">
        <f t="shared" si="47"/>
        <v>אופיר</v>
      </c>
      <c r="AX383" t="s">
        <v>8</v>
      </c>
      <c r="AY383">
        <v>40</v>
      </c>
      <c r="AZ383">
        <v>0</v>
      </c>
      <c r="BA383">
        <v>0</v>
      </c>
      <c r="BB383">
        <v>0</v>
      </c>
      <c r="BJ383">
        <v>0</v>
      </c>
      <c r="BK383">
        <v>0</v>
      </c>
      <c r="BN383">
        <v>0</v>
      </c>
      <c r="BO383">
        <v>0</v>
      </c>
      <c r="BV383">
        <v>0</v>
      </c>
      <c r="BW383">
        <v>0</v>
      </c>
      <c r="BX383">
        <v>0</v>
      </c>
      <c r="CA383">
        <v>1</v>
      </c>
      <c r="CB383">
        <v>0</v>
      </c>
      <c r="CC383">
        <v>0</v>
      </c>
      <c r="CD383">
        <v>0</v>
      </c>
      <c r="CE383">
        <v>0</v>
      </c>
      <c r="CM383">
        <v>0</v>
      </c>
      <c r="CN383">
        <v>0</v>
      </c>
    </row>
    <row r="384" spans="1:92" s="17" customFormat="1" ht="15" customHeight="1" x14ac:dyDescent="0.2">
      <c r="A384" s="16">
        <v>218260</v>
      </c>
      <c r="B384" s="12" t="s">
        <v>154</v>
      </c>
      <c r="C384" s="17">
        <v>700</v>
      </c>
      <c r="D384" s="17" t="s">
        <v>150</v>
      </c>
    </row>
    <row r="385" spans="1:4" s="17" customFormat="1" ht="12.75" x14ac:dyDescent="0.2">
      <c r="A385" s="16">
        <v>218290</v>
      </c>
      <c r="B385" s="12" t="s">
        <v>162</v>
      </c>
      <c r="C385" s="17">
        <v>800</v>
      </c>
      <c r="D385" s="17" t="s">
        <v>150</v>
      </c>
    </row>
    <row r="386" spans="1:4" s="17" customFormat="1" ht="12.75" x14ac:dyDescent="0.2">
      <c r="A386" s="16">
        <v>218370</v>
      </c>
      <c r="B386" s="12" t="s">
        <v>163</v>
      </c>
      <c r="C386" s="17">
        <v>150</v>
      </c>
      <c r="D386" s="17" t="s">
        <v>150</v>
      </c>
    </row>
    <row r="387" spans="1:4" s="17" customFormat="1" ht="12.75" x14ac:dyDescent="0.2">
      <c r="A387" s="16">
        <v>218340</v>
      </c>
      <c r="B387" s="12" t="s">
        <v>164</v>
      </c>
      <c r="C387" s="17">
        <v>150</v>
      </c>
      <c r="D387" s="17" t="s">
        <v>150</v>
      </c>
    </row>
    <row r="388" spans="1:4" s="17" customFormat="1" ht="12.75" x14ac:dyDescent="0.2">
      <c r="A388" s="16">
        <v>218190</v>
      </c>
      <c r="B388" s="12" t="s">
        <v>148</v>
      </c>
      <c r="C388" s="17">
        <v>300</v>
      </c>
      <c r="D388" s="17" t="s">
        <v>150</v>
      </c>
    </row>
    <row r="389" spans="1:4" s="17" customFormat="1" ht="12.75" x14ac:dyDescent="0.2">
      <c r="A389" s="16">
        <v>218300</v>
      </c>
      <c r="B389" s="12" t="s">
        <v>165</v>
      </c>
      <c r="C389" s="17">
        <v>50</v>
      </c>
      <c r="D389" s="17" t="s">
        <v>150</v>
      </c>
    </row>
    <row r="390" spans="1:4" s="17" customFormat="1" ht="12.75" x14ac:dyDescent="0.2">
      <c r="A390" s="16">
        <v>368110</v>
      </c>
      <c r="B390" s="12" t="s">
        <v>166</v>
      </c>
      <c r="C390" s="17">
        <v>800</v>
      </c>
      <c r="D390" s="17" t="s">
        <v>150</v>
      </c>
    </row>
    <row r="391" spans="1:4" s="17" customFormat="1" ht="12.75" x14ac:dyDescent="0.2">
      <c r="A391" s="16">
        <v>368120</v>
      </c>
      <c r="B391" s="12" t="s">
        <v>167</v>
      </c>
      <c r="C391" s="17">
        <v>800</v>
      </c>
      <c r="D391" s="17" t="s">
        <v>150</v>
      </c>
    </row>
    <row r="392" spans="1:4" s="17" customFormat="1" ht="12.75" x14ac:dyDescent="0.2">
      <c r="A392" s="16">
        <v>368130</v>
      </c>
      <c r="B392" s="12" t="s">
        <v>168</v>
      </c>
      <c r="C392" s="17">
        <v>800</v>
      </c>
      <c r="D392" s="17" t="s">
        <v>150</v>
      </c>
    </row>
    <row r="393" spans="1:4" s="17" customFormat="1" ht="12.75" x14ac:dyDescent="0.2">
      <c r="A393" s="16">
        <v>368140</v>
      </c>
      <c r="B393" s="12" t="s">
        <v>169</v>
      </c>
      <c r="C393" s="17">
        <v>800</v>
      </c>
      <c r="D393" s="17" t="s">
        <v>150</v>
      </c>
    </row>
    <row r="394" spans="1:4" s="17" customFormat="1" ht="12.75" x14ac:dyDescent="0.2">
      <c r="A394" s="16">
        <v>368150</v>
      </c>
      <c r="B394" s="12" t="s">
        <v>170</v>
      </c>
      <c r="C394" s="17">
        <v>800</v>
      </c>
      <c r="D394" s="17" t="s">
        <v>150</v>
      </c>
    </row>
    <row r="395" spans="1:4" s="17" customFormat="1" ht="12.75" x14ac:dyDescent="0.2">
      <c r="A395" s="16">
        <v>368160</v>
      </c>
      <c r="B395" s="12" t="s">
        <v>171</v>
      </c>
      <c r="C395" s="17">
        <v>700</v>
      </c>
      <c r="D395" s="17" t="s">
        <v>150</v>
      </c>
    </row>
    <row r="396" spans="1:4" s="17" customFormat="1" ht="12.75" x14ac:dyDescent="0.2">
      <c r="A396" s="16">
        <v>368170</v>
      </c>
      <c r="B396" s="12" t="s">
        <v>172</v>
      </c>
      <c r="C396" s="17">
        <v>700</v>
      </c>
      <c r="D396" s="17" t="s">
        <v>150</v>
      </c>
    </row>
    <row r="397" spans="1:4" s="17" customFormat="1" ht="12.75" x14ac:dyDescent="0.2">
      <c r="A397" s="16">
        <v>368180</v>
      </c>
      <c r="B397" s="12" t="s">
        <v>173</v>
      </c>
      <c r="C397" s="17">
        <v>700</v>
      </c>
      <c r="D397" s="17" t="s">
        <v>150</v>
      </c>
    </row>
    <row r="398" spans="1:4" s="17" customFormat="1" ht="12.75" x14ac:dyDescent="0.2">
      <c r="A398" s="16">
        <v>378120</v>
      </c>
      <c r="B398" s="12" t="s">
        <v>174</v>
      </c>
      <c r="C398" s="17">
        <v>200</v>
      </c>
      <c r="D398" s="17" t="s">
        <v>150</v>
      </c>
    </row>
    <row r="399" spans="1:4" s="17" customFormat="1" ht="12.75" x14ac:dyDescent="0.2">
      <c r="A399" s="16">
        <v>228350</v>
      </c>
      <c r="B399" s="12" t="s">
        <v>157</v>
      </c>
      <c r="C399" s="17">
        <v>60</v>
      </c>
      <c r="D399" s="17" t="s">
        <v>151</v>
      </c>
    </row>
    <row r="400" spans="1:4" s="17" customFormat="1" ht="12.75" x14ac:dyDescent="0.2">
      <c r="A400" s="16">
        <v>228370</v>
      </c>
      <c r="B400" s="12" t="s">
        <v>158</v>
      </c>
      <c r="C400" s="17">
        <v>30</v>
      </c>
      <c r="D400" s="17" t="s">
        <v>151</v>
      </c>
    </row>
    <row r="401" spans="1:92" s="17" customFormat="1" ht="12.75" x14ac:dyDescent="0.2">
      <c r="A401" s="16">
        <v>918180</v>
      </c>
      <c r="B401" s="12" t="s">
        <v>149</v>
      </c>
      <c r="C401" s="17">
        <v>4</v>
      </c>
      <c r="D401" s="17" t="s">
        <v>152</v>
      </c>
    </row>
    <row r="402" spans="1:92" s="17" customFormat="1" ht="12.75" x14ac:dyDescent="0.2">
      <c r="A402" s="16">
        <v>918190</v>
      </c>
      <c r="B402" s="16" t="s">
        <v>175</v>
      </c>
      <c r="C402" s="17">
        <v>4</v>
      </c>
      <c r="D402" s="17" t="s">
        <v>152</v>
      </c>
    </row>
    <row r="403" spans="1:92" s="17" customFormat="1" ht="12.75" x14ac:dyDescent="0.2">
      <c r="A403" s="16">
        <v>228130</v>
      </c>
      <c r="B403" s="17" t="s">
        <v>147</v>
      </c>
      <c r="C403" s="17">
        <v>10</v>
      </c>
      <c r="D403" s="17" t="s">
        <v>153</v>
      </c>
    </row>
    <row r="404" spans="1:92" s="17" customFormat="1" ht="12.75" x14ac:dyDescent="0.2">
      <c r="A404" s="16">
        <v>228140</v>
      </c>
      <c r="B404" s="12" t="s">
        <v>176</v>
      </c>
      <c r="C404" s="17">
        <v>25</v>
      </c>
      <c r="D404" s="17" t="s">
        <v>153</v>
      </c>
    </row>
    <row r="405" spans="1:92" s="17" customFormat="1" ht="13.5" customHeight="1" x14ac:dyDescent="0.2">
      <c r="A405" s="16">
        <v>438200</v>
      </c>
      <c r="B405" s="12" t="s">
        <v>161</v>
      </c>
      <c r="C405" s="17">
        <v>10</v>
      </c>
      <c r="D405" s="17" t="s">
        <v>151</v>
      </c>
    </row>
    <row r="406" spans="1:92" s="17" customFormat="1" ht="13.5" customHeight="1" x14ac:dyDescent="0.2">
      <c r="A406" s="19">
        <v>708580</v>
      </c>
      <c r="B406" s="20" t="s">
        <v>216</v>
      </c>
      <c r="C406" s="17">
        <v>1</v>
      </c>
      <c r="D406" s="17" t="s">
        <v>153</v>
      </c>
    </row>
    <row r="407" spans="1:92" s="17" customFormat="1" ht="13.5" customHeight="1" x14ac:dyDescent="0.2">
      <c r="A407" s="11">
        <v>109999</v>
      </c>
      <c r="B407" s="11" t="s">
        <v>223</v>
      </c>
      <c r="C407" s="17">
        <v>1</v>
      </c>
      <c r="D407" s="17" t="s">
        <v>151</v>
      </c>
      <c r="E407" s="17">
        <v>12000</v>
      </c>
    </row>
    <row r="408" spans="1:92" x14ac:dyDescent="0.2">
      <c r="A408" s="5" t="s">
        <v>183</v>
      </c>
      <c r="B408" s="5" t="s">
        <v>56</v>
      </c>
      <c r="C408">
        <v>1</v>
      </c>
      <c r="E408">
        <v>0</v>
      </c>
      <c r="G408">
        <v>0</v>
      </c>
      <c r="I408">
        <v>3</v>
      </c>
      <c r="J408" t="s">
        <v>1</v>
      </c>
      <c r="L408">
        <v>0</v>
      </c>
      <c r="O408" t="str">
        <f>"טיוטא"</f>
        <v>טיוטא</v>
      </c>
      <c r="P408" t="str">
        <f>"אופיר"</f>
        <v>אופיר</v>
      </c>
      <c r="R408">
        <v>0</v>
      </c>
      <c r="X408" t="str">
        <f>"ש""ח"</f>
        <v>ש"ח</v>
      </c>
      <c r="Y408">
        <v>0</v>
      </c>
      <c r="Z408" t="str">
        <f>"ש""ח"</f>
        <v>ש"ח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 t="str">
        <f t="shared" si="46"/>
        <v>ש"ח</v>
      </c>
      <c r="AH408">
        <v>0</v>
      </c>
      <c r="AI408">
        <v>0</v>
      </c>
      <c r="AJ408" t="str">
        <f t="shared" si="48"/>
        <v>ידני</v>
      </c>
      <c r="AK408">
        <v>1</v>
      </c>
      <c r="AQ408">
        <v>0</v>
      </c>
      <c r="AW408" t="str">
        <f t="shared" si="47"/>
        <v>אופיר</v>
      </c>
      <c r="AX408" t="s">
        <v>8</v>
      </c>
      <c r="AY408">
        <v>40</v>
      </c>
      <c r="AZ408">
        <v>0</v>
      </c>
      <c r="BA408">
        <v>0</v>
      </c>
      <c r="BB408">
        <v>0</v>
      </c>
      <c r="BJ408">
        <v>0</v>
      </c>
      <c r="BK408">
        <v>0</v>
      </c>
      <c r="BN408">
        <v>0</v>
      </c>
      <c r="BO408">
        <v>0</v>
      </c>
      <c r="BV408">
        <v>0</v>
      </c>
      <c r="BW408">
        <v>0</v>
      </c>
      <c r="BX408">
        <v>0</v>
      </c>
      <c r="CA408">
        <v>1</v>
      </c>
      <c r="CB408">
        <v>0</v>
      </c>
      <c r="CC408">
        <v>0</v>
      </c>
      <c r="CD408">
        <v>0</v>
      </c>
      <c r="CE408">
        <v>0</v>
      </c>
      <c r="CM408">
        <v>0</v>
      </c>
      <c r="CN408">
        <v>0</v>
      </c>
    </row>
    <row r="409" spans="1:92" x14ac:dyDescent="0.2">
      <c r="A409" s="19" t="str">
        <f>"150011290"</f>
        <v>150011290</v>
      </c>
      <c r="B409" s="19" t="str">
        <f>"נורת ניאון אדומה 220"</f>
        <v>נורת ניאון אדומה 220</v>
      </c>
      <c r="C409" s="17">
        <v>8</v>
      </c>
      <c r="D409" s="17" t="s">
        <v>151</v>
      </c>
    </row>
    <row r="410" spans="1:92" x14ac:dyDescent="0.2">
      <c r="A410" s="19" t="str">
        <f>"150020002"</f>
        <v>150020002</v>
      </c>
      <c r="B410" s="19" t="str">
        <f>"שקע כח ישראלי NEVE-"</f>
        <v>שקע כח ישראלי NEVE-</v>
      </c>
      <c r="C410" s="17">
        <v>77</v>
      </c>
      <c r="D410" s="17" t="s">
        <v>151</v>
      </c>
    </row>
    <row r="411" spans="1:92" x14ac:dyDescent="0.2">
      <c r="A411" s="19" t="str">
        <f>"150020004"</f>
        <v>150020004</v>
      </c>
      <c r="B411" s="19" t="str">
        <f>"שקע טלפון NEVE-"</f>
        <v>שקע טלפון NEVE-</v>
      </c>
      <c r="C411" s="17">
        <v>14</v>
      </c>
      <c r="D411" s="17" t="s">
        <v>151</v>
      </c>
    </row>
    <row r="412" spans="1:92" x14ac:dyDescent="0.2">
      <c r="A412" s="19" t="str">
        <f>"150020014"</f>
        <v>150020014</v>
      </c>
      <c r="B412" s="19" t="str">
        <f>"דמי NEVE-"</f>
        <v>דמי NEVE-</v>
      </c>
      <c r="C412" s="17">
        <v>22</v>
      </c>
      <c r="D412" s="17" t="s">
        <v>151</v>
      </c>
    </row>
    <row r="413" spans="1:92" x14ac:dyDescent="0.2">
      <c r="A413" s="19" t="str">
        <f>"150020023"</f>
        <v>150020023</v>
      </c>
      <c r="B413" s="19" t="str">
        <f>"לחצן מואר NEVE-"</f>
        <v>לחצן מואר NEVE-</v>
      </c>
      <c r="C413" s="17">
        <v>4</v>
      </c>
      <c r="D413" s="17" t="s">
        <v>151</v>
      </c>
    </row>
    <row r="414" spans="1:92" x14ac:dyDescent="0.2">
      <c r="A414" s="19" t="str">
        <f>"150020024"</f>
        <v>150020024</v>
      </c>
      <c r="B414" s="19" t="str">
        <f>"לחצן רחב 2 .NEVE-"</f>
        <v>לחצן רחב 2 .NEVE-</v>
      </c>
      <c r="C414" s="17">
        <v>2</v>
      </c>
      <c r="D414" s="17" t="s">
        <v>151</v>
      </c>
    </row>
    <row r="415" spans="1:92" x14ac:dyDescent="0.2">
      <c r="A415" s="19" t="str">
        <f>"150020029"</f>
        <v>150020029</v>
      </c>
      <c r="B415" s="19" t="str">
        <f>"מסגרת 1 מודול NEVE-"</f>
        <v>מסגרת 1 מודול NEVE-</v>
      </c>
      <c r="C415" s="17">
        <v>33</v>
      </c>
      <c r="D415" s="17" t="s">
        <v>151</v>
      </c>
    </row>
    <row r="416" spans="1:92" x14ac:dyDescent="0.2">
      <c r="A416" s="19" t="str">
        <f>"150020036"</f>
        <v>150020036</v>
      </c>
      <c r="B416" s="19" t="str">
        <f>"מסגרת 2 מודול NEVE-"</f>
        <v>מסגרת 2 מודול NEVE-</v>
      </c>
      <c r="C416" s="17">
        <v>22</v>
      </c>
      <c r="D416" s="17" t="s">
        <v>151</v>
      </c>
    </row>
    <row r="417" spans="1:5" x14ac:dyDescent="0.2">
      <c r="A417" s="19" t="str">
        <f>"150020041"</f>
        <v>150020041</v>
      </c>
      <c r="B417" s="19" t="str">
        <f>"מסגרת 3 מודול NEVE-"</f>
        <v>מסגרת 3 מודול NEVE-</v>
      </c>
      <c r="C417" s="17">
        <v>13</v>
      </c>
      <c r="D417" s="17" t="s">
        <v>151</v>
      </c>
    </row>
    <row r="418" spans="1:5" x14ac:dyDescent="0.2">
      <c r="A418" s="19" t="str">
        <f>"150020045"</f>
        <v>150020045</v>
      </c>
      <c r="B418" s="19" t="str">
        <f>"מסגרת 4 מודול NEVE-"</f>
        <v>מסגרת 4 מודול NEVE-</v>
      </c>
      <c r="C418" s="17">
        <v>28</v>
      </c>
      <c r="D418" s="17" t="s">
        <v>151</v>
      </c>
    </row>
    <row r="419" spans="1:5" x14ac:dyDescent="0.2">
      <c r="A419" s="19" t="str">
        <f>"150020059"</f>
        <v>150020059</v>
      </c>
      <c r="B419" s="19" t="str">
        <f>"מפסק יחיד NEVE-"</f>
        <v>מפסק יחיד NEVE-</v>
      </c>
      <c r="C419" s="17">
        <v>30</v>
      </c>
      <c r="D419" s="17" t="s">
        <v>151</v>
      </c>
    </row>
    <row r="420" spans="1:5" x14ac:dyDescent="0.2">
      <c r="A420" s="19" t="str">
        <f>"150020061"</f>
        <v>150020061</v>
      </c>
      <c r="B420" s="19" t="str">
        <f>"מפסק חיולף NEVE-"</f>
        <v>מפסק חיולף NEVE-</v>
      </c>
      <c r="C420" s="17">
        <v>25</v>
      </c>
      <c r="D420" s="17" t="s">
        <v>151</v>
      </c>
    </row>
    <row r="421" spans="1:5" x14ac:dyDescent="0.2">
      <c r="A421" s="19" t="str">
        <f>"150020063"</f>
        <v>150020063</v>
      </c>
      <c r="B421" s="19" t="str">
        <f>"מפסק צלב NEVE-"</f>
        <v>מפסק צלב NEVE-</v>
      </c>
      <c r="C421" s="17">
        <v>3</v>
      </c>
      <c r="D421" s="17" t="s">
        <v>151</v>
      </c>
    </row>
    <row r="422" spans="1:5" x14ac:dyDescent="0.2">
      <c r="A422" s="19" t="str">
        <f>"150020068"</f>
        <v>150020068</v>
      </c>
      <c r="B422" s="19" t="str">
        <f>"מתאם 2 מודול NEVE-"</f>
        <v>מתאם 2 מודול NEVE-</v>
      </c>
      <c r="C422" s="17">
        <v>22</v>
      </c>
      <c r="D422" s="17" t="s">
        <v>151</v>
      </c>
    </row>
    <row r="423" spans="1:5" x14ac:dyDescent="0.2">
      <c r="A423" s="19" t="str">
        <f>"150020069"</f>
        <v>150020069</v>
      </c>
      <c r="B423" s="19" t="str">
        <f>"מתאם 3 מודול NEVE-"</f>
        <v>מתאם 3 מודול NEVE-</v>
      </c>
      <c r="C423" s="17">
        <v>46</v>
      </c>
      <c r="D423" s="17" t="s">
        <v>151</v>
      </c>
    </row>
    <row r="424" spans="1:5" x14ac:dyDescent="0.2">
      <c r="A424" s="19" t="str">
        <f>"150020070"</f>
        <v>150020070</v>
      </c>
      <c r="B424" s="19" t="str">
        <f>"מתאם 4 מודול NEVE-"</f>
        <v>מתאם 4 מודול NEVE-</v>
      </c>
      <c r="C424" s="17">
        <v>28</v>
      </c>
      <c r="D424" s="17" t="s">
        <v>151</v>
      </c>
    </row>
    <row r="425" spans="1:5" x14ac:dyDescent="0.2">
      <c r="A425" s="19" t="str">
        <f>"150020090"</f>
        <v>150020090</v>
      </c>
      <c r="B425" s="19" t="str">
        <f>"מפסק דוד NEVE-"</f>
        <v>מפסק דוד NEVE-</v>
      </c>
      <c r="C425" s="17">
        <v>4</v>
      </c>
      <c r="D425" s="17" t="s">
        <v>151</v>
      </c>
    </row>
    <row r="426" spans="1:5" x14ac:dyDescent="0.2">
      <c r="A426" s="19">
        <v>938140</v>
      </c>
      <c r="B426" s="21" t="s">
        <v>217</v>
      </c>
      <c r="C426" s="17">
        <v>10</v>
      </c>
      <c r="D426" s="17" t="s">
        <v>151</v>
      </c>
    </row>
    <row r="427" spans="1:5" x14ac:dyDescent="0.2">
      <c r="A427" s="19">
        <v>938150</v>
      </c>
      <c r="B427" s="21" t="s">
        <v>218</v>
      </c>
      <c r="C427" s="17">
        <v>1</v>
      </c>
      <c r="D427" s="17" t="s">
        <v>152</v>
      </c>
    </row>
    <row r="428" spans="1:5" x14ac:dyDescent="0.2">
      <c r="A428" s="19">
        <v>708370</v>
      </c>
      <c r="B428" s="21" t="s">
        <v>219</v>
      </c>
      <c r="C428" s="17">
        <v>2</v>
      </c>
      <c r="D428" s="17" t="s">
        <v>153</v>
      </c>
    </row>
    <row r="429" spans="1:5" x14ac:dyDescent="0.2">
      <c r="A429" s="19">
        <v>378160</v>
      </c>
      <c r="B429" s="21" t="s">
        <v>220</v>
      </c>
      <c r="C429" s="17">
        <v>200</v>
      </c>
      <c r="D429" s="17" t="s">
        <v>150</v>
      </c>
    </row>
    <row r="430" spans="1:5" x14ac:dyDescent="0.2">
      <c r="A430" s="19">
        <v>708470</v>
      </c>
      <c r="B430" s="21" t="s">
        <v>221</v>
      </c>
      <c r="C430" s="17">
        <v>6</v>
      </c>
      <c r="D430" s="17" t="s">
        <v>153</v>
      </c>
    </row>
    <row r="431" spans="1:5" x14ac:dyDescent="0.2">
      <c r="A431" s="19">
        <v>628160</v>
      </c>
      <c r="B431" s="21" t="s">
        <v>222</v>
      </c>
      <c r="C431" s="17">
        <v>50</v>
      </c>
      <c r="D431" s="17" t="s">
        <v>151</v>
      </c>
    </row>
    <row r="432" spans="1:5" x14ac:dyDescent="0.2">
      <c r="A432" s="11">
        <v>109999</v>
      </c>
      <c r="B432" s="11" t="s">
        <v>223</v>
      </c>
      <c r="C432" s="17">
        <v>1</v>
      </c>
      <c r="D432" s="17" t="s">
        <v>151</v>
      </c>
      <c r="E432" s="17">
        <v>8000</v>
      </c>
    </row>
    <row r="433" spans="1:92" x14ac:dyDescent="0.2">
      <c r="A433" s="11">
        <v>640000</v>
      </c>
      <c r="B433" s="22" t="s">
        <v>224</v>
      </c>
      <c r="C433">
        <v>1</v>
      </c>
      <c r="D433" t="s">
        <v>151</v>
      </c>
      <c r="E433">
        <v>6800</v>
      </c>
    </row>
    <row r="434" spans="1:92" x14ac:dyDescent="0.2">
      <c r="A434" s="11">
        <v>999999</v>
      </c>
      <c r="B434" s="22" t="s">
        <v>225</v>
      </c>
      <c r="C434">
        <v>1</v>
      </c>
      <c r="D434" t="s">
        <v>226</v>
      </c>
      <c r="E434">
        <v>1800</v>
      </c>
    </row>
    <row r="435" spans="1:92" x14ac:dyDescent="0.2">
      <c r="A435" s="5" t="s">
        <v>184</v>
      </c>
      <c r="B435" s="5" t="s">
        <v>57</v>
      </c>
      <c r="C435">
        <v>1</v>
      </c>
      <c r="E435">
        <v>0</v>
      </c>
      <c r="G435">
        <v>0</v>
      </c>
      <c r="I435">
        <v>3</v>
      </c>
      <c r="J435" t="s">
        <v>18</v>
      </c>
      <c r="L435">
        <v>6</v>
      </c>
      <c r="O435" t="str">
        <f t="shared" si="42"/>
        <v>טיוטא</v>
      </c>
      <c r="P435" t="str">
        <f t="shared" si="43"/>
        <v>אופיר</v>
      </c>
      <c r="R435">
        <v>6</v>
      </c>
      <c r="X435" t="str">
        <f t="shared" si="44"/>
        <v>ש"ח</v>
      </c>
      <c r="Y435">
        <v>0</v>
      </c>
      <c r="Z435" t="str">
        <f t="shared" si="45"/>
        <v>ש"ח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 t="str">
        <f t="shared" si="46"/>
        <v>ש"ח</v>
      </c>
      <c r="AH435">
        <v>0</v>
      </c>
      <c r="AI435">
        <v>0</v>
      </c>
      <c r="AJ435" t="str">
        <f t="shared" si="48"/>
        <v>ידני</v>
      </c>
      <c r="AK435">
        <v>1</v>
      </c>
      <c r="AQ435">
        <v>0</v>
      </c>
      <c r="AW435" t="str">
        <f t="shared" si="47"/>
        <v>אופיר</v>
      </c>
      <c r="AX435" t="s">
        <v>6</v>
      </c>
      <c r="AY435">
        <v>19</v>
      </c>
      <c r="AZ435">
        <v>0</v>
      </c>
      <c r="BA435">
        <v>0</v>
      </c>
      <c r="BB435">
        <v>0</v>
      </c>
      <c r="BJ435">
        <v>0</v>
      </c>
      <c r="BK435">
        <v>0</v>
      </c>
      <c r="BN435">
        <v>0</v>
      </c>
      <c r="BO435">
        <v>0</v>
      </c>
      <c r="BV435">
        <v>0</v>
      </c>
      <c r="BW435">
        <v>0</v>
      </c>
      <c r="BX435">
        <v>0</v>
      </c>
      <c r="CA435">
        <v>1</v>
      </c>
      <c r="CB435">
        <v>0</v>
      </c>
      <c r="CC435">
        <v>0</v>
      </c>
      <c r="CD435">
        <v>0</v>
      </c>
      <c r="CE435">
        <v>0</v>
      </c>
      <c r="CM435">
        <v>0</v>
      </c>
      <c r="CN435">
        <v>0</v>
      </c>
    </row>
    <row r="436" spans="1:92" ht="15" x14ac:dyDescent="0.2">
      <c r="A436" s="6">
        <v>10.7</v>
      </c>
      <c r="B436" s="6" t="s">
        <v>71</v>
      </c>
      <c r="C436">
        <v>1</v>
      </c>
      <c r="E436">
        <v>0</v>
      </c>
      <c r="G436">
        <v>100</v>
      </c>
      <c r="I436">
        <v>2</v>
      </c>
      <c r="J436" t="s">
        <v>1</v>
      </c>
      <c r="L436">
        <v>0</v>
      </c>
      <c r="N436" t="s">
        <v>10</v>
      </c>
      <c r="O436" t="str">
        <f>"טיוטא"</f>
        <v>טיוטא</v>
      </c>
      <c r="P436" t="str">
        <f>"אופיר"</f>
        <v>אופיר</v>
      </c>
      <c r="R436">
        <v>0</v>
      </c>
      <c r="X436" t="str">
        <f>"ש""ח"</f>
        <v>ש"ח</v>
      </c>
      <c r="Y436">
        <v>0</v>
      </c>
      <c r="Z436" t="str">
        <f>"ש""ח"</f>
        <v>ש"ח</v>
      </c>
      <c r="AA436">
        <v>0</v>
      </c>
      <c r="AB436">
        <v>6840</v>
      </c>
      <c r="AC436">
        <v>6840</v>
      </c>
      <c r="AD436">
        <v>0</v>
      </c>
      <c r="AE436">
        <v>6840</v>
      </c>
      <c r="AF436">
        <v>6840</v>
      </c>
      <c r="AG436" t="str">
        <f t="shared" si="46"/>
        <v>ש"ח</v>
      </c>
      <c r="AH436">
        <v>0</v>
      </c>
      <c r="AI436">
        <v>0</v>
      </c>
      <c r="AJ436" t="str">
        <f t="shared" si="48"/>
        <v>ידני</v>
      </c>
      <c r="AK436">
        <v>1</v>
      </c>
      <c r="AQ436">
        <v>0</v>
      </c>
      <c r="AW436" t="str">
        <f t="shared" si="47"/>
        <v>אופיר</v>
      </c>
      <c r="AX436" t="s">
        <v>9</v>
      </c>
      <c r="AY436">
        <v>38</v>
      </c>
      <c r="AZ436">
        <v>0</v>
      </c>
      <c r="BA436">
        <v>0</v>
      </c>
      <c r="BB436">
        <v>0</v>
      </c>
      <c r="BJ436">
        <v>0</v>
      </c>
      <c r="BK436">
        <v>0</v>
      </c>
      <c r="BN436">
        <v>0</v>
      </c>
      <c r="BO436">
        <v>6840</v>
      </c>
      <c r="BV436">
        <v>0</v>
      </c>
      <c r="BW436">
        <v>0</v>
      </c>
      <c r="BX436">
        <v>0</v>
      </c>
      <c r="CA436">
        <v>1</v>
      </c>
      <c r="CB436">
        <v>0</v>
      </c>
      <c r="CC436">
        <v>0</v>
      </c>
      <c r="CD436">
        <v>0</v>
      </c>
      <c r="CE436">
        <v>0</v>
      </c>
      <c r="CM436">
        <v>0</v>
      </c>
      <c r="CN436">
        <v>0</v>
      </c>
    </row>
    <row r="437" spans="1:92" x14ac:dyDescent="0.2">
      <c r="A437" s="5" t="s">
        <v>185</v>
      </c>
      <c r="B437" s="5" t="s">
        <v>54</v>
      </c>
      <c r="C437">
        <v>1</v>
      </c>
      <c r="E437">
        <v>0</v>
      </c>
      <c r="G437">
        <v>0</v>
      </c>
      <c r="I437">
        <v>3</v>
      </c>
      <c r="J437" t="s">
        <v>1</v>
      </c>
      <c r="L437">
        <v>0</v>
      </c>
      <c r="O437" t="str">
        <f>"טיוטא"</f>
        <v>טיוטא</v>
      </c>
      <c r="P437" t="str">
        <f>"אופיר"</f>
        <v>אופיר</v>
      </c>
      <c r="R437">
        <v>0</v>
      </c>
      <c r="X437" t="str">
        <f>"ש""ח"</f>
        <v>ש"ח</v>
      </c>
      <c r="Y437">
        <v>0</v>
      </c>
      <c r="Z437" t="str">
        <f>"ש""ח"</f>
        <v>ש"ח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 t="str">
        <f t="shared" ref="AG437:AG643" si="49">"ש""ח"</f>
        <v>ש"ח</v>
      </c>
      <c r="AH437">
        <v>0</v>
      </c>
      <c r="AI437">
        <v>0</v>
      </c>
      <c r="AJ437" t="str">
        <f t="shared" si="48"/>
        <v>ידני</v>
      </c>
      <c r="AK437">
        <v>1</v>
      </c>
      <c r="AQ437">
        <v>0</v>
      </c>
      <c r="AW437" t="str">
        <f t="shared" ref="AW437:AW643" si="50">"אופיר"</f>
        <v>אופיר</v>
      </c>
      <c r="AX437" t="s">
        <v>9</v>
      </c>
      <c r="AY437">
        <v>39</v>
      </c>
      <c r="AZ437">
        <v>0</v>
      </c>
      <c r="BA437">
        <v>0</v>
      </c>
      <c r="BB437">
        <v>0</v>
      </c>
      <c r="BJ437">
        <v>0</v>
      </c>
      <c r="BK437">
        <v>0</v>
      </c>
      <c r="BN437">
        <v>0</v>
      </c>
      <c r="BO437">
        <v>0</v>
      </c>
      <c r="BV437">
        <v>0</v>
      </c>
      <c r="BW437">
        <v>0</v>
      </c>
      <c r="BX437">
        <v>0</v>
      </c>
      <c r="CA437">
        <v>1</v>
      </c>
      <c r="CB437">
        <v>0</v>
      </c>
      <c r="CC437">
        <v>0</v>
      </c>
      <c r="CD437">
        <v>0</v>
      </c>
      <c r="CE437">
        <v>0</v>
      </c>
      <c r="CM437">
        <v>0</v>
      </c>
      <c r="CN437">
        <v>0</v>
      </c>
    </row>
    <row r="438" spans="1:92" s="18" customFormat="1" ht="15" customHeight="1" x14ac:dyDescent="0.2">
      <c r="A438" s="16">
        <v>218260</v>
      </c>
      <c r="B438" s="12" t="s">
        <v>154</v>
      </c>
      <c r="C438" s="17">
        <v>500</v>
      </c>
      <c r="D438" s="17" t="s">
        <v>150</v>
      </c>
      <c r="Y438" s="18">
        <f>C438*E438</f>
        <v>0</v>
      </c>
    </row>
    <row r="439" spans="1:92" s="18" customFormat="1" ht="12.75" x14ac:dyDescent="0.2">
      <c r="A439" s="16">
        <v>218270</v>
      </c>
      <c r="B439" s="12" t="s">
        <v>155</v>
      </c>
      <c r="C439" s="17">
        <v>100</v>
      </c>
      <c r="D439" s="17" t="s">
        <v>150</v>
      </c>
      <c r="Y439" s="18">
        <f>C439*E439</f>
        <v>0</v>
      </c>
    </row>
    <row r="440" spans="1:92" s="18" customFormat="1" ht="12.75" x14ac:dyDescent="0.2">
      <c r="A440" s="16">
        <v>218140</v>
      </c>
      <c r="B440" s="17" t="s">
        <v>156</v>
      </c>
      <c r="C440" s="17">
        <v>50</v>
      </c>
      <c r="D440" s="17" t="s">
        <v>150</v>
      </c>
      <c r="Y440" s="18">
        <f>C440*E440</f>
        <v>0</v>
      </c>
    </row>
    <row r="441" spans="1:92" s="18" customFormat="1" ht="12.75" x14ac:dyDescent="0.2">
      <c r="A441" s="16">
        <v>228130</v>
      </c>
      <c r="B441" s="17" t="s">
        <v>147</v>
      </c>
      <c r="C441" s="17">
        <v>10</v>
      </c>
      <c r="D441" s="17" t="s">
        <v>151</v>
      </c>
    </row>
    <row r="442" spans="1:92" s="18" customFormat="1" ht="12.75" x14ac:dyDescent="0.2">
      <c r="A442" s="16">
        <v>228350</v>
      </c>
      <c r="B442" s="12" t="s">
        <v>157</v>
      </c>
      <c r="C442" s="17">
        <v>25</v>
      </c>
      <c r="D442" s="17" t="s">
        <v>151</v>
      </c>
    </row>
    <row r="443" spans="1:92" s="18" customFormat="1" ht="12.75" x14ac:dyDescent="0.2">
      <c r="A443" s="16">
        <v>228370</v>
      </c>
      <c r="B443" s="12" t="s">
        <v>158</v>
      </c>
      <c r="C443" s="17">
        <v>30</v>
      </c>
      <c r="D443" s="17" t="s">
        <v>151</v>
      </c>
    </row>
    <row r="444" spans="1:92" s="18" customFormat="1" ht="12.75" x14ac:dyDescent="0.2">
      <c r="A444" s="16">
        <v>798200</v>
      </c>
      <c r="B444" s="16" t="s">
        <v>159</v>
      </c>
      <c r="C444" s="17">
        <v>1</v>
      </c>
      <c r="D444" s="17" t="s">
        <v>151</v>
      </c>
    </row>
    <row r="445" spans="1:92" s="18" customFormat="1" ht="12.75" x14ac:dyDescent="0.2">
      <c r="A445" s="16">
        <v>918140</v>
      </c>
      <c r="B445" s="16" t="s">
        <v>160</v>
      </c>
      <c r="C445" s="17">
        <v>100</v>
      </c>
      <c r="D445" s="17" t="s">
        <v>151</v>
      </c>
    </row>
    <row r="446" spans="1:92" s="9" customFormat="1" x14ac:dyDescent="0.2">
      <c r="A446" s="11">
        <v>438200</v>
      </c>
      <c r="B446" s="12" t="s">
        <v>161</v>
      </c>
      <c r="C446" s="13">
        <v>5</v>
      </c>
      <c r="D446" s="13" t="s">
        <v>150</v>
      </c>
    </row>
    <row r="447" spans="1:92" s="9" customFormat="1" x14ac:dyDescent="0.2">
      <c r="A447" s="11"/>
      <c r="B447" s="12" t="s">
        <v>223</v>
      </c>
      <c r="C447" s="17">
        <v>1</v>
      </c>
      <c r="D447" s="17" t="s">
        <v>226</v>
      </c>
      <c r="E447" s="9">
        <v>3000</v>
      </c>
    </row>
    <row r="448" spans="1:92" x14ac:dyDescent="0.2">
      <c r="A448" s="5" t="s">
        <v>186</v>
      </c>
      <c r="B448" s="5" t="s">
        <v>55</v>
      </c>
    </row>
    <row r="449" spans="1:4" s="17" customFormat="1" ht="15" customHeight="1" x14ac:dyDescent="0.2">
      <c r="A449" s="16">
        <v>218260</v>
      </c>
      <c r="B449" s="12" t="s">
        <v>154</v>
      </c>
      <c r="C449" s="17">
        <v>700</v>
      </c>
      <c r="D449" s="17" t="s">
        <v>150</v>
      </c>
    </row>
    <row r="450" spans="1:4" s="17" customFormat="1" ht="12.75" x14ac:dyDescent="0.2">
      <c r="A450" s="16">
        <v>218290</v>
      </c>
      <c r="B450" s="12" t="s">
        <v>162</v>
      </c>
      <c r="C450" s="17">
        <v>800</v>
      </c>
      <c r="D450" s="17" t="s">
        <v>150</v>
      </c>
    </row>
    <row r="451" spans="1:4" s="17" customFormat="1" ht="12.75" x14ac:dyDescent="0.2">
      <c r="A451" s="16">
        <v>218370</v>
      </c>
      <c r="B451" s="12" t="s">
        <v>163</v>
      </c>
      <c r="C451" s="17">
        <v>150</v>
      </c>
      <c r="D451" s="17" t="s">
        <v>150</v>
      </c>
    </row>
    <row r="452" spans="1:4" s="17" customFormat="1" ht="12.75" x14ac:dyDescent="0.2">
      <c r="A452" s="16">
        <v>218340</v>
      </c>
      <c r="B452" s="12" t="s">
        <v>164</v>
      </c>
      <c r="C452" s="17">
        <v>150</v>
      </c>
      <c r="D452" s="17" t="s">
        <v>150</v>
      </c>
    </row>
    <row r="453" spans="1:4" s="17" customFormat="1" ht="12.75" x14ac:dyDescent="0.2">
      <c r="A453" s="16">
        <v>218190</v>
      </c>
      <c r="B453" s="12" t="s">
        <v>148</v>
      </c>
      <c r="C453" s="17">
        <v>300</v>
      </c>
      <c r="D453" s="17" t="s">
        <v>150</v>
      </c>
    </row>
    <row r="454" spans="1:4" s="17" customFormat="1" ht="12.75" x14ac:dyDescent="0.2">
      <c r="A454" s="16">
        <v>218300</v>
      </c>
      <c r="B454" s="12" t="s">
        <v>165</v>
      </c>
      <c r="C454" s="17">
        <v>50</v>
      </c>
      <c r="D454" s="17" t="s">
        <v>150</v>
      </c>
    </row>
    <row r="455" spans="1:4" s="17" customFormat="1" ht="12.75" x14ac:dyDescent="0.2">
      <c r="A455" s="16">
        <v>368110</v>
      </c>
      <c r="B455" s="12" t="s">
        <v>166</v>
      </c>
      <c r="C455" s="17">
        <v>800</v>
      </c>
      <c r="D455" s="17" t="s">
        <v>150</v>
      </c>
    </row>
    <row r="456" spans="1:4" s="17" customFormat="1" ht="12.75" x14ac:dyDescent="0.2">
      <c r="A456" s="16">
        <v>368120</v>
      </c>
      <c r="B456" s="12" t="s">
        <v>167</v>
      </c>
      <c r="C456" s="17">
        <v>800</v>
      </c>
      <c r="D456" s="17" t="s">
        <v>150</v>
      </c>
    </row>
    <row r="457" spans="1:4" s="17" customFormat="1" ht="12.75" x14ac:dyDescent="0.2">
      <c r="A457" s="16">
        <v>368130</v>
      </c>
      <c r="B457" s="12" t="s">
        <v>168</v>
      </c>
      <c r="C457" s="17">
        <v>800</v>
      </c>
      <c r="D457" s="17" t="s">
        <v>150</v>
      </c>
    </row>
    <row r="458" spans="1:4" s="17" customFormat="1" ht="12.75" x14ac:dyDescent="0.2">
      <c r="A458" s="16">
        <v>368140</v>
      </c>
      <c r="B458" s="12" t="s">
        <v>169</v>
      </c>
      <c r="C458" s="17">
        <v>800</v>
      </c>
      <c r="D458" s="17" t="s">
        <v>150</v>
      </c>
    </row>
    <row r="459" spans="1:4" s="17" customFormat="1" ht="12.75" x14ac:dyDescent="0.2">
      <c r="A459" s="16">
        <v>368150</v>
      </c>
      <c r="B459" s="12" t="s">
        <v>170</v>
      </c>
      <c r="C459" s="17">
        <v>800</v>
      </c>
      <c r="D459" s="17" t="s">
        <v>150</v>
      </c>
    </row>
    <row r="460" spans="1:4" s="17" customFormat="1" ht="12.75" x14ac:dyDescent="0.2">
      <c r="A460" s="16">
        <v>368160</v>
      </c>
      <c r="B460" s="12" t="s">
        <v>171</v>
      </c>
      <c r="C460" s="17">
        <v>700</v>
      </c>
      <c r="D460" s="17" t="s">
        <v>150</v>
      </c>
    </row>
    <row r="461" spans="1:4" s="17" customFormat="1" ht="12.75" x14ac:dyDescent="0.2">
      <c r="A461" s="16">
        <v>368170</v>
      </c>
      <c r="B461" s="12" t="s">
        <v>172</v>
      </c>
      <c r="C461" s="17">
        <v>700</v>
      </c>
      <c r="D461" s="17" t="s">
        <v>150</v>
      </c>
    </row>
    <row r="462" spans="1:4" s="17" customFormat="1" ht="12.75" x14ac:dyDescent="0.2">
      <c r="A462" s="16">
        <v>368180</v>
      </c>
      <c r="B462" s="12" t="s">
        <v>173</v>
      </c>
      <c r="C462" s="17">
        <v>700</v>
      </c>
      <c r="D462" s="17" t="s">
        <v>150</v>
      </c>
    </row>
    <row r="463" spans="1:4" s="17" customFormat="1" ht="12.75" x14ac:dyDescent="0.2">
      <c r="A463" s="16">
        <v>378120</v>
      </c>
      <c r="B463" s="12" t="s">
        <v>174</v>
      </c>
      <c r="C463" s="17">
        <v>200</v>
      </c>
      <c r="D463" s="17" t="s">
        <v>150</v>
      </c>
    </row>
    <row r="464" spans="1:4" s="17" customFormat="1" ht="12.75" x14ac:dyDescent="0.2">
      <c r="A464" s="16">
        <v>228350</v>
      </c>
      <c r="B464" s="12" t="s">
        <v>157</v>
      </c>
      <c r="C464" s="17">
        <v>60</v>
      </c>
      <c r="D464" s="17" t="s">
        <v>151</v>
      </c>
    </row>
    <row r="465" spans="1:5" s="17" customFormat="1" ht="12.75" x14ac:dyDescent="0.2">
      <c r="A465" s="16">
        <v>228370</v>
      </c>
      <c r="B465" s="12" t="s">
        <v>158</v>
      </c>
      <c r="C465" s="17">
        <v>30</v>
      </c>
      <c r="D465" s="17" t="s">
        <v>151</v>
      </c>
    </row>
    <row r="466" spans="1:5" s="17" customFormat="1" ht="12.75" x14ac:dyDescent="0.2">
      <c r="A466" s="16">
        <v>918180</v>
      </c>
      <c r="B466" s="12" t="s">
        <v>149</v>
      </c>
      <c r="C466" s="17">
        <v>4</v>
      </c>
      <c r="D466" s="17" t="s">
        <v>152</v>
      </c>
    </row>
    <row r="467" spans="1:5" s="17" customFormat="1" ht="12.75" x14ac:dyDescent="0.2">
      <c r="A467" s="16">
        <v>918190</v>
      </c>
      <c r="B467" s="16" t="s">
        <v>175</v>
      </c>
      <c r="C467" s="17">
        <v>4</v>
      </c>
      <c r="D467" s="17" t="s">
        <v>152</v>
      </c>
    </row>
    <row r="468" spans="1:5" s="17" customFormat="1" ht="12.75" x14ac:dyDescent="0.2">
      <c r="A468" s="16">
        <v>228130</v>
      </c>
      <c r="B468" s="17" t="s">
        <v>147</v>
      </c>
      <c r="C468" s="17">
        <v>10</v>
      </c>
      <c r="D468" s="17" t="s">
        <v>153</v>
      </c>
    </row>
    <row r="469" spans="1:5" s="17" customFormat="1" ht="12.75" x14ac:dyDescent="0.2">
      <c r="A469" s="16">
        <v>228140</v>
      </c>
      <c r="B469" s="12" t="s">
        <v>176</v>
      </c>
      <c r="C469" s="17">
        <v>25</v>
      </c>
      <c r="D469" s="17" t="s">
        <v>153</v>
      </c>
    </row>
    <row r="470" spans="1:5" s="17" customFormat="1" ht="13.5" customHeight="1" x14ac:dyDescent="0.2">
      <c r="A470" s="16">
        <v>438200</v>
      </c>
      <c r="B470" s="12" t="s">
        <v>161</v>
      </c>
      <c r="C470" s="17">
        <v>10</v>
      </c>
      <c r="D470" s="17" t="s">
        <v>151</v>
      </c>
    </row>
    <row r="471" spans="1:5" s="17" customFormat="1" ht="13.5" customHeight="1" x14ac:dyDescent="0.2">
      <c r="A471" s="19">
        <v>708580</v>
      </c>
      <c r="B471" s="20" t="s">
        <v>216</v>
      </c>
      <c r="C471" s="17">
        <v>1</v>
      </c>
      <c r="D471" s="17" t="s">
        <v>153</v>
      </c>
    </row>
    <row r="472" spans="1:5" s="17" customFormat="1" ht="13.5" customHeight="1" x14ac:dyDescent="0.2">
      <c r="A472" s="11">
        <v>109999</v>
      </c>
      <c r="B472" s="11" t="s">
        <v>223</v>
      </c>
      <c r="C472" s="17">
        <v>1</v>
      </c>
      <c r="D472" s="17" t="s">
        <v>151</v>
      </c>
      <c r="E472" s="17">
        <v>12000</v>
      </c>
    </row>
    <row r="473" spans="1:5" x14ac:dyDescent="0.2">
      <c r="A473" s="5" t="s">
        <v>187</v>
      </c>
      <c r="B473" s="5" t="s">
        <v>56</v>
      </c>
    </row>
    <row r="474" spans="1:5" x14ac:dyDescent="0.2">
      <c r="A474" s="19" t="str">
        <f>"150011290"</f>
        <v>150011290</v>
      </c>
      <c r="B474" s="19" t="str">
        <f>"נורת ניאון אדומה 220"</f>
        <v>נורת ניאון אדומה 220</v>
      </c>
      <c r="C474" s="17">
        <v>8</v>
      </c>
      <c r="D474" s="17" t="s">
        <v>151</v>
      </c>
    </row>
    <row r="475" spans="1:5" x14ac:dyDescent="0.2">
      <c r="A475" s="19" t="str">
        <f>"150020002"</f>
        <v>150020002</v>
      </c>
      <c r="B475" s="19" t="str">
        <f>"שקע כח ישראלי NEVE-"</f>
        <v>שקע כח ישראלי NEVE-</v>
      </c>
      <c r="C475" s="17">
        <v>77</v>
      </c>
      <c r="D475" s="17" t="s">
        <v>151</v>
      </c>
    </row>
    <row r="476" spans="1:5" x14ac:dyDescent="0.2">
      <c r="A476" s="19" t="str">
        <f>"150020004"</f>
        <v>150020004</v>
      </c>
      <c r="B476" s="19" t="str">
        <f>"שקע טלפון NEVE-"</f>
        <v>שקע טלפון NEVE-</v>
      </c>
      <c r="C476" s="17">
        <v>14</v>
      </c>
      <c r="D476" s="17" t="s">
        <v>151</v>
      </c>
    </row>
    <row r="477" spans="1:5" x14ac:dyDescent="0.2">
      <c r="A477" s="19" t="str">
        <f>"150020014"</f>
        <v>150020014</v>
      </c>
      <c r="B477" s="19" t="str">
        <f>"דמי NEVE-"</f>
        <v>דמי NEVE-</v>
      </c>
      <c r="C477" s="17">
        <v>22</v>
      </c>
      <c r="D477" s="17" t="s">
        <v>151</v>
      </c>
    </row>
    <row r="478" spans="1:5" x14ac:dyDescent="0.2">
      <c r="A478" s="19" t="str">
        <f>"150020023"</f>
        <v>150020023</v>
      </c>
      <c r="B478" s="19" t="str">
        <f>"לחצן מואר NEVE-"</f>
        <v>לחצן מואר NEVE-</v>
      </c>
      <c r="C478" s="17">
        <v>4</v>
      </c>
      <c r="D478" s="17" t="s">
        <v>151</v>
      </c>
    </row>
    <row r="479" spans="1:5" x14ac:dyDescent="0.2">
      <c r="A479" s="19" t="str">
        <f>"150020024"</f>
        <v>150020024</v>
      </c>
      <c r="B479" s="19" t="str">
        <f>"לחצן רחב 2 .NEVE-"</f>
        <v>לחצן רחב 2 .NEVE-</v>
      </c>
      <c r="C479" s="17">
        <v>2</v>
      </c>
      <c r="D479" s="17" t="s">
        <v>151</v>
      </c>
    </row>
    <row r="480" spans="1:5" x14ac:dyDescent="0.2">
      <c r="A480" s="19" t="str">
        <f>"150020029"</f>
        <v>150020029</v>
      </c>
      <c r="B480" s="19" t="str">
        <f>"מסגרת 1 מודול NEVE-"</f>
        <v>מסגרת 1 מודול NEVE-</v>
      </c>
      <c r="C480" s="17">
        <v>33</v>
      </c>
      <c r="D480" s="17" t="s">
        <v>151</v>
      </c>
    </row>
    <row r="481" spans="1:4" x14ac:dyDescent="0.2">
      <c r="A481" s="19" t="str">
        <f>"150020036"</f>
        <v>150020036</v>
      </c>
      <c r="B481" s="19" t="str">
        <f>"מסגרת 2 מודול NEVE-"</f>
        <v>מסגרת 2 מודול NEVE-</v>
      </c>
      <c r="C481" s="17">
        <v>22</v>
      </c>
      <c r="D481" s="17" t="s">
        <v>151</v>
      </c>
    </row>
    <row r="482" spans="1:4" x14ac:dyDescent="0.2">
      <c r="A482" s="19" t="str">
        <f>"150020041"</f>
        <v>150020041</v>
      </c>
      <c r="B482" s="19" t="str">
        <f>"מסגרת 3 מודול NEVE-"</f>
        <v>מסגרת 3 מודול NEVE-</v>
      </c>
      <c r="C482" s="17">
        <v>13</v>
      </c>
      <c r="D482" s="17" t="s">
        <v>151</v>
      </c>
    </row>
    <row r="483" spans="1:4" x14ac:dyDescent="0.2">
      <c r="A483" s="19" t="str">
        <f>"150020045"</f>
        <v>150020045</v>
      </c>
      <c r="B483" s="19" t="str">
        <f>"מסגרת 4 מודול NEVE-"</f>
        <v>מסגרת 4 מודול NEVE-</v>
      </c>
      <c r="C483" s="17">
        <v>28</v>
      </c>
      <c r="D483" s="17" t="s">
        <v>151</v>
      </c>
    </row>
    <row r="484" spans="1:4" x14ac:dyDescent="0.2">
      <c r="A484" s="19" t="str">
        <f>"150020059"</f>
        <v>150020059</v>
      </c>
      <c r="B484" s="19" t="str">
        <f>"מפסק יחיד NEVE-"</f>
        <v>מפסק יחיד NEVE-</v>
      </c>
      <c r="C484" s="17">
        <v>30</v>
      </c>
      <c r="D484" s="17" t="s">
        <v>151</v>
      </c>
    </row>
    <row r="485" spans="1:4" x14ac:dyDescent="0.2">
      <c r="A485" s="19" t="str">
        <f>"150020061"</f>
        <v>150020061</v>
      </c>
      <c r="B485" s="19" t="str">
        <f>"מפסק חיולף NEVE-"</f>
        <v>מפסק חיולף NEVE-</v>
      </c>
      <c r="C485" s="17">
        <v>25</v>
      </c>
      <c r="D485" s="17" t="s">
        <v>151</v>
      </c>
    </row>
    <row r="486" spans="1:4" x14ac:dyDescent="0.2">
      <c r="A486" s="19" t="str">
        <f>"150020063"</f>
        <v>150020063</v>
      </c>
      <c r="B486" s="19" t="str">
        <f>"מפסק צלב NEVE-"</f>
        <v>מפסק צלב NEVE-</v>
      </c>
      <c r="C486" s="17">
        <v>3</v>
      </c>
      <c r="D486" s="17" t="s">
        <v>151</v>
      </c>
    </row>
    <row r="487" spans="1:4" x14ac:dyDescent="0.2">
      <c r="A487" s="19" t="str">
        <f>"150020068"</f>
        <v>150020068</v>
      </c>
      <c r="B487" s="19" t="str">
        <f>"מתאם 2 מודול NEVE-"</f>
        <v>מתאם 2 מודול NEVE-</v>
      </c>
      <c r="C487" s="17">
        <v>22</v>
      </c>
      <c r="D487" s="17" t="s">
        <v>151</v>
      </c>
    </row>
    <row r="488" spans="1:4" x14ac:dyDescent="0.2">
      <c r="A488" s="19" t="str">
        <f>"150020069"</f>
        <v>150020069</v>
      </c>
      <c r="B488" s="19" t="str">
        <f>"מתאם 3 מודול NEVE-"</f>
        <v>מתאם 3 מודול NEVE-</v>
      </c>
      <c r="C488" s="17">
        <v>46</v>
      </c>
      <c r="D488" s="17" t="s">
        <v>151</v>
      </c>
    </row>
    <row r="489" spans="1:4" x14ac:dyDescent="0.2">
      <c r="A489" s="19" t="str">
        <f>"150020070"</f>
        <v>150020070</v>
      </c>
      <c r="B489" s="19" t="str">
        <f>"מתאם 4 מודול NEVE-"</f>
        <v>מתאם 4 מודול NEVE-</v>
      </c>
      <c r="C489" s="17">
        <v>28</v>
      </c>
      <c r="D489" s="17" t="s">
        <v>151</v>
      </c>
    </row>
    <row r="490" spans="1:4" x14ac:dyDescent="0.2">
      <c r="A490" s="19" t="str">
        <f>"150020090"</f>
        <v>150020090</v>
      </c>
      <c r="B490" s="19" t="str">
        <f>"מפסק דוד NEVE-"</f>
        <v>מפסק דוד NEVE-</v>
      </c>
      <c r="C490" s="17">
        <v>4</v>
      </c>
      <c r="D490" s="17" t="s">
        <v>151</v>
      </c>
    </row>
    <row r="491" spans="1:4" x14ac:dyDescent="0.2">
      <c r="A491" s="19">
        <v>938140</v>
      </c>
      <c r="B491" s="21" t="s">
        <v>217</v>
      </c>
      <c r="C491" s="17">
        <v>10</v>
      </c>
      <c r="D491" s="17" t="s">
        <v>151</v>
      </c>
    </row>
    <row r="492" spans="1:4" x14ac:dyDescent="0.2">
      <c r="A492" s="19">
        <v>938150</v>
      </c>
      <c r="B492" s="21" t="s">
        <v>218</v>
      </c>
      <c r="C492" s="17">
        <v>1</v>
      </c>
      <c r="D492" s="17" t="s">
        <v>152</v>
      </c>
    </row>
    <row r="493" spans="1:4" x14ac:dyDescent="0.2">
      <c r="A493" s="19">
        <v>708370</v>
      </c>
      <c r="B493" s="21" t="s">
        <v>219</v>
      </c>
      <c r="C493" s="17">
        <v>2</v>
      </c>
      <c r="D493" s="17" t="s">
        <v>153</v>
      </c>
    </row>
    <row r="494" spans="1:4" x14ac:dyDescent="0.2">
      <c r="A494" s="19">
        <v>378160</v>
      </c>
      <c r="B494" s="21" t="s">
        <v>220</v>
      </c>
      <c r="C494" s="17">
        <v>200</v>
      </c>
      <c r="D494" s="17" t="s">
        <v>150</v>
      </c>
    </row>
    <row r="495" spans="1:4" x14ac:dyDescent="0.2">
      <c r="A495" s="19">
        <v>708470</v>
      </c>
      <c r="B495" s="21" t="s">
        <v>221</v>
      </c>
      <c r="C495" s="17">
        <v>6</v>
      </c>
      <c r="D495" s="17" t="s">
        <v>153</v>
      </c>
    </row>
    <row r="496" spans="1:4" x14ac:dyDescent="0.2">
      <c r="A496" s="19">
        <v>628160</v>
      </c>
      <c r="B496" s="21" t="s">
        <v>222</v>
      </c>
      <c r="C496" s="17">
        <v>50</v>
      </c>
      <c r="D496" s="17" t="s">
        <v>151</v>
      </c>
    </row>
    <row r="497" spans="1:92" x14ac:dyDescent="0.2">
      <c r="A497" s="11">
        <v>109999</v>
      </c>
      <c r="B497" s="11" t="s">
        <v>223</v>
      </c>
      <c r="C497" s="17">
        <v>1</v>
      </c>
      <c r="D497" s="17" t="s">
        <v>151</v>
      </c>
      <c r="E497" s="17">
        <v>8000</v>
      </c>
    </row>
    <row r="498" spans="1:92" x14ac:dyDescent="0.2">
      <c r="A498" s="11">
        <v>640000</v>
      </c>
      <c r="B498" s="22" t="s">
        <v>224</v>
      </c>
      <c r="C498">
        <v>1</v>
      </c>
      <c r="D498" t="s">
        <v>151</v>
      </c>
      <c r="E498">
        <v>6800</v>
      </c>
    </row>
    <row r="499" spans="1:92" x14ac:dyDescent="0.2">
      <c r="A499" s="11">
        <v>999999</v>
      </c>
      <c r="B499" s="22" t="s">
        <v>225</v>
      </c>
      <c r="C499">
        <v>1</v>
      </c>
      <c r="D499" t="s">
        <v>226</v>
      </c>
      <c r="E499">
        <v>1800</v>
      </c>
    </row>
    <row r="500" spans="1:92" x14ac:dyDescent="0.2">
      <c r="A500" s="5" t="s">
        <v>188</v>
      </c>
      <c r="B500" s="5" t="s">
        <v>57</v>
      </c>
    </row>
    <row r="501" spans="1:92" ht="15" x14ac:dyDescent="0.2">
      <c r="A501" s="6">
        <v>10.8</v>
      </c>
      <c r="B501" s="6" t="s">
        <v>189</v>
      </c>
      <c r="C501">
        <v>1</v>
      </c>
      <c r="E501">
        <v>0</v>
      </c>
      <c r="G501">
        <v>100</v>
      </c>
      <c r="I501">
        <v>2</v>
      </c>
      <c r="J501" t="s">
        <v>1</v>
      </c>
      <c r="L501">
        <v>0</v>
      </c>
      <c r="N501" t="s">
        <v>10</v>
      </c>
      <c r="O501" t="str">
        <f>"טיוטא"</f>
        <v>טיוטא</v>
      </c>
      <c r="P501" t="str">
        <f>"אופיר"</f>
        <v>אופיר</v>
      </c>
      <c r="R501">
        <v>0</v>
      </c>
      <c r="X501" t="str">
        <f>"ש""ח"</f>
        <v>ש"ח</v>
      </c>
      <c r="Y501">
        <v>0</v>
      </c>
      <c r="Z501" t="str">
        <f>"ש""ח"</f>
        <v>ש"ח</v>
      </c>
      <c r="AA501">
        <v>0</v>
      </c>
      <c r="AB501">
        <v>6840</v>
      </c>
      <c r="AC501">
        <v>6840</v>
      </c>
      <c r="AD501">
        <v>0</v>
      </c>
      <c r="AE501">
        <v>6840</v>
      </c>
      <c r="AF501">
        <v>6840</v>
      </c>
      <c r="AG501" t="str">
        <f t="shared" ref="AG501" si="51">"ש""ח"</f>
        <v>ש"ח</v>
      </c>
      <c r="AH501">
        <v>0</v>
      </c>
      <c r="AI501">
        <v>0</v>
      </c>
      <c r="AJ501" t="str">
        <f t="shared" si="48"/>
        <v>ידני</v>
      </c>
      <c r="AK501">
        <v>1</v>
      </c>
      <c r="AQ501">
        <v>0</v>
      </c>
      <c r="AW501" t="str">
        <f t="shared" ref="AW501" si="52">"אופיר"</f>
        <v>אופיר</v>
      </c>
      <c r="AX501" t="s">
        <v>9</v>
      </c>
      <c r="AY501">
        <v>38</v>
      </c>
      <c r="AZ501">
        <v>0</v>
      </c>
      <c r="BA501">
        <v>0</v>
      </c>
      <c r="BB501">
        <v>0</v>
      </c>
      <c r="BJ501">
        <v>0</v>
      </c>
      <c r="BK501">
        <v>0</v>
      </c>
      <c r="BN501">
        <v>0</v>
      </c>
      <c r="BO501">
        <v>6840</v>
      </c>
      <c r="BV501">
        <v>0</v>
      </c>
      <c r="BW501">
        <v>0</v>
      </c>
      <c r="BX501">
        <v>0</v>
      </c>
      <c r="CA501">
        <v>1</v>
      </c>
      <c r="CB501">
        <v>0</v>
      </c>
      <c r="CC501">
        <v>0</v>
      </c>
      <c r="CD501">
        <v>0</v>
      </c>
      <c r="CE501">
        <v>0</v>
      </c>
      <c r="CM501">
        <v>0</v>
      </c>
      <c r="CN501">
        <v>0</v>
      </c>
    </row>
    <row r="502" spans="1:92" x14ac:dyDescent="0.2">
      <c r="A502" s="5" t="s">
        <v>190</v>
      </c>
      <c r="B502" s="5" t="s">
        <v>54</v>
      </c>
      <c r="C502">
        <v>1</v>
      </c>
      <c r="E502">
        <v>0</v>
      </c>
      <c r="G502">
        <v>0</v>
      </c>
      <c r="I502">
        <v>3</v>
      </c>
      <c r="J502" t="s">
        <v>1</v>
      </c>
      <c r="L502">
        <v>0</v>
      </c>
      <c r="O502" t="str">
        <f>"טיוטא"</f>
        <v>טיוטא</v>
      </c>
      <c r="P502" t="str">
        <f>"אופיר"</f>
        <v>אופיר</v>
      </c>
      <c r="R502">
        <v>0</v>
      </c>
      <c r="X502" t="str">
        <f>"ש""ח"</f>
        <v>ש"ח</v>
      </c>
      <c r="Y502">
        <v>0</v>
      </c>
      <c r="Z502" t="str">
        <f>"ש""ח"</f>
        <v>ש"ח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 t="str">
        <f t="shared" si="49"/>
        <v>ש"ח</v>
      </c>
      <c r="AH502">
        <v>0</v>
      </c>
      <c r="AI502">
        <v>0</v>
      </c>
      <c r="AJ502" t="str">
        <f t="shared" si="48"/>
        <v>ידני</v>
      </c>
      <c r="AK502">
        <v>1</v>
      </c>
      <c r="AQ502">
        <v>0</v>
      </c>
      <c r="AW502" t="str">
        <f t="shared" si="50"/>
        <v>אופיר</v>
      </c>
      <c r="AX502" t="s">
        <v>9</v>
      </c>
      <c r="AY502">
        <v>39</v>
      </c>
      <c r="AZ502">
        <v>0</v>
      </c>
      <c r="BA502">
        <v>0</v>
      </c>
      <c r="BB502">
        <v>0</v>
      </c>
      <c r="BJ502">
        <v>0</v>
      </c>
      <c r="BK502">
        <v>0</v>
      </c>
      <c r="BN502">
        <v>0</v>
      </c>
      <c r="BO502">
        <v>0</v>
      </c>
      <c r="BV502">
        <v>0</v>
      </c>
      <c r="BW502">
        <v>0</v>
      </c>
      <c r="BX502">
        <v>0</v>
      </c>
      <c r="CA502">
        <v>1</v>
      </c>
      <c r="CB502">
        <v>0</v>
      </c>
      <c r="CC502">
        <v>0</v>
      </c>
      <c r="CD502">
        <v>0</v>
      </c>
      <c r="CE502">
        <v>0</v>
      </c>
      <c r="CM502">
        <v>0</v>
      </c>
      <c r="CN502">
        <v>0</v>
      </c>
    </row>
    <row r="503" spans="1:92" s="18" customFormat="1" ht="15" customHeight="1" x14ac:dyDescent="0.2">
      <c r="A503" s="16">
        <v>218260</v>
      </c>
      <c r="B503" s="12" t="s">
        <v>154</v>
      </c>
      <c r="C503" s="17">
        <v>500</v>
      </c>
      <c r="D503" s="17" t="s">
        <v>150</v>
      </c>
      <c r="Y503" s="18">
        <f>C503*E503</f>
        <v>0</v>
      </c>
    </row>
    <row r="504" spans="1:92" s="18" customFormat="1" ht="12.75" x14ac:dyDescent="0.2">
      <c r="A504" s="16">
        <v>218270</v>
      </c>
      <c r="B504" s="12" t="s">
        <v>155</v>
      </c>
      <c r="C504" s="17">
        <v>100</v>
      </c>
      <c r="D504" s="17" t="s">
        <v>150</v>
      </c>
      <c r="Y504" s="18">
        <f>C504*E504</f>
        <v>0</v>
      </c>
    </row>
    <row r="505" spans="1:92" s="18" customFormat="1" ht="12.75" x14ac:dyDescent="0.2">
      <c r="A505" s="16">
        <v>218140</v>
      </c>
      <c r="B505" s="17" t="s">
        <v>156</v>
      </c>
      <c r="C505" s="17">
        <v>50</v>
      </c>
      <c r="D505" s="17" t="s">
        <v>150</v>
      </c>
      <c r="Y505" s="18">
        <f>C505*E505</f>
        <v>0</v>
      </c>
    </row>
    <row r="506" spans="1:92" s="18" customFormat="1" ht="12.75" x14ac:dyDescent="0.2">
      <c r="A506" s="16">
        <v>228130</v>
      </c>
      <c r="B506" s="17" t="s">
        <v>147</v>
      </c>
      <c r="C506" s="17">
        <v>10</v>
      </c>
      <c r="D506" s="17" t="s">
        <v>151</v>
      </c>
    </row>
    <row r="507" spans="1:92" s="18" customFormat="1" ht="12.75" x14ac:dyDescent="0.2">
      <c r="A507" s="16">
        <v>228350</v>
      </c>
      <c r="B507" s="12" t="s">
        <v>157</v>
      </c>
      <c r="C507" s="17">
        <v>25</v>
      </c>
      <c r="D507" s="17" t="s">
        <v>151</v>
      </c>
    </row>
    <row r="508" spans="1:92" s="18" customFormat="1" ht="12.75" x14ac:dyDescent="0.2">
      <c r="A508" s="16">
        <v>228370</v>
      </c>
      <c r="B508" s="12" t="s">
        <v>158</v>
      </c>
      <c r="C508" s="17">
        <v>30</v>
      </c>
      <c r="D508" s="17" t="s">
        <v>151</v>
      </c>
    </row>
    <row r="509" spans="1:92" s="18" customFormat="1" ht="12.75" x14ac:dyDescent="0.2">
      <c r="A509" s="16">
        <v>798200</v>
      </c>
      <c r="B509" s="16" t="s">
        <v>159</v>
      </c>
      <c r="C509" s="17">
        <v>1</v>
      </c>
      <c r="D509" s="17" t="s">
        <v>151</v>
      </c>
    </row>
    <row r="510" spans="1:92" s="18" customFormat="1" ht="12.75" x14ac:dyDescent="0.2">
      <c r="A510" s="16">
        <v>918140</v>
      </c>
      <c r="B510" s="16" t="s">
        <v>160</v>
      </c>
      <c r="C510" s="17">
        <v>100</v>
      </c>
      <c r="D510" s="17" t="s">
        <v>151</v>
      </c>
    </row>
    <row r="511" spans="1:92" s="9" customFormat="1" x14ac:dyDescent="0.2">
      <c r="A511" s="11">
        <v>438200</v>
      </c>
      <c r="B511" s="12" t="s">
        <v>161</v>
      </c>
      <c r="C511" s="13">
        <v>5</v>
      </c>
      <c r="D511" s="13" t="s">
        <v>150</v>
      </c>
    </row>
    <row r="512" spans="1:92" s="9" customFormat="1" x14ac:dyDescent="0.2">
      <c r="A512" s="11"/>
      <c r="B512" s="12" t="s">
        <v>223</v>
      </c>
      <c r="C512" s="17">
        <v>1</v>
      </c>
      <c r="D512" s="17" t="s">
        <v>226</v>
      </c>
      <c r="E512" s="9">
        <v>3000</v>
      </c>
    </row>
    <row r="513" spans="1:4" x14ac:dyDescent="0.2">
      <c r="A513" s="5" t="s">
        <v>191</v>
      </c>
      <c r="B513" s="5" t="s">
        <v>55</v>
      </c>
    </row>
    <row r="514" spans="1:4" s="17" customFormat="1" ht="15" customHeight="1" x14ac:dyDescent="0.2">
      <c r="A514" s="16">
        <v>218260</v>
      </c>
      <c r="B514" s="12" t="s">
        <v>154</v>
      </c>
      <c r="C514" s="17">
        <v>700</v>
      </c>
      <c r="D514" s="17" t="s">
        <v>150</v>
      </c>
    </row>
    <row r="515" spans="1:4" s="17" customFormat="1" ht="12.75" x14ac:dyDescent="0.2">
      <c r="A515" s="16">
        <v>218290</v>
      </c>
      <c r="B515" s="12" t="s">
        <v>162</v>
      </c>
      <c r="C515" s="17">
        <v>800</v>
      </c>
      <c r="D515" s="17" t="s">
        <v>150</v>
      </c>
    </row>
    <row r="516" spans="1:4" s="17" customFormat="1" ht="12.75" x14ac:dyDescent="0.2">
      <c r="A516" s="16">
        <v>218370</v>
      </c>
      <c r="B516" s="12" t="s">
        <v>163</v>
      </c>
      <c r="C516" s="17">
        <v>150</v>
      </c>
      <c r="D516" s="17" t="s">
        <v>150</v>
      </c>
    </row>
    <row r="517" spans="1:4" s="17" customFormat="1" ht="12.75" x14ac:dyDescent="0.2">
      <c r="A517" s="16">
        <v>218340</v>
      </c>
      <c r="B517" s="12" t="s">
        <v>164</v>
      </c>
      <c r="C517" s="17">
        <v>150</v>
      </c>
      <c r="D517" s="17" t="s">
        <v>150</v>
      </c>
    </row>
    <row r="518" spans="1:4" s="17" customFormat="1" ht="12.75" x14ac:dyDescent="0.2">
      <c r="A518" s="16">
        <v>218190</v>
      </c>
      <c r="B518" s="12" t="s">
        <v>148</v>
      </c>
      <c r="C518" s="17">
        <v>300</v>
      </c>
      <c r="D518" s="17" t="s">
        <v>150</v>
      </c>
    </row>
    <row r="519" spans="1:4" s="17" customFormat="1" ht="12.75" x14ac:dyDescent="0.2">
      <c r="A519" s="16">
        <v>218300</v>
      </c>
      <c r="B519" s="12" t="s">
        <v>165</v>
      </c>
      <c r="C519" s="17">
        <v>50</v>
      </c>
      <c r="D519" s="17" t="s">
        <v>150</v>
      </c>
    </row>
    <row r="520" spans="1:4" s="17" customFormat="1" ht="12.75" x14ac:dyDescent="0.2">
      <c r="A520" s="16">
        <v>368110</v>
      </c>
      <c r="B520" s="12" t="s">
        <v>166</v>
      </c>
      <c r="C520" s="17">
        <v>800</v>
      </c>
      <c r="D520" s="17" t="s">
        <v>150</v>
      </c>
    </row>
    <row r="521" spans="1:4" s="17" customFormat="1" ht="12.75" x14ac:dyDescent="0.2">
      <c r="A521" s="16">
        <v>368120</v>
      </c>
      <c r="B521" s="12" t="s">
        <v>167</v>
      </c>
      <c r="C521" s="17">
        <v>800</v>
      </c>
      <c r="D521" s="17" t="s">
        <v>150</v>
      </c>
    </row>
    <row r="522" spans="1:4" s="17" customFormat="1" ht="12.75" x14ac:dyDescent="0.2">
      <c r="A522" s="16">
        <v>368130</v>
      </c>
      <c r="B522" s="12" t="s">
        <v>168</v>
      </c>
      <c r="C522" s="17">
        <v>800</v>
      </c>
      <c r="D522" s="17" t="s">
        <v>150</v>
      </c>
    </row>
    <row r="523" spans="1:4" s="17" customFormat="1" ht="12.75" x14ac:dyDescent="0.2">
      <c r="A523" s="16">
        <v>368140</v>
      </c>
      <c r="B523" s="12" t="s">
        <v>169</v>
      </c>
      <c r="C523" s="17">
        <v>800</v>
      </c>
      <c r="D523" s="17" t="s">
        <v>150</v>
      </c>
    </row>
    <row r="524" spans="1:4" s="17" customFormat="1" ht="12.75" x14ac:dyDescent="0.2">
      <c r="A524" s="16">
        <v>368150</v>
      </c>
      <c r="B524" s="12" t="s">
        <v>170</v>
      </c>
      <c r="C524" s="17">
        <v>800</v>
      </c>
      <c r="D524" s="17" t="s">
        <v>150</v>
      </c>
    </row>
    <row r="525" spans="1:4" s="17" customFormat="1" ht="12.75" x14ac:dyDescent="0.2">
      <c r="A525" s="16">
        <v>368160</v>
      </c>
      <c r="B525" s="12" t="s">
        <v>171</v>
      </c>
      <c r="C525" s="17">
        <v>700</v>
      </c>
      <c r="D525" s="17" t="s">
        <v>150</v>
      </c>
    </row>
    <row r="526" spans="1:4" s="17" customFormat="1" ht="12.75" x14ac:dyDescent="0.2">
      <c r="A526" s="16">
        <v>368170</v>
      </c>
      <c r="B526" s="12" t="s">
        <v>172</v>
      </c>
      <c r="C526" s="17">
        <v>700</v>
      </c>
      <c r="D526" s="17" t="s">
        <v>150</v>
      </c>
    </row>
    <row r="527" spans="1:4" s="17" customFormat="1" ht="12.75" x14ac:dyDescent="0.2">
      <c r="A527" s="16">
        <v>368180</v>
      </c>
      <c r="B527" s="12" t="s">
        <v>173</v>
      </c>
      <c r="C527" s="17">
        <v>700</v>
      </c>
      <c r="D527" s="17" t="s">
        <v>150</v>
      </c>
    </row>
    <row r="528" spans="1:4" s="17" customFormat="1" ht="12.75" x14ac:dyDescent="0.2">
      <c r="A528" s="16">
        <v>378120</v>
      </c>
      <c r="B528" s="12" t="s">
        <v>174</v>
      </c>
      <c r="C528" s="17">
        <v>200</v>
      </c>
      <c r="D528" s="17" t="s">
        <v>150</v>
      </c>
    </row>
    <row r="529" spans="1:92" s="17" customFormat="1" ht="12.75" x14ac:dyDescent="0.2">
      <c r="A529" s="16">
        <v>228350</v>
      </c>
      <c r="B529" s="12" t="s">
        <v>157</v>
      </c>
      <c r="C529" s="17">
        <v>60</v>
      </c>
      <c r="D529" s="17" t="s">
        <v>151</v>
      </c>
    </row>
    <row r="530" spans="1:92" s="17" customFormat="1" ht="12.75" x14ac:dyDescent="0.2">
      <c r="A530" s="16">
        <v>228370</v>
      </c>
      <c r="B530" s="12" t="s">
        <v>158</v>
      </c>
      <c r="C530" s="17">
        <v>30</v>
      </c>
      <c r="D530" s="17" t="s">
        <v>151</v>
      </c>
    </row>
    <row r="531" spans="1:92" s="17" customFormat="1" ht="12.75" x14ac:dyDescent="0.2">
      <c r="A531" s="16">
        <v>918180</v>
      </c>
      <c r="B531" s="12" t="s">
        <v>149</v>
      </c>
      <c r="C531" s="17">
        <v>4</v>
      </c>
      <c r="D531" s="17" t="s">
        <v>152</v>
      </c>
    </row>
    <row r="532" spans="1:92" s="17" customFormat="1" ht="12.75" x14ac:dyDescent="0.2">
      <c r="A532" s="16">
        <v>918190</v>
      </c>
      <c r="B532" s="16" t="s">
        <v>175</v>
      </c>
      <c r="C532" s="17">
        <v>4</v>
      </c>
      <c r="D532" s="17" t="s">
        <v>152</v>
      </c>
    </row>
    <row r="533" spans="1:92" s="17" customFormat="1" ht="12.75" x14ac:dyDescent="0.2">
      <c r="A533" s="16">
        <v>228130</v>
      </c>
      <c r="B533" s="17" t="s">
        <v>147</v>
      </c>
      <c r="C533" s="17">
        <v>10</v>
      </c>
      <c r="D533" s="17" t="s">
        <v>153</v>
      </c>
    </row>
    <row r="534" spans="1:92" s="17" customFormat="1" ht="12.75" x14ac:dyDescent="0.2">
      <c r="A534" s="16">
        <v>228140</v>
      </c>
      <c r="B534" s="12" t="s">
        <v>176</v>
      </c>
      <c r="C534" s="17">
        <v>25</v>
      </c>
      <c r="D534" s="17" t="s">
        <v>153</v>
      </c>
    </row>
    <row r="535" spans="1:92" s="17" customFormat="1" ht="13.5" customHeight="1" x14ac:dyDescent="0.2">
      <c r="A535" s="16">
        <v>438200</v>
      </c>
      <c r="B535" s="12" t="s">
        <v>161</v>
      </c>
      <c r="C535" s="17">
        <v>10</v>
      </c>
      <c r="D535" s="17" t="s">
        <v>151</v>
      </c>
    </row>
    <row r="536" spans="1:92" s="17" customFormat="1" ht="13.5" customHeight="1" x14ac:dyDescent="0.2">
      <c r="A536" s="19">
        <v>708580</v>
      </c>
      <c r="B536" s="20" t="s">
        <v>216</v>
      </c>
      <c r="C536" s="17">
        <v>1</v>
      </c>
      <c r="D536" s="17" t="s">
        <v>153</v>
      </c>
    </row>
    <row r="537" spans="1:92" s="17" customFormat="1" ht="13.5" customHeight="1" x14ac:dyDescent="0.2">
      <c r="A537" s="11">
        <v>109999</v>
      </c>
      <c r="B537" s="11" t="s">
        <v>223</v>
      </c>
      <c r="C537" s="17">
        <v>1</v>
      </c>
      <c r="D537" s="17" t="s">
        <v>151</v>
      </c>
      <c r="E537" s="17">
        <v>12000</v>
      </c>
    </row>
    <row r="538" spans="1:92" x14ac:dyDescent="0.2">
      <c r="A538" s="5" t="s">
        <v>72</v>
      </c>
      <c r="B538" s="5" t="s">
        <v>56</v>
      </c>
      <c r="C538">
        <v>1</v>
      </c>
      <c r="E538">
        <v>0</v>
      </c>
      <c r="G538">
        <v>0</v>
      </c>
      <c r="I538">
        <v>3</v>
      </c>
      <c r="J538" t="s">
        <v>1</v>
      </c>
      <c r="L538">
        <v>0</v>
      </c>
      <c r="O538" t="str">
        <f>"טיוטא"</f>
        <v>טיוטא</v>
      </c>
      <c r="P538" t="str">
        <f>"אופיר"</f>
        <v>אופיר</v>
      </c>
      <c r="R538">
        <v>0</v>
      </c>
      <c r="X538" t="str">
        <f>"ש""ח"</f>
        <v>ש"ח</v>
      </c>
      <c r="Y538">
        <v>0</v>
      </c>
      <c r="Z538" t="str">
        <f>"ש""ח"</f>
        <v>ש"ח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 t="str">
        <f t="shared" si="49"/>
        <v>ש"ח</v>
      </c>
      <c r="AH538">
        <v>0</v>
      </c>
      <c r="AI538">
        <v>0</v>
      </c>
      <c r="AJ538" t="str">
        <f t="shared" ref="AJ538:AJ643" si="53">"ידני"</f>
        <v>ידני</v>
      </c>
      <c r="AK538">
        <v>1</v>
      </c>
      <c r="AQ538">
        <v>0</v>
      </c>
      <c r="AW538" t="str">
        <f t="shared" si="50"/>
        <v>אופיר</v>
      </c>
      <c r="AX538" t="s">
        <v>8</v>
      </c>
      <c r="AY538">
        <v>40</v>
      </c>
      <c r="AZ538">
        <v>0</v>
      </c>
      <c r="BA538">
        <v>0</v>
      </c>
      <c r="BB538">
        <v>0</v>
      </c>
      <c r="BJ538">
        <v>0</v>
      </c>
      <c r="BK538">
        <v>0</v>
      </c>
      <c r="BN538">
        <v>0</v>
      </c>
      <c r="BO538">
        <v>0</v>
      </c>
      <c r="BV538">
        <v>0</v>
      </c>
      <c r="BW538">
        <v>0</v>
      </c>
      <c r="BX538">
        <v>0</v>
      </c>
      <c r="CA538">
        <v>1</v>
      </c>
      <c r="CB538">
        <v>0</v>
      </c>
      <c r="CC538">
        <v>0</v>
      </c>
      <c r="CD538">
        <v>0</v>
      </c>
      <c r="CE538">
        <v>0</v>
      </c>
      <c r="CM538">
        <v>0</v>
      </c>
      <c r="CN538">
        <v>0</v>
      </c>
    </row>
    <row r="539" spans="1:92" x14ac:dyDescent="0.2">
      <c r="A539" s="19" t="str">
        <f>"150011290"</f>
        <v>150011290</v>
      </c>
      <c r="B539" s="19" t="str">
        <f>"נורת ניאון אדומה 220"</f>
        <v>נורת ניאון אדומה 220</v>
      </c>
      <c r="C539" s="17">
        <v>8</v>
      </c>
      <c r="D539" s="17" t="s">
        <v>151</v>
      </c>
    </row>
    <row r="540" spans="1:92" x14ac:dyDescent="0.2">
      <c r="A540" s="19" t="str">
        <f>"150020002"</f>
        <v>150020002</v>
      </c>
      <c r="B540" s="19" t="str">
        <f>"שקע כח ישראלי NEVE-"</f>
        <v>שקע כח ישראלי NEVE-</v>
      </c>
      <c r="C540" s="17">
        <v>77</v>
      </c>
      <c r="D540" s="17" t="s">
        <v>151</v>
      </c>
    </row>
    <row r="541" spans="1:92" x14ac:dyDescent="0.2">
      <c r="A541" s="19" t="str">
        <f>"150020004"</f>
        <v>150020004</v>
      </c>
      <c r="B541" s="19" t="str">
        <f>"שקע טלפון NEVE-"</f>
        <v>שקע טלפון NEVE-</v>
      </c>
      <c r="C541" s="17">
        <v>14</v>
      </c>
      <c r="D541" s="17" t="s">
        <v>151</v>
      </c>
    </row>
    <row r="542" spans="1:92" x14ac:dyDescent="0.2">
      <c r="A542" s="19" t="str">
        <f>"150020014"</f>
        <v>150020014</v>
      </c>
      <c r="B542" s="19" t="str">
        <f>"דמי NEVE-"</f>
        <v>דמי NEVE-</v>
      </c>
      <c r="C542" s="17">
        <v>22</v>
      </c>
      <c r="D542" s="17" t="s">
        <v>151</v>
      </c>
    </row>
    <row r="543" spans="1:92" x14ac:dyDescent="0.2">
      <c r="A543" s="19" t="str">
        <f>"150020023"</f>
        <v>150020023</v>
      </c>
      <c r="B543" s="19" t="str">
        <f>"לחצן מואר NEVE-"</f>
        <v>לחצן מואר NEVE-</v>
      </c>
      <c r="C543" s="17">
        <v>4</v>
      </c>
      <c r="D543" s="17" t="s">
        <v>151</v>
      </c>
    </row>
    <row r="544" spans="1:92" x14ac:dyDescent="0.2">
      <c r="A544" s="19" t="str">
        <f>"150020024"</f>
        <v>150020024</v>
      </c>
      <c r="B544" s="19" t="str">
        <f>"לחצן רחב 2 .NEVE-"</f>
        <v>לחצן רחב 2 .NEVE-</v>
      </c>
      <c r="C544" s="17">
        <v>2</v>
      </c>
      <c r="D544" s="17" t="s">
        <v>151</v>
      </c>
    </row>
    <row r="545" spans="1:4" x14ac:dyDescent="0.2">
      <c r="A545" s="19" t="str">
        <f>"150020029"</f>
        <v>150020029</v>
      </c>
      <c r="B545" s="19" t="str">
        <f>"מסגרת 1 מודול NEVE-"</f>
        <v>מסגרת 1 מודול NEVE-</v>
      </c>
      <c r="C545" s="17">
        <v>33</v>
      </c>
      <c r="D545" s="17" t="s">
        <v>151</v>
      </c>
    </row>
    <row r="546" spans="1:4" x14ac:dyDescent="0.2">
      <c r="A546" s="19" t="str">
        <f>"150020036"</f>
        <v>150020036</v>
      </c>
      <c r="B546" s="19" t="str">
        <f>"מסגרת 2 מודול NEVE-"</f>
        <v>מסגרת 2 מודול NEVE-</v>
      </c>
      <c r="C546" s="17">
        <v>22</v>
      </c>
      <c r="D546" s="17" t="s">
        <v>151</v>
      </c>
    </row>
    <row r="547" spans="1:4" x14ac:dyDescent="0.2">
      <c r="A547" s="19" t="str">
        <f>"150020041"</f>
        <v>150020041</v>
      </c>
      <c r="B547" s="19" t="str">
        <f>"מסגרת 3 מודול NEVE-"</f>
        <v>מסגרת 3 מודול NEVE-</v>
      </c>
      <c r="C547" s="17">
        <v>13</v>
      </c>
      <c r="D547" s="17" t="s">
        <v>151</v>
      </c>
    </row>
    <row r="548" spans="1:4" x14ac:dyDescent="0.2">
      <c r="A548" s="19" t="str">
        <f>"150020045"</f>
        <v>150020045</v>
      </c>
      <c r="B548" s="19" t="str">
        <f>"מסגרת 4 מודול NEVE-"</f>
        <v>מסגרת 4 מודול NEVE-</v>
      </c>
      <c r="C548" s="17">
        <v>28</v>
      </c>
      <c r="D548" s="17" t="s">
        <v>151</v>
      </c>
    </row>
    <row r="549" spans="1:4" x14ac:dyDescent="0.2">
      <c r="A549" s="19" t="str">
        <f>"150020059"</f>
        <v>150020059</v>
      </c>
      <c r="B549" s="19" t="str">
        <f>"מפסק יחיד NEVE-"</f>
        <v>מפסק יחיד NEVE-</v>
      </c>
      <c r="C549" s="17">
        <v>30</v>
      </c>
      <c r="D549" s="17" t="s">
        <v>151</v>
      </c>
    </row>
    <row r="550" spans="1:4" x14ac:dyDescent="0.2">
      <c r="A550" s="19" t="str">
        <f>"150020061"</f>
        <v>150020061</v>
      </c>
      <c r="B550" s="19" t="str">
        <f>"מפסק חיולף NEVE-"</f>
        <v>מפסק חיולף NEVE-</v>
      </c>
      <c r="C550" s="17">
        <v>25</v>
      </c>
      <c r="D550" s="17" t="s">
        <v>151</v>
      </c>
    </row>
    <row r="551" spans="1:4" x14ac:dyDescent="0.2">
      <c r="A551" s="19" t="str">
        <f>"150020063"</f>
        <v>150020063</v>
      </c>
      <c r="B551" s="19" t="str">
        <f>"מפסק צלב NEVE-"</f>
        <v>מפסק צלב NEVE-</v>
      </c>
      <c r="C551" s="17">
        <v>3</v>
      </c>
      <c r="D551" s="17" t="s">
        <v>151</v>
      </c>
    </row>
    <row r="552" spans="1:4" x14ac:dyDescent="0.2">
      <c r="A552" s="19" t="str">
        <f>"150020068"</f>
        <v>150020068</v>
      </c>
      <c r="B552" s="19" t="str">
        <f>"מתאם 2 מודול NEVE-"</f>
        <v>מתאם 2 מודול NEVE-</v>
      </c>
      <c r="C552" s="17">
        <v>22</v>
      </c>
      <c r="D552" s="17" t="s">
        <v>151</v>
      </c>
    </row>
    <row r="553" spans="1:4" x14ac:dyDescent="0.2">
      <c r="A553" s="19" t="str">
        <f>"150020069"</f>
        <v>150020069</v>
      </c>
      <c r="B553" s="19" t="str">
        <f>"מתאם 3 מודול NEVE-"</f>
        <v>מתאם 3 מודול NEVE-</v>
      </c>
      <c r="C553" s="17">
        <v>46</v>
      </c>
      <c r="D553" s="17" t="s">
        <v>151</v>
      </c>
    </row>
    <row r="554" spans="1:4" x14ac:dyDescent="0.2">
      <c r="A554" s="19" t="str">
        <f>"150020070"</f>
        <v>150020070</v>
      </c>
      <c r="B554" s="19" t="str">
        <f>"מתאם 4 מודול NEVE-"</f>
        <v>מתאם 4 מודול NEVE-</v>
      </c>
      <c r="C554" s="17">
        <v>28</v>
      </c>
      <c r="D554" s="17" t="s">
        <v>151</v>
      </c>
    </row>
    <row r="555" spans="1:4" x14ac:dyDescent="0.2">
      <c r="A555" s="19" t="str">
        <f>"150020090"</f>
        <v>150020090</v>
      </c>
      <c r="B555" s="19" t="str">
        <f>"מפסק דוד NEVE-"</f>
        <v>מפסק דוד NEVE-</v>
      </c>
      <c r="C555" s="17">
        <v>4</v>
      </c>
      <c r="D555" s="17" t="s">
        <v>151</v>
      </c>
    </row>
    <row r="556" spans="1:4" x14ac:dyDescent="0.2">
      <c r="A556" s="19">
        <v>938140</v>
      </c>
      <c r="B556" s="21" t="s">
        <v>217</v>
      </c>
      <c r="C556" s="17">
        <v>10</v>
      </c>
      <c r="D556" s="17" t="s">
        <v>151</v>
      </c>
    </row>
    <row r="557" spans="1:4" x14ac:dyDescent="0.2">
      <c r="A557" s="19">
        <v>938150</v>
      </c>
      <c r="B557" s="21" t="s">
        <v>218</v>
      </c>
      <c r="C557" s="17">
        <v>1</v>
      </c>
      <c r="D557" s="17" t="s">
        <v>152</v>
      </c>
    </row>
    <row r="558" spans="1:4" x14ac:dyDescent="0.2">
      <c r="A558" s="19">
        <v>708370</v>
      </c>
      <c r="B558" s="21" t="s">
        <v>219</v>
      </c>
      <c r="C558" s="17">
        <v>2</v>
      </c>
      <c r="D558" s="17" t="s">
        <v>153</v>
      </c>
    </row>
    <row r="559" spans="1:4" x14ac:dyDescent="0.2">
      <c r="A559" s="19">
        <v>378160</v>
      </c>
      <c r="B559" s="21" t="s">
        <v>220</v>
      </c>
      <c r="C559" s="17">
        <v>200</v>
      </c>
      <c r="D559" s="17" t="s">
        <v>150</v>
      </c>
    </row>
    <row r="560" spans="1:4" x14ac:dyDescent="0.2">
      <c r="A560" s="19">
        <v>708470</v>
      </c>
      <c r="B560" s="21" t="s">
        <v>221</v>
      </c>
      <c r="C560" s="17">
        <v>6</v>
      </c>
      <c r="D560" s="17" t="s">
        <v>153</v>
      </c>
    </row>
    <row r="561" spans="1:92" x14ac:dyDescent="0.2">
      <c r="A561" s="19">
        <v>628160</v>
      </c>
      <c r="B561" s="21" t="s">
        <v>222</v>
      </c>
      <c r="C561" s="17">
        <v>50</v>
      </c>
      <c r="D561" s="17" t="s">
        <v>151</v>
      </c>
    </row>
    <row r="562" spans="1:92" x14ac:dyDescent="0.2">
      <c r="A562" s="11">
        <v>109999</v>
      </c>
      <c r="B562" s="11" t="s">
        <v>223</v>
      </c>
      <c r="C562" s="17">
        <v>1</v>
      </c>
      <c r="D562" s="17" t="s">
        <v>151</v>
      </c>
      <c r="E562" s="17">
        <v>8000</v>
      </c>
    </row>
    <row r="563" spans="1:92" x14ac:dyDescent="0.2">
      <c r="A563" s="11">
        <v>640000</v>
      </c>
      <c r="B563" s="22" t="s">
        <v>224</v>
      </c>
      <c r="C563">
        <v>1</v>
      </c>
      <c r="D563" t="s">
        <v>151</v>
      </c>
      <c r="E563">
        <v>6800</v>
      </c>
    </row>
    <row r="564" spans="1:92" x14ac:dyDescent="0.2">
      <c r="A564" s="11">
        <v>999999</v>
      </c>
      <c r="B564" s="22" t="s">
        <v>225</v>
      </c>
      <c r="C564">
        <v>1</v>
      </c>
      <c r="D564" t="s">
        <v>226</v>
      </c>
      <c r="E564">
        <v>1800</v>
      </c>
    </row>
    <row r="565" spans="1:92" x14ac:dyDescent="0.2">
      <c r="A565" s="5" t="s">
        <v>73</v>
      </c>
      <c r="B565" s="5" t="s">
        <v>57</v>
      </c>
      <c r="C565">
        <v>1</v>
      </c>
      <c r="E565">
        <v>0</v>
      </c>
      <c r="G565">
        <v>0</v>
      </c>
      <c r="I565">
        <v>3</v>
      </c>
      <c r="J565" t="s">
        <v>19</v>
      </c>
      <c r="L565">
        <v>10</v>
      </c>
      <c r="O565" t="str">
        <f t="shared" si="42"/>
        <v>טיוטא</v>
      </c>
      <c r="P565" t="str">
        <f t="shared" si="43"/>
        <v>אופיר</v>
      </c>
      <c r="R565">
        <v>10</v>
      </c>
      <c r="X565" t="str">
        <f t="shared" si="44"/>
        <v>ש"ח</v>
      </c>
      <c r="Y565">
        <v>0</v>
      </c>
      <c r="Z565" t="str">
        <f t="shared" si="45"/>
        <v>ש"ח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 t="str">
        <f t="shared" si="49"/>
        <v>ש"ח</v>
      </c>
      <c r="AH565">
        <v>0</v>
      </c>
      <c r="AI565">
        <v>0</v>
      </c>
      <c r="AJ565" t="str">
        <f t="shared" si="53"/>
        <v>ידני</v>
      </c>
      <c r="AK565">
        <v>1</v>
      </c>
      <c r="AQ565">
        <v>0</v>
      </c>
      <c r="AW565" t="str">
        <f t="shared" si="50"/>
        <v>אופיר</v>
      </c>
      <c r="AX565" t="s">
        <v>5</v>
      </c>
      <c r="AY565">
        <v>23</v>
      </c>
      <c r="AZ565">
        <v>0</v>
      </c>
      <c r="BA565">
        <v>0</v>
      </c>
      <c r="BB565">
        <v>0</v>
      </c>
      <c r="BJ565">
        <v>0</v>
      </c>
      <c r="BK565">
        <v>0</v>
      </c>
      <c r="BN565">
        <v>0</v>
      </c>
      <c r="BO565">
        <v>0</v>
      </c>
      <c r="BV565">
        <v>0</v>
      </c>
      <c r="BW565">
        <v>0</v>
      </c>
      <c r="BX565">
        <v>0</v>
      </c>
      <c r="CA565">
        <v>1</v>
      </c>
      <c r="CB565">
        <v>0</v>
      </c>
      <c r="CC565">
        <v>0</v>
      </c>
      <c r="CD565">
        <v>0</v>
      </c>
      <c r="CE565">
        <v>0</v>
      </c>
      <c r="CM565">
        <v>0</v>
      </c>
      <c r="CN565">
        <v>0</v>
      </c>
    </row>
    <row r="566" spans="1:92" ht="15" x14ac:dyDescent="0.2">
      <c r="A566" s="6">
        <v>10.11</v>
      </c>
      <c r="B566" s="6" t="s">
        <v>74</v>
      </c>
      <c r="C566">
        <v>1</v>
      </c>
      <c r="E566">
        <v>0</v>
      </c>
      <c r="G566">
        <v>100</v>
      </c>
      <c r="I566">
        <v>2</v>
      </c>
      <c r="J566" t="s">
        <v>1</v>
      </c>
      <c r="L566">
        <v>0</v>
      </c>
      <c r="N566" t="s">
        <v>10</v>
      </c>
      <c r="O566" t="str">
        <f>"טיוטא"</f>
        <v>טיוטא</v>
      </c>
      <c r="P566" t="str">
        <f>"אופיר"</f>
        <v>אופיר</v>
      </c>
      <c r="R566">
        <v>0</v>
      </c>
      <c r="X566" t="str">
        <f>"ש""ח"</f>
        <v>ש"ח</v>
      </c>
      <c r="Y566">
        <v>0</v>
      </c>
      <c r="Z566" t="str">
        <f>"ש""ח"</f>
        <v>ש"ח</v>
      </c>
      <c r="AA566">
        <v>0</v>
      </c>
      <c r="AB566">
        <v>6840</v>
      </c>
      <c r="AC566">
        <v>6840</v>
      </c>
      <c r="AD566">
        <v>0</v>
      </c>
      <c r="AE566">
        <v>6840</v>
      </c>
      <c r="AF566">
        <v>6840</v>
      </c>
      <c r="AG566" t="str">
        <f t="shared" si="49"/>
        <v>ש"ח</v>
      </c>
      <c r="AH566">
        <v>0</v>
      </c>
      <c r="AI566">
        <v>0</v>
      </c>
      <c r="AJ566" t="str">
        <f t="shared" si="53"/>
        <v>ידני</v>
      </c>
      <c r="AK566">
        <v>1</v>
      </c>
      <c r="AQ566">
        <v>0</v>
      </c>
      <c r="AW566" t="str">
        <f t="shared" si="50"/>
        <v>אופיר</v>
      </c>
      <c r="AX566" t="s">
        <v>9</v>
      </c>
      <c r="AY566">
        <v>38</v>
      </c>
      <c r="AZ566">
        <v>0</v>
      </c>
      <c r="BA566">
        <v>0</v>
      </c>
      <c r="BB566">
        <v>0</v>
      </c>
      <c r="BJ566">
        <v>0</v>
      </c>
      <c r="BK566">
        <v>0</v>
      </c>
      <c r="BN566">
        <v>0</v>
      </c>
      <c r="BO566">
        <v>6840</v>
      </c>
      <c r="BV566">
        <v>0</v>
      </c>
      <c r="BW566">
        <v>0</v>
      </c>
      <c r="BX566">
        <v>0</v>
      </c>
      <c r="CA566">
        <v>1</v>
      </c>
      <c r="CB566">
        <v>0</v>
      </c>
      <c r="CC566">
        <v>0</v>
      </c>
      <c r="CD566">
        <v>0</v>
      </c>
      <c r="CE566">
        <v>0</v>
      </c>
      <c r="CM566">
        <v>0</v>
      </c>
      <c r="CN566">
        <v>0</v>
      </c>
    </row>
    <row r="567" spans="1:92" x14ac:dyDescent="0.2">
      <c r="A567" s="5" t="s">
        <v>75</v>
      </c>
      <c r="B567" s="5" t="s">
        <v>54</v>
      </c>
      <c r="C567">
        <v>1</v>
      </c>
      <c r="E567">
        <v>0</v>
      </c>
      <c r="G567">
        <v>0</v>
      </c>
      <c r="I567">
        <v>3</v>
      </c>
      <c r="J567" t="s">
        <v>1</v>
      </c>
      <c r="L567">
        <v>0</v>
      </c>
      <c r="O567" t="str">
        <f>"טיוטא"</f>
        <v>טיוטא</v>
      </c>
      <c r="P567" t="str">
        <f>"אופיר"</f>
        <v>אופיר</v>
      </c>
      <c r="R567">
        <v>0</v>
      </c>
      <c r="X567" t="str">
        <f>"ש""ח"</f>
        <v>ש"ח</v>
      </c>
      <c r="Y567">
        <v>0</v>
      </c>
      <c r="Z567" t="str">
        <f>"ש""ח"</f>
        <v>ש"ח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 t="str">
        <f t="shared" si="49"/>
        <v>ש"ח</v>
      </c>
      <c r="AH567">
        <v>0</v>
      </c>
      <c r="AI567">
        <v>0</v>
      </c>
      <c r="AJ567" t="str">
        <f t="shared" si="53"/>
        <v>ידני</v>
      </c>
      <c r="AK567">
        <v>1</v>
      </c>
      <c r="AQ567">
        <v>0</v>
      </c>
      <c r="AW567" t="str">
        <f t="shared" si="50"/>
        <v>אופיר</v>
      </c>
      <c r="AX567" t="s">
        <v>9</v>
      </c>
      <c r="AY567">
        <v>39</v>
      </c>
      <c r="AZ567">
        <v>0</v>
      </c>
      <c r="BA567">
        <v>0</v>
      </c>
      <c r="BB567">
        <v>0</v>
      </c>
      <c r="BJ567">
        <v>0</v>
      </c>
      <c r="BK567">
        <v>0</v>
      </c>
      <c r="BN567">
        <v>0</v>
      </c>
      <c r="BO567">
        <v>0</v>
      </c>
      <c r="BV567">
        <v>0</v>
      </c>
      <c r="BW567">
        <v>0</v>
      </c>
      <c r="BX567">
        <v>0</v>
      </c>
      <c r="CA567">
        <v>1</v>
      </c>
      <c r="CB567">
        <v>0</v>
      </c>
      <c r="CC567">
        <v>0</v>
      </c>
      <c r="CD567">
        <v>0</v>
      </c>
      <c r="CE567">
        <v>0</v>
      </c>
      <c r="CM567">
        <v>0</v>
      </c>
      <c r="CN567">
        <v>0</v>
      </c>
    </row>
    <row r="568" spans="1:92" s="18" customFormat="1" ht="15" customHeight="1" x14ac:dyDescent="0.2">
      <c r="A568" s="16">
        <v>218260</v>
      </c>
      <c r="B568" s="12" t="s">
        <v>154</v>
      </c>
      <c r="C568" s="17">
        <v>500</v>
      </c>
      <c r="D568" s="17" t="s">
        <v>150</v>
      </c>
      <c r="Y568" s="18">
        <f>C568*E568</f>
        <v>0</v>
      </c>
    </row>
    <row r="569" spans="1:92" s="18" customFormat="1" ht="12.75" x14ac:dyDescent="0.2">
      <c r="A569" s="16">
        <v>218270</v>
      </c>
      <c r="B569" s="12" t="s">
        <v>155</v>
      </c>
      <c r="C569" s="17">
        <v>100</v>
      </c>
      <c r="D569" s="17" t="s">
        <v>150</v>
      </c>
      <c r="Y569" s="18">
        <f>C569*E569</f>
        <v>0</v>
      </c>
    </row>
    <row r="570" spans="1:92" s="18" customFormat="1" ht="12.75" x14ac:dyDescent="0.2">
      <c r="A570" s="16">
        <v>218140</v>
      </c>
      <c r="B570" s="17" t="s">
        <v>156</v>
      </c>
      <c r="C570" s="17">
        <v>50</v>
      </c>
      <c r="D570" s="17" t="s">
        <v>150</v>
      </c>
      <c r="Y570" s="18">
        <f>C570*E570</f>
        <v>0</v>
      </c>
    </row>
    <row r="571" spans="1:92" s="18" customFormat="1" ht="12.75" x14ac:dyDescent="0.2">
      <c r="A571" s="16">
        <v>228130</v>
      </c>
      <c r="B571" s="17" t="s">
        <v>147</v>
      </c>
      <c r="C571" s="17">
        <v>10</v>
      </c>
      <c r="D571" s="17" t="s">
        <v>151</v>
      </c>
    </row>
    <row r="572" spans="1:92" s="18" customFormat="1" ht="12.75" x14ac:dyDescent="0.2">
      <c r="A572" s="16">
        <v>228350</v>
      </c>
      <c r="B572" s="12" t="s">
        <v>157</v>
      </c>
      <c r="C572" s="17">
        <v>25</v>
      </c>
      <c r="D572" s="17" t="s">
        <v>151</v>
      </c>
    </row>
    <row r="573" spans="1:92" s="18" customFormat="1" ht="12.75" x14ac:dyDescent="0.2">
      <c r="A573" s="16">
        <v>228370</v>
      </c>
      <c r="B573" s="12" t="s">
        <v>158</v>
      </c>
      <c r="C573" s="17">
        <v>30</v>
      </c>
      <c r="D573" s="17" t="s">
        <v>151</v>
      </c>
    </row>
    <row r="574" spans="1:92" s="18" customFormat="1" ht="12.75" x14ac:dyDescent="0.2">
      <c r="A574" s="16">
        <v>798200</v>
      </c>
      <c r="B574" s="16" t="s">
        <v>159</v>
      </c>
      <c r="C574" s="17">
        <v>1</v>
      </c>
      <c r="D574" s="17" t="s">
        <v>151</v>
      </c>
    </row>
    <row r="575" spans="1:92" s="18" customFormat="1" ht="12.75" x14ac:dyDescent="0.2">
      <c r="A575" s="16">
        <v>918140</v>
      </c>
      <c r="B575" s="16" t="s">
        <v>160</v>
      </c>
      <c r="C575" s="17">
        <v>100</v>
      </c>
      <c r="D575" s="17" t="s">
        <v>151</v>
      </c>
    </row>
    <row r="576" spans="1:92" s="9" customFormat="1" x14ac:dyDescent="0.2">
      <c r="A576" s="11">
        <v>438200</v>
      </c>
      <c r="B576" s="12" t="s">
        <v>161</v>
      </c>
      <c r="C576" s="13">
        <v>5</v>
      </c>
      <c r="D576" s="13" t="s">
        <v>150</v>
      </c>
    </row>
    <row r="577" spans="1:92" s="9" customFormat="1" x14ac:dyDescent="0.2">
      <c r="A577" s="11"/>
      <c r="B577" s="12" t="s">
        <v>223</v>
      </c>
      <c r="C577" s="17">
        <v>1</v>
      </c>
      <c r="D577" s="17" t="s">
        <v>226</v>
      </c>
      <c r="E577" s="9">
        <v>3000</v>
      </c>
    </row>
    <row r="578" spans="1:92" x14ac:dyDescent="0.2">
      <c r="A578" s="5" t="s">
        <v>76</v>
      </c>
      <c r="B578" s="5" t="s">
        <v>55</v>
      </c>
      <c r="C578">
        <v>1</v>
      </c>
      <c r="E578">
        <v>0</v>
      </c>
      <c r="G578">
        <v>0</v>
      </c>
      <c r="I578">
        <v>3</v>
      </c>
      <c r="J578" t="s">
        <v>1</v>
      </c>
      <c r="L578">
        <v>0</v>
      </c>
      <c r="O578" t="str">
        <f>"טיוטא"</f>
        <v>טיוטא</v>
      </c>
      <c r="P578" t="str">
        <f>"אופיר"</f>
        <v>אופיר</v>
      </c>
      <c r="R578">
        <v>0</v>
      </c>
      <c r="X578" t="str">
        <f>"ש""ח"</f>
        <v>ש"ח</v>
      </c>
      <c r="Y578">
        <v>0</v>
      </c>
      <c r="Z578" t="str">
        <f>"ש""ח"</f>
        <v>ש"ח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 t="str">
        <f t="shared" si="49"/>
        <v>ש"ח</v>
      </c>
      <c r="AH578">
        <v>0</v>
      </c>
      <c r="AI578">
        <v>0</v>
      </c>
      <c r="AJ578" t="str">
        <f t="shared" si="53"/>
        <v>ידני</v>
      </c>
      <c r="AK578">
        <v>1</v>
      </c>
      <c r="AQ578">
        <v>0</v>
      </c>
      <c r="AW578" t="str">
        <f t="shared" si="50"/>
        <v>אופיר</v>
      </c>
      <c r="AX578" t="s">
        <v>8</v>
      </c>
      <c r="AY578">
        <v>40</v>
      </c>
      <c r="AZ578">
        <v>0</v>
      </c>
      <c r="BA578">
        <v>0</v>
      </c>
      <c r="BB578">
        <v>0</v>
      </c>
      <c r="BJ578">
        <v>0</v>
      </c>
      <c r="BK578">
        <v>0</v>
      </c>
      <c r="BN578">
        <v>0</v>
      </c>
      <c r="BO578">
        <v>0</v>
      </c>
      <c r="BV578">
        <v>0</v>
      </c>
      <c r="BW578">
        <v>0</v>
      </c>
      <c r="BX578">
        <v>0</v>
      </c>
      <c r="CA578">
        <v>1</v>
      </c>
      <c r="CB578">
        <v>0</v>
      </c>
      <c r="CC578">
        <v>0</v>
      </c>
      <c r="CD578">
        <v>0</v>
      </c>
      <c r="CE578">
        <v>0</v>
      </c>
      <c r="CM578">
        <v>0</v>
      </c>
      <c r="CN578">
        <v>0</v>
      </c>
    </row>
    <row r="579" spans="1:92" s="17" customFormat="1" ht="15" customHeight="1" x14ac:dyDescent="0.2">
      <c r="A579" s="16">
        <v>218260</v>
      </c>
      <c r="B579" s="12" t="s">
        <v>154</v>
      </c>
      <c r="C579" s="17">
        <v>700</v>
      </c>
      <c r="D579" s="17" t="s">
        <v>150</v>
      </c>
    </row>
    <row r="580" spans="1:92" s="17" customFormat="1" ht="12.75" x14ac:dyDescent="0.2">
      <c r="A580" s="16">
        <v>218290</v>
      </c>
      <c r="B580" s="12" t="s">
        <v>162</v>
      </c>
      <c r="C580" s="17">
        <v>800</v>
      </c>
      <c r="D580" s="17" t="s">
        <v>150</v>
      </c>
    </row>
    <row r="581" spans="1:92" s="17" customFormat="1" ht="12.75" x14ac:dyDescent="0.2">
      <c r="A581" s="16">
        <v>218370</v>
      </c>
      <c r="B581" s="12" t="s">
        <v>163</v>
      </c>
      <c r="C581" s="17">
        <v>150</v>
      </c>
      <c r="D581" s="17" t="s">
        <v>150</v>
      </c>
    </row>
    <row r="582" spans="1:92" s="17" customFormat="1" ht="12.75" x14ac:dyDescent="0.2">
      <c r="A582" s="16">
        <v>218340</v>
      </c>
      <c r="B582" s="12" t="s">
        <v>164</v>
      </c>
      <c r="C582" s="17">
        <v>150</v>
      </c>
      <c r="D582" s="17" t="s">
        <v>150</v>
      </c>
    </row>
    <row r="583" spans="1:92" s="17" customFormat="1" ht="12.75" x14ac:dyDescent="0.2">
      <c r="A583" s="16">
        <v>218190</v>
      </c>
      <c r="B583" s="12" t="s">
        <v>148</v>
      </c>
      <c r="C583" s="17">
        <v>300</v>
      </c>
      <c r="D583" s="17" t="s">
        <v>150</v>
      </c>
    </row>
    <row r="584" spans="1:92" s="17" customFormat="1" ht="12.75" x14ac:dyDescent="0.2">
      <c r="A584" s="16">
        <v>218300</v>
      </c>
      <c r="B584" s="12" t="s">
        <v>165</v>
      </c>
      <c r="C584" s="17">
        <v>50</v>
      </c>
      <c r="D584" s="17" t="s">
        <v>150</v>
      </c>
    </row>
    <row r="585" spans="1:92" s="17" customFormat="1" ht="12.75" x14ac:dyDescent="0.2">
      <c r="A585" s="16">
        <v>368110</v>
      </c>
      <c r="B585" s="12" t="s">
        <v>166</v>
      </c>
      <c r="C585" s="17">
        <v>800</v>
      </c>
      <c r="D585" s="17" t="s">
        <v>150</v>
      </c>
    </row>
    <row r="586" spans="1:92" s="17" customFormat="1" ht="12.75" x14ac:dyDescent="0.2">
      <c r="A586" s="16">
        <v>368120</v>
      </c>
      <c r="B586" s="12" t="s">
        <v>167</v>
      </c>
      <c r="C586" s="17">
        <v>800</v>
      </c>
      <c r="D586" s="17" t="s">
        <v>150</v>
      </c>
    </row>
    <row r="587" spans="1:92" s="17" customFormat="1" ht="12.75" x14ac:dyDescent="0.2">
      <c r="A587" s="16">
        <v>368130</v>
      </c>
      <c r="B587" s="12" t="s">
        <v>168</v>
      </c>
      <c r="C587" s="17">
        <v>800</v>
      </c>
      <c r="D587" s="17" t="s">
        <v>150</v>
      </c>
    </row>
    <row r="588" spans="1:92" s="17" customFormat="1" ht="12.75" x14ac:dyDescent="0.2">
      <c r="A588" s="16">
        <v>368140</v>
      </c>
      <c r="B588" s="12" t="s">
        <v>169</v>
      </c>
      <c r="C588" s="17">
        <v>800</v>
      </c>
      <c r="D588" s="17" t="s">
        <v>150</v>
      </c>
    </row>
    <row r="589" spans="1:92" s="17" customFormat="1" ht="12.75" x14ac:dyDescent="0.2">
      <c r="A589" s="16">
        <v>368150</v>
      </c>
      <c r="B589" s="12" t="s">
        <v>170</v>
      </c>
      <c r="C589" s="17">
        <v>800</v>
      </c>
      <c r="D589" s="17" t="s">
        <v>150</v>
      </c>
    </row>
    <row r="590" spans="1:92" s="17" customFormat="1" ht="12.75" x14ac:dyDescent="0.2">
      <c r="A590" s="16">
        <v>368160</v>
      </c>
      <c r="B590" s="12" t="s">
        <v>171</v>
      </c>
      <c r="C590" s="17">
        <v>700</v>
      </c>
      <c r="D590" s="17" t="s">
        <v>150</v>
      </c>
    </row>
    <row r="591" spans="1:92" s="17" customFormat="1" ht="12.75" x14ac:dyDescent="0.2">
      <c r="A591" s="16">
        <v>368170</v>
      </c>
      <c r="B591" s="12" t="s">
        <v>172</v>
      </c>
      <c r="C591" s="17">
        <v>700</v>
      </c>
      <c r="D591" s="17" t="s">
        <v>150</v>
      </c>
    </row>
    <row r="592" spans="1:92" s="17" customFormat="1" ht="12.75" x14ac:dyDescent="0.2">
      <c r="A592" s="16">
        <v>368180</v>
      </c>
      <c r="B592" s="12" t="s">
        <v>173</v>
      </c>
      <c r="C592" s="17">
        <v>700</v>
      </c>
      <c r="D592" s="17" t="s">
        <v>150</v>
      </c>
    </row>
    <row r="593" spans="1:92" s="17" customFormat="1" ht="12.75" x14ac:dyDescent="0.2">
      <c r="A593" s="16">
        <v>378120</v>
      </c>
      <c r="B593" s="12" t="s">
        <v>174</v>
      </c>
      <c r="C593" s="17">
        <v>200</v>
      </c>
      <c r="D593" s="17" t="s">
        <v>150</v>
      </c>
    </row>
    <row r="594" spans="1:92" s="17" customFormat="1" ht="12.75" x14ac:dyDescent="0.2">
      <c r="A594" s="16">
        <v>228350</v>
      </c>
      <c r="B594" s="12" t="s">
        <v>157</v>
      </c>
      <c r="C594" s="17">
        <v>60</v>
      </c>
      <c r="D594" s="17" t="s">
        <v>151</v>
      </c>
    </row>
    <row r="595" spans="1:92" s="17" customFormat="1" ht="12.75" x14ac:dyDescent="0.2">
      <c r="A595" s="16">
        <v>228370</v>
      </c>
      <c r="B595" s="12" t="s">
        <v>158</v>
      </c>
      <c r="C595" s="17">
        <v>30</v>
      </c>
      <c r="D595" s="17" t="s">
        <v>151</v>
      </c>
    </row>
    <row r="596" spans="1:92" s="17" customFormat="1" ht="12.75" x14ac:dyDescent="0.2">
      <c r="A596" s="16">
        <v>918180</v>
      </c>
      <c r="B596" s="12" t="s">
        <v>149</v>
      </c>
      <c r="C596" s="17">
        <v>4</v>
      </c>
      <c r="D596" s="17" t="s">
        <v>152</v>
      </c>
    </row>
    <row r="597" spans="1:92" s="17" customFormat="1" ht="12.75" x14ac:dyDescent="0.2">
      <c r="A597" s="16">
        <v>918190</v>
      </c>
      <c r="B597" s="16" t="s">
        <v>175</v>
      </c>
      <c r="C597" s="17">
        <v>4</v>
      </c>
      <c r="D597" s="17" t="s">
        <v>152</v>
      </c>
    </row>
    <row r="598" spans="1:92" s="17" customFormat="1" ht="12.75" x14ac:dyDescent="0.2">
      <c r="A598" s="16">
        <v>228130</v>
      </c>
      <c r="B598" s="17" t="s">
        <v>147</v>
      </c>
      <c r="C598" s="17">
        <v>10</v>
      </c>
      <c r="D598" s="17" t="s">
        <v>153</v>
      </c>
    </row>
    <row r="599" spans="1:92" s="17" customFormat="1" ht="12.75" x14ac:dyDescent="0.2">
      <c r="A599" s="16">
        <v>228140</v>
      </c>
      <c r="B599" s="12" t="s">
        <v>176</v>
      </c>
      <c r="C599" s="17">
        <v>25</v>
      </c>
      <c r="D599" s="17" t="s">
        <v>153</v>
      </c>
    </row>
    <row r="600" spans="1:92" s="17" customFormat="1" ht="13.5" customHeight="1" x14ac:dyDescent="0.2">
      <c r="A600" s="16">
        <v>438200</v>
      </c>
      <c r="B600" s="12" t="s">
        <v>161</v>
      </c>
      <c r="C600" s="17">
        <v>10</v>
      </c>
      <c r="D600" s="17" t="s">
        <v>151</v>
      </c>
    </row>
    <row r="601" spans="1:92" s="17" customFormat="1" ht="13.5" customHeight="1" x14ac:dyDescent="0.2">
      <c r="A601" s="19">
        <v>708580</v>
      </c>
      <c r="B601" s="20" t="s">
        <v>216</v>
      </c>
      <c r="C601" s="17">
        <v>1</v>
      </c>
      <c r="D601" s="17" t="s">
        <v>153</v>
      </c>
    </row>
    <row r="602" spans="1:92" s="17" customFormat="1" ht="13.5" customHeight="1" x14ac:dyDescent="0.2">
      <c r="A602" s="11">
        <v>109999</v>
      </c>
      <c r="B602" s="11" t="s">
        <v>223</v>
      </c>
      <c r="C602" s="17">
        <v>1</v>
      </c>
      <c r="D602" s="17" t="s">
        <v>151</v>
      </c>
      <c r="E602" s="17">
        <v>12000</v>
      </c>
    </row>
    <row r="603" spans="1:92" x14ac:dyDescent="0.2">
      <c r="A603" s="5" t="s">
        <v>77</v>
      </c>
      <c r="B603" s="5" t="s">
        <v>56</v>
      </c>
      <c r="C603">
        <v>1</v>
      </c>
      <c r="E603">
        <v>0</v>
      </c>
      <c r="G603">
        <v>0</v>
      </c>
      <c r="I603">
        <v>3</v>
      </c>
      <c r="J603" t="s">
        <v>1</v>
      </c>
      <c r="L603">
        <v>0</v>
      </c>
      <c r="O603" t="str">
        <f>"טיוטא"</f>
        <v>טיוטא</v>
      </c>
      <c r="P603" t="str">
        <f>"אופיר"</f>
        <v>אופיר</v>
      </c>
      <c r="R603">
        <v>0</v>
      </c>
      <c r="X603" t="str">
        <f>"ש""ח"</f>
        <v>ש"ח</v>
      </c>
      <c r="Y603">
        <v>0</v>
      </c>
      <c r="Z603" t="str">
        <f>"ש""ח"</f>
        <v>ש"ח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 t="str">
        <f t="shared" si="49"/>
        <v>ש"ח</v>
      </c>
      <c r="AH603">
        <v>0</v>
      </c>
      <c r="AI603">
        <v>0</v>
      </c>
      <c r="AJ603" t="str">
        <f t="shared" si="53"/>
        <v>ידני</v>
      </c>
      <c r="AK603">
        <v>1</v>
      </c>
      <c r="AQ603">
        <v>0</v>
      </c>
      <c r="AW603" t="str">
        <f t="shared" si="50"/>
        <v>אופיר</v>
      </c>
      <c r="AX603" t="s">
        <v>8</v>
      </c>
      <c r="AY603">
        <v>40</v>
      </c>
      <c r="AZ603">
        <v>0</v>
      </c>
      <c r="BA603">
        <v>0</v>
      </c>
      <c r="BB603">
        <v>0</v>
      </c>
      <c r="BJ603">
        <v>0</v>
      </c>
      <c r="BK603">
        <v>0</v>
      </c>
      <c r="BN603">
        <v>0</v>
      </c>
      <c r="BO603">
        <v>0</v>
      </c>
      <c r="BV603">
        <v>0</v>
      </c>
      <c r="BW603">
        <v>0</v>
      </c>
      <c r="BX603">
        <v>0</v>
      </c>
      <c r="CA603">
        <v>1</v>
      </c>
      <c r="CB603">
        <v>0</v>
      </c>
      <c r="CC603">
        <v>0</v>
      </c>
      <c r="CD603">
        <v>0</v>
      </c>
      <c r="CE603">
        <v>0</v>
      </c>
      <c r="CM603">
        <v>0</v>
      </c>
      <c r="CN603">
        <v>0</v>
      </c>
    </row>
    <row r="604" spans="1:92" x14ac:dyDescent="0.2">
      <c r="A604" s="19" t="str">
        <f>"150011290"</f>
        <v>150011290</v>
      </c>
      <c r="B604" s="19" t="str">
        <f>"נורת ניאון אדומה 220"</f>
        <v>נורת ניאון אדומה 220</v>
      </c>
      <c r="C604" s="17">
        <v>8</v>
      </c>
      <c r="D604" s="17" t="s">
        <v>151</v>
      </c>
    </row>
    <row r="605" spans="1:92" x14ac:dyDescent="0.2">
      <c r="A605" s="19" t="str">
        <f>"150020002"</f>
        <v>150020002</v>
      </c>
      <c r="B605" s="19" t="str">
        <f>"שקע כח ישראלי NEVE-"</f>
        <v>שקע כח ישראלי NEVE-</v>
      </c>
      <c r="C605" s="17">
        <v>77</v>
      </c>
      <c r="D605" s="17" t="s">
        <v>151</v>
      </c>
    </row>
    <row r="606" spans="1:92" x14ac:dyDescent="0.2">
      <c r="A606" s="19" t="str">
        <f>"150020004"</f>
        <v>150020004</v>
      </c>
      <c r="B606" s="19" t="str">
        <f>"שקע טלפון NEVE-"</f>
        <v>שקע טלפון NEVE-</v>
      </c>
      <c r="C606" s="17">
        <v>14</v>
      </c>
      <c r="D606" s="17" t="s">
        <v>151</v>
      </c>
    </row>
    <row r="607" spans="1:92" x14ac:dyDescent="0.2">
      <c r="A607" s="19" t="str">
        <f>"150020014"</f>
        <v>150020014</v>
      </c>
      <c r="B607" s="19" t="str">
        <f>"דמי NEVE-"</f>
        <v>דמי NEVE-</v>
      </c>
      <c r="C607" s="17">
        <v>22</v>
      </c>
      <c r="D607" s="17" t="s">
        <v>151</v>
      </c>
    </row>
    <row r="608" spans="1:92" x14ac:dyDescent="0.2">
      <c r="A608" s="19" t="str">
        <f>"150020023"</f>
        <v>150020023</v>
      </c>
      <c r="B608" s="19" t="str">
        <f>"לחצן מואר NEVE-"</f>
        <v>לחצן מואר NEVE-</v>
      </c>
      <c r="C608" s="17">
        <v>4</v>
      </c>
      <c r="D608" s="17" t="s">
        <v>151</v>
      </c>
    </row>
    <row r="609" spans="1:4" x14ac:dyDescent="0.2">
      <c r="A609" s="19" t="str">
        <f>"150020024"</f>
        <v>150020024</v>
      </c>
      <c r="B609" s="19" t="str">
        <f>"לחצן רחב 2 .NEVE-"</f>
        <v>לחצן רחב 2 .NEVE-</v>
      </c>
      <c r="C609" s="17">
        <v>2</v>
      </c>
      <c r="D609" s="17" t="s">
        <v>151</v>
      </c>
    </row>
    <row r="610" spans="1:4" x14ac:dyDescent="0.2">
      <c r="A610" s="19" t="str">
        <f>"150020029"</f>
        <v>150020029</v>
      </c>
      <c r="B610" s="19" t="str">
        <f>"מסגרת 1 מודול NEVE-"</f>
        <v>מסגרת 1 מודול NEVE-</v>
      </c>
      <c r="C610" s="17">
        <v>33</v>
      </c>
      <c r="D610" s="17" t="s">
        <v>151</v>
      </c>
    </row>
    <row r="611" spans="1:4" x14ac:dyDescent="0.2">
      <c r="A611" s="19" t="str">
        <f>"150020036"</f>
        <v>150020036</v>
      </c>
      <c r="B611" s="19" t="str">
        <f>"מסגרת 2 מודול NEVE-"</f>
        <v>מסגרת 2 מודול NEVE-</v>
      </c>
      <c r="C611" s="17">
        <v>22</v>
      </c>
      <c r="D611" s="17" t="s">
        <v>151</v>
      </c>
    </row>
    <row r="612" spans="1:4" x14ac:dyDescent="0.2">
      <c r="A612" s="19" t="str">
        <f>"150020041"</f>
        <v>150020041</v>
      </c>
      <c r="B612" s="19" t="str">
        <f>"מסגרת 3 מודול NEVE-"</f>
        <v>מסגרת 3 מודול NEVE-</v>
      </c>
      <c r="C612" s="17">
        <v>13</v>
      </c>
      <c r="D612" s="17" t="s">
        <v>151</v>
      </c>
    </row>
    <row r="613" spans="1:4" x14ac:dyDescent="0.2">
      <c r="A613" s="19" t="str">
        <f>"150020045"</f>
        <v>150020045</v>
      </c>
      <c r="B613" s="19" t="str">
        <f>"מסגרת 4 מודול NEVE-"</f>
        <v>מסגרת 4 מודול NEVE-</v>
      </c>
      <c r="C613" s="17">
        <v>28</v>
      </c>
      <c r="D613" s="17" t="s">
        <v>151</v>
      </c>
    </row>
    <row r="614" spans="1:4" x14ac:dyDescent="0.2">
      <c r="A614" s="19" t="str">
        <f>"150020059"</f>
        <v>150020059</v>
      </c>
      <c r="B614" s="19" t="str">
        <f>"מפסק יחיד NEVE-"</f>
        <v>מפסק יחיד NEVE-</v>
      </c>
      <c r="C614" s="17">
        <v>30</v>
      </c>
      <c r="D614" s="17" t="s">
        <v>151</v>
      </c>
    </row>
    <row r="615" spans="1:4" x14ac:dyDescent="0.2">
      <c r="A615" s="19" t="str">
        <f>"150020061"</f>
        <v>150020061</v>
      </c>
      <c r="B615" s="19" t="str">
        <f>"מפסק חיולף NEVE-"</f>
        <v>מפסק חיולף NEVE-</v>
      </c>
      <c r="C615" s="17">
        <v>25</v>
      </c>
      <c r="D615" s="17" t="s">
        <v>151</v>
      </c>
    </row>
    <row r="616" spans="1:4" x14ac:dyDescent="0.2">
      <c r="A616" s="19" t="str">
        <f>"150020063"</f>
        <v>150020063</v>
      </c>
      <c r="B616" s="19" t="str">
        <f>"מפסק צלב NEVE-"</f>
        <v>מפסק צלב NEVE-</v>
      </c>
      <c r="C616" s="17">
        <v>3</v>
      </c>
      <c r="D616" s="17" t="s">
        <v>151</v>
      </c>
    </row>
    <row r="617" spans="1:4" x14ac:dyDescent="0.2">
      <c r="A617" s="19" t="str">
        <f>"150020068"</f>
        <v>150020068</v>
      </c>
      <c r="B617" s="19" t="str">
        <f>"מתאם 2 מודול NEVE-"</f>
        <v>מתאם 2 מודול NEVE-</v>
      </c>
      <c r="C617" s="17">
        <v>22</v>
      </c>
      <c r="D617" s="17" t="s">
        <v>151</v>
      </c>
    </row>
    <row r="618" spans="1:4" x14ac:dyDescent="0.2">
      <c r="A618" s="19" t="str">
        <f>"150020069"</f>
        <v>150020069</v>
      </c>
      <c r="B618" s="19" t="str">
        <f>"מתאם 3 מודול NEVE-"</f>
        <v>מתאם 3 מודול NEVE-</v>
      </c>
      <c r="C618" s="17">
        <v>46</v>
      </c>
      <c r="D618" s="17" t="s">
        <v>151</v>
      </c>
    </row>
    <row r="619" spans="1:4" x14ac:dyDescent="0.2">
      <c r="A619" s="19" t="str">
        <f>"150020070"</f>
        <v>150020070</v>
      </c>
      <c r="B619" s="19" t="str">
        <f>"מתאם 4 מודול NEVE-"</f>
        <v>מתאם 4 מודול NEVE-</v>
      </c>
      <c r="C619" s="17">
        <v>28</v>
      </c>
      <c r="D619" s="17" t="s">
        <v>151</v>
      </c>
    </row>
    <row r="620" spans="1:4" x14ac:dyDescent="0.2">
      <c r="A620" s="19" t="str">
        <f>"150020090"</f>
        <v>150020090</v>
      </c>
      <c r="B620" s="19" t="str">
        <f>"מפסק דוד NEVE-"</f>
        <v>מפסק דוד NEVE-</v>
      </c>
      <c r="C620" s="17">
        <v>4</v>
      </c>
      <c r="D620" s="17" t="s">
        <v>151</v>
      </c>
    </row>
    <row r="621" spans="1:4" x14ac:dyDescent="0.2">
      <c r="A621" s="19">
        <v>938140</v>
      </c>
      <c r="B621" s="21" t="s">
        <v>217</v>
      </c>
      <c r="C621" s="17">
        <v>10</v>
      </c>
      <c r="D621" s="17" t="s">
        <v>151</v>
      </c>
    </row>
    <row r="622" spans="1:4" x14ac:dyDescent="0.2">
      <c r="A622" s="19">
        <v>938150</v>
      </c>
      <c r="B622" s="21" t="s">
        <v>218</v>
      </c>
      <c r="C622" s="17">
        <v>1</v>
      </c>
      <c r="D622" s="17" t="s">
        <v>152</v>
      </c>
    </row>
    <row r="623" spans="1:4" x14ac:dyDescent="0.2">
      <c r="A623" s="19">
        <v>708370</v>
      </c>
      <c r="B623" s="21" t="s">
        <v>219</v>
      </c>
      <c r="C623" s="17">
        <v>2</v>
      </c>
      <c r="D623" s="17" t="s">
        <v>153</v>
      </c>
    </row>
    <row r="624" spans="1:4" x14ac:dyDescent="0.2">
      <c r="A624" s="19">
        <v>378160</v>
      </c>
      <c r="B624" s="21" t="s">
        <v>220</v>
      </c>
      <c r="C624" s="17">
        <v>200</v>
      </c>
      <c r="D624" s="17" t="s">
        <v>150</v>
      </c>
    </row>
    <row r="625" spans="1:92" x14ac:dyDescent="0.2">
      <c r="A625" s="19">
        <v>708470</v>
      </c>
      <c r="B625" s="21" t="s">
        <v>221</v>
      </c>
      <c r="C625" s="17">
        <v>6</v>
      </c>
      <c r="D625" s="17" t="s">
        <v>153</v>
      </c>
    </row>
    <row r="626" spans="1:92" x14ac:dyDescent="0.2">
      <c r="A626" s="19">
        <v>628160</v>
      </c>
      <c r="B626" s="21" t="s">
        <v>222</v>
      </c>
      <c r="C626" s="17">
        <v>50</v>
      </c>
      <c r="D626" s="17" t="s">
        <v>151</v>
      </c>
    </row>
    <row r="627" spans="1:92" x14ac:dyDescent="0.2">
      <c r="A627" s="11">
        <v>109999</v>
      </c>
      <c r="B627" s="11" t="s">
        <v>223</v>
      </c>
      <c r="C627" s="17">
        <v>1</v>
      </c>
      <c r="D627" s="17" t="s">
        <v>151</v>
      </c>
      <c r="E627" s="17">
        <v>8000</v>
      </c>
    </row>
    <row r="628" spans="1:92" x14ac:dyDescent="0.2">
      <c r="A628" s="11">
        <v>640000</v>
      </c>
      <c r="B628" s="22" t="s">
        <v>224</v>
      </c>
      <c r="C628">
        <v>1</v>
      </c>
      <c r="D628" t="s">
        <v>151</v>
      </c>
      <c r="E628">
        <v>6800</v>
      </c>
    </row>
    <row r="629" spans="1:92" x14ac:dyDescent="0.2">
      <c r="A629" s="11">
        <v>999999</v>
      </c>
      <c r="B629" s="22" t="s">
        <v>225</v>
      </c>
      <c r="C629">
        <v>1</v>
      </c>
      <c r="D629" t="s">
        <v>226</v>
      </c>
      <c r="E629">
        <v>1800</v>
      </c>
    </row>
    <row r="630" spans="1:92" x14ac:dyDescent="0.2">
      <c r="A630" s="5" t="s">
        <v>78</v>
      </c>
      <c r="B630" s="5" t="s">
        <v>57</v>
      </c>
      <c r="C630">
        <v>1</v>
      </c>
      <c r="E630">
        <v>0</v>
      </c>
      <c r="G630">
        <v>0</v>
      </c>
      <c r="I630">
        <v>3</v>
      </c>
      <c r="J630" t="s">
        <v>20</v>
      </c>
      <c r="L630">
        <v>11</v>
      </c>
      <c r="O630" t="str">
        <f t="shared" si="42"/>
        <v>טיוטא</v>
      </c>
      <c r="P630" t="str">
        <f t="shared" si="43"/>
        <v>אופיר</v>
      </c>
      <c r="R630">
        <v>11</v>
      </c>
      <c r="X630" t="str">
        <f t="shared" si="44"/>
        <v>ש"ח</v>
      </c>
      <c r="Y630">
        <v>0</v>
      </c>
      <c r="Z630" t="str">
        <f t="shared" si="45"/>
        <v>ש"ח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 t="str">
        <f t="shared" si="49"/>
        <v>ש"ח</v>
      </c>
      <c r="AH630">
        <v>0</v>
      </c>
      <c r="AI630">
        <v>0</v>
      </c>
      <c r="AJ630" t="str">
        <f t="shared" si="53"/>
        <v>ידני</v>
      </c>
      <c r="AK630">
        <v>1</v>
      </c>
      <c r="AQ630">
        <v>0</v>
      </c>
      <c r="AW630" t="str">
        <f t="shared" si="50"/>
        <v>אופיר</v>
      </c>
      <c r="AX630" t="s">
        <v>5</v>
      </c>
      <c r="AY630">
        <v>24</v>
      </c>
      <c r="AZ630">
        <v>0</v>
      </c>
      <c r="BA630">
        <v>0</v>
      </c>
      <c r="BB630">
        <v>0</v>
      </c>
      <c r="BJ630">
        <v>0</v>
      </c>
      <c r="BK630">
        <v>0</v>
      </c>
      <c r="BN630">
        <v>0</v>
      </c>
      <c r="BO630">
        <v>0</v>
      </c>
      <c r="BV630">
        <v>0</v>
      </c>
      <c r="BW630">
        <v>0</v>
      </c>
      <c r="BX630">
        <v>0</v>
      </c>
      <c r="CA630">
        <v>1</v>
      </c>
      <c r="CB630">
        <v>0</v>
      </c>
      <c r="CC630">
        <v>0</v>
      </c>
      <c r="CD630">
        <v>0</v>
      </c>
      <c r="CE630">
        <v>0</v>
      </c>
      <c r="CM630">
        <v>0</v>
      </c>
      <c r="CN630">
        <v>0</v>
      </c>
    </row>
    <row r="631" spans="1:92" ht="15" x14ac:dyDescent="0.2">
      <c r="A631" s="6">
        <v>10.119999999999999</v>
      </c>
      <c r="B631" s="6" t="s">
        <v>79</v>
      </c>
      <c r="C631">
        <v>1</v>
      </c>
      <c r="E631">
        <v>0</v>
      </c>
      <c r="G631">
        <v>100</v>
      </c>
      <c r="I631">
        <v>2</v>
      </c>
      <c r="J631" t="s">
        <v>21</v>
      </c>
      <c r="L631">
        <v>12</v>
      </c>
      <c r="O631" t="str">
        <f t="shared" si="42"/>
        <v>טיוטא</v>
      </c>
      <c r="P631" t="str">
        <f t="shared" si="43"/>
        <v>אופיר</v>
      </c>
      <c r="R631">
        <v>12</v>
      </c>
      <c r="X631" t="str">
        <f t="shared" si="44"/>
        <v>ש"ח</v>
      </c>
      <c r="Y631">
        <v>0</v>
      </c>
      <c r="Z631" t="str">
        <f t="shared" si="45"/>
        <v>ש"ח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 t="str">
        <f t="shared" si="49"/>
        <v>ש"ח</v>
      </c>
      <c r="AH631">
        <v>0</v>
      </c>
      <c r="AI631">
        <v>0</v>
      </c>
      <c r="AJ631" t="str">
        <f t="shared" si="53"/>
        <v>ידני</v>
      </c>
      <c r="AK631">
        <v>1</v>
      </c>
      <c r="AQ631">
        <v>0</v>
      </c>
      <c r="AW631" t="str">
        <f t="shared" si="50"/>
        <v>אופיר</v>
      </c>
      <c r="AX631" t="s">
        <v>5</v>
      </c>
      <c r="AY631">
        <v>25</v>
      </c>
      <c r="AZ631">
        <v>0</v>
      </c>
      <c r="BA631">
        <v>0</v>
      </c>
      <c r="BB631">
        <v>0</v>
      </c>
      <c r="BJ631">
        <v>0</v>
      </c>
      <c r="BK631">
        <v>0</v>
      </c>
      <c r="BN631">
        <v>0</v>
      </c>
      <c r="BO631">
        <v>0</v>
      </c>
      <c r="BV631">
        <v>0</v>
      </c>
      <c r="BW631">
        <v>0</v>
      </c>
      <c r="BX631">
        <v>0</v>
      </c>
      <c r="CA631">
        <v>1</v>
      </c>
      <c r="CB631">
        <v>0</v>
      </c>
      <c r="CC631">
        <v>0</v>
      </c>
      <c r="CD631">
        <v>0</v>
      </c>
      <c r="CE631">
        <v>0</v>
      </c>
      <c r="CM631">
        <v>0</v>
      </c>
      <c r="CN631">
        <v>0</v>
      </c>
    </row>
    <row r="632" spans="1:92" x14ac:dyDescent="0.2">
      <c r="A632" s="5" t="s">
        <v>80</v>
      </c>
      <c r="B632" s="5" t="s">
        <v>54</v>
      </c>
      <c r="C632">
        <v>1</v>
      </c>
      <c r="E632">
        <v>0</v>
      </c>
      <c r="G632">
        <v>0</v>
      </c>
      <c r="I632">
        <v>3</v>
      </c>
      <c r="J632" t="s">
        <v>22</v>
      </c>
      <c r="L632">
        <v>13</v>
      </c>
      <c r="O632" t="str">
        <f t="shared" si="42"/>
        <v>טיוטא</v>
      </c>
      <c r="P632" t="str">
        <f t="shared" si="43"/>
        <v>אופיר</v>
      </c>
      <c r="R632">
        <v>13</v>
      </c>
      <c r="X632" t="str">
        <f t="shared" si="44"/>
        <v>ש"ח</v>
      </c>
      <c r="Y632">
        <v>0</v>
      </c>
      <c r="Z632" t="str">
        <f t="shared" si="45"/>
        <v>ש"ח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 t="str">
        <f t="shared" si="49"/>
        <v>ש"ח</v>
      </c>
      <c r="AH632">
        <v>0</v>
      </c>
      <c r="AI632">
        <v>0</v>
      </c>
      <c r="AJ632" t="str">
        <f t="shared" si="53"/>
        <v>ידני</v>
      </c>
      <c r="AK632">
        <v>1</v>
      </c>
      <c r="AQ632">
        <v>0</v>
      </c>
      <c r="AW632" t="str">
        <f t="shared" si="50"/>
        <v>אופיר</v>
      </c>
      <c r="AX632" t="s">
        <v>5</v>
      </c>
      <c r="AY632">
        <v>26</v>
      </c>
      <c r="AZ632">
        <v>0</v>
      </c>
      <c r="BA632">
        <v>0</v>
      </c>
      <c r="BB632">
        <v>0</v>
      </c>
      <c r="BJ632">
        <v>0</v>
      </c>
      <c r="BK632">
        <v>0</v>
      </c>
      <c r="BN632">
        <v>0</v>
      </c>
      <c r="BO632">
        <v>0</v>
      </c>
      <c r="BV632">
        <v>0</v>
      </c>
      <c r="BW632">
        <v>0</v>
      </c>
      <c r="BX632">
        <v>0</v>
      </c>
      <c r="CA632">
        <v>1</v>
      </c>
      <c r="CB632">
        <v>0</v>
      </c>
      <c r="CC632">
        <v>0</v>
      </c>
      <c r="CD632">
        <v>0</v>
      </c>
      <c r="CE632">
        <v>0</v>
      </c>
      <c r="CM632">
        <v>0</v>
      </c>
      <c r="CN632">
        <v>0</v>
      </c>
    </row>
    <row r="633" spans="1:92" s="18" customFormat="1" ht="15" customHeight="1" x14ac:dyDescent="0.2">
      <c r="A633" s="16">
        <v>218260</v>
      </c>
      <c r="B633" s="12" t="s">
        <v>154</v>
      </c>
      <c r="C633" s="17">
        <v>500</v>
      </c>
      <c r="D633" s="17" t="s">
        <v>150</v>
      </c>
      <c r="Y633" s="18">
        <f>C633*E633</f>
        <v>0</v>
      </c>
    </row>
    <row r="634" spans="1:92" s="18" customFormat="1" ht="12.75" x14ac:dyDescent="0.2">
      <c r="A634" s="16">
        <v>218270</v>
      </c>
      <c r="B634" s="12" t="s">
        <v>155</v>
      </c>
      <c r="C634" s="17">
        <v>100</v>
      </c>
      <c r="D634" s="17" t="s">
        <v>150</v>
      </c>
      <c r="Y634" s="18">
        <f>C634*E634</f>
        <v>0</v>
      </c>
    </row>
    <row r="635" spans="1:92" s="18" customFormat="1" ht="12.75" x14ac:dyDescent="0.2">
      <c r="A635" s="16">
        <v>218140</v>
      </c>
      <c r="B635" s="17" t="s">
        <v>156</v>
      </c>
      <c r="C635" s="17">
        <v>50</v>
      </c>
      <c r="D635" s="17" t="s">
        <v>150</v>
      </c>
      <c r="Y635" s="18">
        <f>C635*E635</f>
        <v>0</v>
      </c>
    </row>
    <row r="636" spans="1:92" s="18" customFormat="1" ht="12.75" x14ac:dyDescent="0.2">
      <c r="A636" s="16">
        <v>228130</v>
      </c>
      <c r="B636" s="17" t="s">
        <v>147</v>
      </c>
      <c r="C636" s="17">
        <v>10</v>
      </c>
      <c r="D636" s="17" t="s">
        <v>151</v>
      </c>
    </row>
    <row r="637" spans="1:92" s="18" customFormat="1" ht="12.75" x14ac:dyDescent="0.2">
      <c r="A637" s="16">
        <v>228350</v>
      </c>
      <c r="B637" s="12" t="s">
        <v>157</v>
      </c>
      <c r="C637" s="17">
        <v>25</v>
      </c>
      <c r="D637" s="17" t="s">
        <v>151</v>
      </c>
    </row>
    <row r="638" spans="1:92" s="18" customFormat="1" ht="12.75" x14ac:dyDescent="0.2">
      <c r="A638" s="16">
        <v>228370</v>
      </c>
      <c r="B638" s="12" t="s">
        <v>158</v>
      </c>
      <c r="C638" s="17">
        <v>30</v>
      </c>
      <c r="D638" s="17" t="s">
        <v>151</v>
      </c>
    </row>
    <row r="639" spans="1:92" s="18" customFormat="1" ht="12.75" x14ac:dyDescent="0.2">
      <c r="A639" s="16">
        <v>798200</v>
      </c>
      <c r="B639" s="16" t="s">
        <v>159</v>
      </c>
      <c r="C639" s="17">
        <v>1</v>
      </c>
      <c r="D639" s="17" t="s">
        <v>151</v>
      </c>
    </row>
    <row r="640" spans="1:92" s="18" customFormat="1" ht="12.75" x14ac:dyDescent="0.2">
      <c r="A640" s="16">
        <v>918140</v>
      </c>
      <c r="B640" s="16" t="s">
        <v>160</v>
      </c>
      <c r="C640" s="17">
        <v>100</v>
      </c>
      <c r="D640" s="17" t="s">
        <v>151</v>
      </c>
    </row>
    <row r="641" spans="1:92" s="9" customFormat="1" x14ac:dyDescent="0.2">
      <c r="A641" s="11">
        <v>438200</v>
      </c>
      <c r="B641" s="12" t="s">
        <v>161</v>
      </c>
      <c r="C641" s="13">
        <v>5</v>
      </c>
      <c r="D641" s="13" t="s">
        <v>150</v>
      </c>
    </row>
    <row r="642" spans="1:92" s="9" customFormat="1" x14ac:dyDescent="0.2">
      <c r="A642" s="11"/>
      <c r="B642" s="12" t="s">
        <v>223</v>
      </c>
      <c r="C642" s="17">
        <v>1</v>
      </c>
      <c r="D642" s="17" t="s">
        <v>226</v>
      </c>
      <c r="E642" s="9">
        <v>3000</v>
      </c>
    </row>
    <row r="643" spans="1:92" x14ac:dyDescent="0.2">
      <c r="A643" s="5" t="s">
        <v>88</v>
      </c>
      <c r="B643" s="5" t="s">
        <v>55</v>
      </c>
      <c r="C643">
        <v>1</v>
      </c>
      <c r="E643">
        <v>0</v>
      </c>
      <c r="G643">
        <v>0</v>
      </c>
      <c r="I643">
        <v>3</v>
      </c>
      <c r="J643" t="s">
        <v>28</v>
      </c>
      <c r="L643">
        <v>24</v>
      </c>
      <c r="O643" t="str">
        <f t="shared" si="42"/>
        <v>טיוטא</v>
      </c>
      <c r="P643" t="str">
        <f t="shared" si="43"/>
        <v>אופיר</v>
      </c>
      <c r="R643">
        <v>24</v>
      </c>
      <c r="X643" t="str">
        <f t="shared" si="44"/>
        <v>ש"ח</v>
      </c>
      <c r="Y643">
        <v>0</v>
      </c>
      <c r="Z643" t="str">
        <f t="shared" si="45"/>
        <v>ש"ח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 t="str">
        <f t="shared" si="49"/>
        <v>ש"ח</v>
      </c>
      <c r="AH643">
        <v>0</v>
      </c>
      <c r="AI643">
        <v>0</v>
      </c>
      <c r="AJ643" t="str">
        <f t="shared" si="53"/>
        <v>ידני</v>
      </c>
      <c r="AK643">
        <v>1</v>
      </c>
      <c r="AQ643">
        <v>0</v>
      </c>
      <c r="AW643" t="str">
        <f t="shared" si="50"/>
        <v>אופיר</v>
      </c>
      <c r="AX643" t="s">
        <v>4</v>
      </c>
      <c r="AY643">
        <v>37</v>
      </c>
      <c r="AZ643">
        <v>0</v>
      </c>
      <c r="BA643">
        <v>0</v>
      </c>
      <c r="BB643">
        <v>0</v>
      </c>
      <c r="BJ643">
        <v>0</v>
      </c>
      <c r="BK643">
        <v>0</v>
      </c>
      <c r="BN643">
        <v>0</v>
      </c>
      <c r="BO643">
        <v>0</v>
      </c>
      <c r="BV643">
        <v>0</v>
      </c>
      <c r="BW643">
        <v>0</v>
      </c>
      <c r="BX643">
        <v>0</v>
      </c>
      <c r="CA643">
        <v>1</v>
      </c>
      <c r="CB643">
        <v>0</v>
      </c>
      <c r="CC643">
        <v>0</v>
      </c>
      <c r="CD643">
        <v>0</v>
      </c>
      <c r="CE643">
        <v>0</v>
      </c>
      <c r="CM643">
        <v>0</v>
      </c>
      <c r="CN643">
        <v>0</v>
      </c>
    </row>
    <row r="644" spans="1:92" s="17" customFormat="1" ht="15" customHeight="1" x14ac:dyDescent="0.2">
      <c r="A644" s="16">
        <v>218260</v>
      </c>
      <c r="B644" s="12" t="s">
        <v>154</v>
      </c>
      <c r="C644" s="17">
        <v>700</v>
      </c>
      <c r="D644" s="17" t="s">
        <v>150</v>
      </c>
    </row>
    <row r="645" spans="1:92" s="17" customFormat="1" ht="12.75" x14ac:dyDescent="0.2">
      <c r="A645" s="16">
        <v>218290</v>
      </c>
      <c r="B645" s="12" t="s">
        <v>162</v>
      </c>
      <c r="C645" s="17">
        <v>800</v>
      </c>
      <c r="D645" s="17" t="s">
        <v>150</v>
      </c>
    </row>
    <row r="646" spans="1:92" s="17" customFormat="1" ht="12.75" x14ac:dyDescent="0.2">
      <c r="A646" s="16">
        <v>218370</v>
      </c>
      <c r="B646" s="12" t="s">
        <v>163</v>
      </c>
      <c r="C646" s="17">
        <v>150</v>
      </c>
      <c r="D646" s="17" t="s">
        <v>150</v>
      </c>
    </row>
    <row r="647" spans="1:92" s="17" customFormat="1" ht="12.75" x14ac:dyDescent="0.2">
      <c r="A647" s="16">
        <v>218340</v>
      </c>
      <c r="B647" s="12" t="s">
        <v>164</v>
      </c>
      <c r="C647" s="17">
        <v>150</v>
      </c>
      <c r="D647" s="17" t="s">
        <v>150</v>
      </c>
    </row>
    <row r="648" spans="1:92" s="17" customFormat="1" ht="12.75" x14ac:dyDescent="0.2">
      <c r="A648" s="16">
        <v>218190</v>
      </c>
      <c r="B648" s="12" t="s">
        <v>148</v>
      </c>
      <c r="C648" s="17">
        <v>300</v>
      </c>
      <c r="D648" s="17" t="s">
        <v>150</v>
      </c>
    </row>
    <row r="649" spans="1:92" s="17" customFormat="1" ht="12.75" x14ac:dyDescent="0.2">
      <c r="A649" s="16">
        <v>218300</v>
      </c>
      <c r="B649" s="12" t="s">
        <v>165</v>
      </c>
      <c r="C649" s="17">
        <v>50</v>
      </c>
      <c r="D649" s="17" t="s">
        <v>150</v>
      </c>
    </row>
    <row r="650" spans="1:92" s="17" customFormat="1" ht="12.75" x14ac:dyDescent="0.2">
      <c r="A650" s="16">
        <v>368110</v>
      </c>
      <c r="B650" s="12" t="s">
        <v>166</v>
      </c>
      <c r="C650" s="17">
        <v>800</v>
      </c>
      <c r="D650" s="17" t="s">
        <v>150</v>
      </c>
    </row>
    <row r="651" spans="1:92" s="17" customFormat="1" ht="12.75" x14ac:dyDescent="0.2">
      <c r="A651" s="16">
        <v>368120</v>
      </c>
      <c r="B651" s="12" t="s">
        <v>167</v>
      </c>
      <c r="C651" s="17">
        <v>800</v>
      </c>
      <c r="D651" s="17" t="s">
        <v>150</v>
      </c>
    </row>
    <row r="652" spans="1:92" s="17" customFormat="1" ht="12.75" x14ac:dyDescent="0.2">
      <c r="A652" s="16">
        <v>368130</v>
      </c>
      <c r="B652" s="12" t="s">
        <v>168</v>
      </c>
      <c r="C652" s="17">
        <v>800</v>
      </c>
      <c r="D652" s="17" t="s">
        <v>150</v>
      </c>
    </row>
    <row r="653" spans="1:92" s="17" customFormat="1" ht="12.75" x14ac:dyDescent="0.2">
      <c r="A653" s="16">
        <v>368140</v>
      </c>
      <c r="B653" s="12" t="s">
        <v>169</v>
      </c>
      <c r="C653" s="17">
        <v>800</v>
      </c>
      <c r="D653" s="17" t="s">
        <v>150</v>
      </c>
    </row>
    <row r="654" spans="1:92" s="17" customFormat="1" ht="12.75" x14ac:dyDescent="0.2">
      <c r="A654" s="16">
        <v>368150</v>
      </c>
      <c r="B654" s="12" t="s">
        <v>170</v>
      </c>
      <c r="C654" s="17">
        <v>800</v>
      </c>
      <c r="D654" s="17" t="s">
        <v>150</v>
      </c>
    </row>
    <row r="655" spans="1:92" s="17" customFormat="1" ht="12.75" x14ac:dyDescent="0.2">
      <c r="A655" s="16">
        <v>368160</v>
      </c>
      <c r="B655" s="12" t="s">
        <v>171</v>
      </c>
      <c r="C655" s="17">
        <v>700</v>
      </c>
      <c r="D655" s="17" t="s">
        <v>150</v>
      </c>
    </row>
    <row r="656" spans="1:92" s="17" customFormat="1" ht="12.75" x14ac:dyDescent="0.2">
      <c r="A656" s="16">
        <v>368170</v>
      </c>
      <c r="B656" s="12" t="s">
        <v>172</v>
      </c>
      <c r="C656" s="17">
        <v>700</v>
      </c>
      <c r="D656" s="17" t="s">
        <v>150</v>
      </c>
    </row>
    <row r="657" spans="1:26" s="17" customFormat="1" ht="12.75" x14ac:dyDescent="0.2">
      <c r="A657" s="16">
        <v>368180</v>
      </c>
      <c r="B657" s="12" t="s">
        <v>173</v>
      </c>
      <c r="C657" s="17">
        <v>700</v>
      </c>
      <c r="D657" s="17" t="s">
        <v>150</v>
      </c>
    </row>
    <row r="658" spans="1:26" s="17" customFormat="1" ht="12.75" x14ac:dyDescent="0.2">
      <c r="A658" s="16">
        <v>378120</v>
      </c>
      <c r="B658" s="12" t="s">
        <v>174</v>
      </c>
      <c r="C658" s="17">
        <v>200</v>
      </c>
      <c r="D658" s="17" t="s">
        <v>150</v>
      </c>
    </row>
    <row r="659" spans="1:26" s="17" customFormat="1" ht="12.75" x14ac:dyDescent="0.2">
      <c r="A659" s="16">
        <v>228350</v>
      </c>
      <c r="B659" s="12" t="s">
        <v>157</v>
      </c>
      <c r="C659" s="17">
        <v>60</v>
      </c>
      <c r="D659" s="17" t="s">
        <v>151</v>
      </c>
    </row>
    <row r="660" spans="1:26" s="17" customFormat="1" ht="12.75" x14ac:dyDescent="0.2">
      <c r="A660" s="16">
        <v>228370</v>
      </c>
      <c r="B660" s="12" t="s">
        <v>158</v>
      </c>
      <c r="C660" s="17">
        <v>30</v>
      </c>
      <c r="D660" s="17" t="s">
        <v>151</v>
      </c>
    </row>
    <row r="661" spans="1:26" s="17" customFormat="1" ht="12.75" x14ac:dyDescent="0.2">
      <c r="A661" s="16">
        <v>918180</v>
      </c>
      <c r="B661" s="12" t="s">
        <v>149</v>
      </c>
      <c r="C661" s="17">
        <v>4</v>
      </c>
      <c r="D661" s="17" t="s">
        <v>152</v>
      </c>
    </row>
    <row r="662" spans="1:26" s="17" customFormat="1" ht="12.75" x14ac:dyDescent="0.2">
      <c r="A662" s="16">
        <v>918190</v>
      </c>
      <c r="B662" s="16" t="s">
        <v>175</v>
      </c>
      <c r="C662" s="17">
        <v>4</v>
      </c>
      <c r="D662" s="17" t="s">
        <v>152</v>
      </c>
    </row>
    <row r="663" spans="1:26" s="17" customFormat="1" ht="12.75" x14ac:dyDescent="0.2">
      <c r="A663" s="16">
        <v>228130</v>
      </c>
      <c r="B663" s="17" t="s">
        <v>147</v>
      </c>
      <c r="C663" s="17">
        <v>10</v>
      </c>
      <c r="D663" s="17" t="s">
        <v>153</v>
      </c>
    </row>
    <row r="664" spans="1:26" s="17" customFormat="1" ht="12.75" x14ac:dyDescent="0.2">
      <c r="A664" s="16">
        <v>228140</v>
      </c>
      <c r="B664" s="12" t="s">
        <v>176</v>
      </c>
      <c r="C664" s="17">
        <v>25</v>
      </c>
      <c r="D664" s="17" t="s">
        <v>153</v>
      </c>
    </row>
    <row r="665" spans="1:26" s="17" customFormat="1" ht="13.5" customHeight="1" x14ac:dyDescent="0.2">
      <c r="A665" s="16">
        <v>438200</v>
      </c>
      <c r="B665" s="12" t="s">
        <v>161</v>
      </c>
      <c r="C665" s="17">
        <v>10</v>
      </c>
      <c r="D665" s="17" t="s">
        <v>151</v>
      </c>
    </row>
    <row r="666" spans="1:26" s="17" customFormat="1" ht="13.5" customHeight="1" x14ac:dyDescent="0.2">
      <c r="A666" s="19">
        <v>708580</v>
      </c>
      <c r="B666" s="20" t="s">
        <v>216</v>
      </c>
      <c r="C666" s="17">
        <v>1</v>
      </c>
      <c r="D666" s="17" t="s">
        <v>153</v>
      </c>
    </row>
    <row r="667" spans="1:26" s="17" customFormat="1" ht="13.5" customHeight="1" x14ac:dyDescent="0.2">
      <c r="A667" s="11">
        <v>109999</v>
      </c>
      <c r="B667" s="11" t="s">
        <v>223</v>
      </c>
      <c r="C667" s="17">
        <v>1</v>
      </c>
      <c r="D667" s="17" t="s">
        <v>151</v>
      </c>
      <c r="E667" s="17">
        <v>12000</v>
      </c>
    </row>
    <row r="668" spans="1:26" x14ac:dyDescent="0.2">
      <c r="A668" s="5" t="s">
        <v>89</v>
      </c>
      <c r="B668" s="5" t="s">
        <v>56</v>
      </c>
      <c r="C668">
        <v>1</v>
      </c>
      <c r="E668">
        <v>0</v>
      </c>
      <c r="G668">
        <v>0</v>
      </c>
      <c r="I668">
        <v>3</v>
      </c>
      <c r="J668" t="s">
        <v>29</v>
      </c>
      <c r="L668">
        <v>25</v>
      </c>
      <c r="O668" t="str">
        <f>"טיוטא"</f>
        <v>טיוטא</v>
      </c>
      <c r="P668" t="str">
        <f>"אופיר"</f>
        <v>אופיר</v>
      </c>
      <c r="R668">
        <v>25</v>
      </c>
      <c r="X668" t="str">
        <f>"ש""ח"</f>
        <v>ש"ח</v>
      </c>
      <c r="Y668">
        <v>0</v>
      </c>
      <c r="Z668" t="str">
        <f>"ש""ח"</f>
        <v>ש"ח</v>
      </c>
    </row>
    <row r="669" spans="1:26" x14ac:dyDescent="0.2">
      <c r="A669" s="19" t="str">
        <f>"150011290"</f>
        <v>150011290</v>
      </c>
      <c r="B669" s="19" t="str">
        <f>"נורת ניאון אדומה 220"</f>
        <v>נורת ניאון אדומה 220</v>
      </c>
      <c r="C669" s="17">
        <v>8</v>
      </c>
      <c r="D669" s="17" t="s">
        <v>151</v>
      </c>
    </row>
    <row r="670" spans="1:26" x14ac:dyDescent="0.2">
      <c r="A670" s="19" t="str">
        <f>"150020002"</f>
        <v>150020002</v>
      </c>
      <c r="B670" s="19" t="str">
        <f>"שקע כח ישראלי NEVE-"</f>
        <v>שקע כח ישראלי NEVE-</v>
      </c>
      <c r="C670" s="17">
        <v>77</v>
      </c>
      <c r="D670" s="17" t="s">
        <v>151</v>
      </c>
    </row>
    <row r="671" spans="1:26" x14ac:dyDescent="0.2">
      <c r="A671" s="19" t="str">
        <f>"150020004"</f>
        <v>150020004</v>
      </c>
      <c r="B671" s="19" t="str">
        <f>"שקע טלפון NEVE-"</f>
        <v>שקע טלפון NEVE-</v>
      </c>
      <c r="C671" s="17">
        <v>14</v>
      </c>
      <c r="D671" s="17" t="s">
        <v>151</v>
      </c>
    </row>
    <row r="672" spans="1:26" x14ac:dyDescent="0.2">
      <c r="A672" s="19" t="str">
        <f>"150020014"</f>
        <v>150020014</v>
      </c>
      <c r="B672" s="19" t="str">
        <f>"דמי NEVE-"</f>
        <v>דמי NEVE-</v>
      </c>
      <c r="C672" s="17">
        <v>22</v>
      </c>
      <c r="D672" s="17" t="s">
        <v>151</v>
      </c>
    </row>
    <row r="673" spans="1:4" x14ac:dyDescent="0.2">
      <c r="A673" s="19" t="str">
        <f>"150020023"</f>
        <v>150020023</v>
      </c>
      <c r="B673" s="19" t="str">
        <f>"לחצן מואר NEVE-"</f>
        <v>לחצן מואר NEVE-</v>
      </c>
      <c r="C673" s="17">
        <v>4</v>
      </c>
      <c r="D673" s="17" t="s">
        <v>151</v>
      </c>
    </row>
    <row r="674" spans="1:4" x14ac:dyDescent="0.2">
      <c r="A674" s="19" t="str">
        <f>"150020024"</f>
        <v>150020024</v>
      </c>
      <c r="B674" s="19" t="str">
        <f>"לחצן רחב 2 .NEVE-"</f>
        <v>לחצן רחב 2 .NEVE-</v>
      </c>
      <c r="C674" s="17">
        <v>2</v>
      </c>
      <c r="D674" s="17" t="s">
        <v>151</v>
      </c>
    </row>
    <row r="675" spans="1:4" x14ac:dyDescent="0.2">
      <c r="A675" s="19" t="str">
        <f>"150020029"</f>
        <v>150020029</v>
      </c>
      <c r="B675" s="19" t="str">
        <f>"מסגרת 1 מודול NEVE-"</f>
        <v>מסגרת 1 מודול NEVE-</v>
      </c>
      <c r="C675" s="17">
        <v>33</v>
      </c>
      <c r="D675" s="17" t="s">
        <v>151</v>
      </c>
    </row>
    <row r="676" spans="1:4" x14ac:dyDescent="0.2">
      <c r="A676" s="19" t="str">
        <f>"150020036"</f>
        <v>150020036</v>
      </c>
      <c r="B676" s="19" t="str">
        <f>"מסגרת 2 מודול NEVE-"</f>
        <v>מסגרת 2 מודול NEVE-</v>
      </c>
      <c r="C676" s="17">
        <v>22</v>
      </c>
      <c r="D676" s="17" t="s">
        <v>151</v>
      </c>
    </row>
    <row r="677" spans="1:4" x14ac:dyDescent="0.2">
      <c r="A677" s="19" t="str">
        <f>"150020041"</f>
        <v>150020041</v>
      </c>
      <c r="B677" s="19" t="str">
        <f>"מסגרת 3 מודול NEVE-"</f>
        <v>מסגרת 3 מודול NEVE-</v>
      </c>
      <c r="C677" s="17">
        <v>13</v>
      </c>
      <c r="D677" s="17" t="s">
        <v>151</v>
      </c>
    </row>
    <row r="678" spans="1:4" x14ac:dyDescent="0.2">
      <c r="A678" s="19" t="str">
        <f>"150020045"</f>
        <v>150020045</v>
      </c>
      <c r="B678" s="19" t="str">
        <f>"מסגרת 4 מודול NEVE-"</f>
        <v>מסגרת 4 מודול NEVE-</v>
      </c>
      <c r="C678" s="17">
        <v>28</v>
      </c>
      <c r="D678" s="17" t="s">
        <v>151</v>
      </c>
    </row>
    <row r="679" spans="1:4" x14ac:dyDescent="0.2">
      <c r="A679" s="19" t="str">
        <f>"150020059"</f>
        <v>150020059</v>
      </c>
      <c r="B679" s="19" t="str">
        <f>"מפסק יחיד NEVE-"</f>
        <v>מפסק יחיד NEVE-</v>
      </c>
      <c r="C679" s="17">
        <v>30</v>
      </c>
      <c r="D679" s="17" t="s">
        <v>151</v>
      </c>
    </row>
    <row r="680" spans="1:4" x14ac:dyDescent="0.2">
      <c r="A680" s="19" t="str">
        <f>"150020061"</f>
        <v>150020061</v>
      </c>
      <c r="B680" s="19" t="str">
        <f>"מפסק חיולף NEVE-"</f>
        <v>מפסק חיולף NEVE-</v>
      </c>
      <c r="C680" s="17">
        <v>25</v>
      </c>
      <c r="D680" s="17" t="s">
        <v>151</v>
      </c>
    </row>
    <row r="681" spans="1:4" x14ac:dyDescent="0.2">
      <c r="A681" s="19" t="str">
        <f>"150020063"</f>
        <v>150020063</v>
      </c>
      <c r="B681" s="19" t="str">
        <f>"מפסק צלב NEVE-"</f>
        <v>מפסק צלב NEVE-</v>
      </c>
      <c r="C681" s="17">
        <v>3</v>
      </c>
      <c r="D681" s="17" t="s">
        <v>151</v>
      </c>
    </row>
    <row r="682" spans="1:4" x14ac:dyDescent="0.2">
      <c r="A682" s="19" t="str">
        <f>"150020068"</f>
        <v>150020068</v>
      </c>
      <c r="B682" s="19" t="str">
        <f>"מתאם 2 מודול NEVE-"</f>
        <v>מתאם 2 מודול NEVE-</v>
      </c>
      <c r="C682" s="17">
        <v>22</v>
      </c>
      <c r="D682" s="17" t="s">
        <v>151</v>
      </c>
    </row>
    <row r="683" spans="1:4" x14ac:dyDescent="0.2">
      <c r="A683" s="19" t="str">
        <f>"150020069"</f>
        <v>150020069</v>
      </c>
      <c r="B683" s="19" t="str">
        <f>"מתאם 3 מודול NEVE-"</f>
        <v>מתאם 3 מודול NEVE-</v>
      </c>
      <c r="C683" s="17">
        <v>46</v>
      </c>
      <c r="D683" s="17" t="s">
        <v>151</v>
      </c>
    </row>
    <row r="684" spans="1:4" x14ac:dyDescent="0.2">
      <c r="A684" s="19" t="str">
        <f>"150020070"</f>
        <v>150020070</v>
      </c>
      <c r="B684" s="19" t="str">
        <f>"מתאם 4 מודול NEVE-"</f>
        <v>מתאם 4 מודול NEVE-</v>
      </c>
      <c r="C684" s="17">
        <v>28</v>
      </c>
      <c r="D684" s="17" t="s">
        <v>151</v>
      </c>
    </row>
    <row r="685" spans="1:4" x14ac:dyDescent="0.2">
      <c r="A685" s="19" t="str">
        <f>"150020090"</f>
        <v>150020090</v>
      </c>
      <c r="B685" s="19" t="str">
        <f>"מפסק דוד NEVE-"</f>
        <v>מפסק דוד NEVE-</v>
      </c>
      <c r="C685" s="17">
        <v>4</v>
      </c>
      <c r="D685" s="17" t="s">
        <v>151</v>
      </c>
    </row>
    <row r="686" spans="1:4" x14ac:dyDescent="0.2">
      <c r="A686" s="19">
        <v>938140</v>
      </c>
      <c r="B686" s="21" t="s">
        <v>217</v>
      </c>
      <c r="C686" s="17">
        <v>10</v>
      </c>
      <c r="D686" s="17" t="s">
        <v>151</v>
      </c>
    </row>
    <row r="687" spans="1:4" x14ac:dyDescent="0.2">
      <c r="A687" s="19">
        <v>938150</v>
      </c>
      <c r="B687" s="21" t="s">
        <v>218</v>
      </c>
      <c r="C687" s="17">
        <v>1</v>
      </c>
      <c r="D687" s="17" t="s">
        <v>152</v>
      </c>
    </row>
    <row r="688" spans="1:4" x14ac:dyDescent="0.2">
      <c r="A688" s="19">
        <v>708370</v>
      </c>
      <c r="B688" s="21" t="s">
        <v>219</v>
      </c>
      <c r="C688" s="17">
        <v>2</v>
      </c>
      <c r="D688" s="17" t="s">
        <v>153</v>
      </c>
    </row>
    <row r="689" spans="1:92" x14ac:dyDescent="0.2">
      <c r="A689" s="19">
        <v>378160</v>
      </c>
      <c r="B689" s="21" t="s">
        <v>220</v>
      </c>
      <c r="C689" s="17">
        <v>200</v>
      </c>
      <c r="D689" s="17" t="s">
        <v>150</v>
      </c>
    </row>
    <row r="690" spans="1:92" x14ac:dyDescent="0.2">
      <c r="A690" s="19">
        <v>708470</v>
      </c>
      <c r="B690" s="21" t="s">
        <v>221</v>
      </c>
      <c r="C690" s="17">
        <v>6</v>
      </c>
      <c r="D690" s="17" t="s">
        <v>153</v>
      </c>
    </row>
    <row r="691" spans="1:92" x14ac:dyDescent="0.2">
      <c r="A691" s="19">
        <v>628160</v>
      </c>
      <c r="B691" s="21" t="s">
        <v>222</v>
      </c>
      <c r="C691" s="17">
        <v>50</v>
      </c>
      <c r="D691" s="17" t="s">
        <v>151</v>
      </c>
    </row>
    <row r="692" spans="1:92" x14ac:dyDescent="0.2">
      <c r="A692" s="11">
        <v>109999</v>
      </c>
      <c r="B692" s="11" t="s">
        <v>223</v>
      </c>
      <c r="C692" s="17">
        <v>1</v>
      </c>
      <c r="D692" s="17" t="s">
        <v>151</v>
      </c>
      <c r="E692" s="17">
        <v>8000</v>
      </c>
    </row>
    <row r="693" spans="1:92" x14ac:dyDescent="0.2">
      <c r="A693" s="11">
        <v>640000</v>
      </c>
      <c r="B693" s="22" t="s">
        <v>224</v>
      </c>
      <c r="C693">
        <v>1</v>
      </c>
      <c r="D693" t="s">
        <v>151</v>
      </c>
      <c r="E693">
        <v>6800</v>
      </c>
    </row>
    <row r="694" spans="1:92" x14ac:dyDescent="0.2">
      <c r="A694" s="11">
        <v>999999</v>
      </c>
      <c r="B694" s="22" t="s">
        <v>225</v>
      </c>
      <c r="C694">
        <v>1</v>
      </c>
      <c r="D694" t="s">
        <v>226</v>
      </c>
      <c r="E694">
        <v>1800</v>
      </c>
    </row>
    <row r="695" spans="1:92" x14ac:dyDescent="0.2">
      <c r="A695" s="5" t="s">
        <v>90</v>
      </c>
      <c r="B695" s="5" t="s">
        <v>57</v>
      </c>
      <c r="C695">
        <v>1</v>
      </c>
      <c r="E695">
        <v>0</v>
      </c>
      <c r="G695">
        <v>0</v>
      </c>
      <c r="I695">
        <v>3</v>
      </c>
      <c r="J695" t="s">
        <v>31</v>
      </c>
      <c r="L695">
        <v>26</v>
      </c>
      <c r="O695" t="str">
        <f t="shared" si="42"/>
        <v>טיוטא</v>
      </c>
      <c r="P695" t="str">
        <f t="shared" si="43"/>
        <v>אופיר</v>
      </c>
      <c r="R695">
        <v>26</v>
      </c>
      <c r="X695" t="str">
        <f t="shared" si="44"/>
        <v>ש"ח</v>
      </c>
      <c r="Y695">
        <v>0</v>
      </c>
      <c r="Z695" t="str">
        <f t="shared" si="45"/>
        <v>ש"ח</v>
      </c>
    </row>
    <row r="696" spans="1:92" ht="15" x14ac:dyDescent="0.2">
      <c r="A696" s="6">
        <v>10.119999999999999</v>
      </c>
      <c r="B696" s="6" t="s">
        <v>81</v>
      </c>
      <c r="C696">
        <v>1</v>
      </c>
      <c r="E696">
        <v>0</v>
      </c>
      <c r="G696">
        <v>100</v>
      </c>
      <c r="I696">
        <v>2</v>
      </c>
      <c r="J696" t="s">
        <v>21</v>
      </c>
      <c r="L696">
        <v>12</v>
      </c>
      <c r="O696" t="str">
        <f t="shared" si="42"/>
        <v>טיוטא</v>
      </c>
      <c r="P696" t="str">
        <f t="shared" si="43"/>
        <v>אופיר</v>
      </c>
      <c r="R696">
        <v>12</v>
      </c>
      <c r="X696" t="str">
        <f t="shared" si="44"/>
        <v>ש"ח</v>
      </c>
      <c r="Y696">
        <v>0</v>
      </c>
      <c r="Z696" t="str">
        <f t="shared" si="45"/>
        <v>ש"ח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 t="str">
        <f t="shared" ref="AG696:AG773" si="54">"ש""ח"</f>
        <v>ש"ח</v>
      </c>
      <c r="AH696">
        <v>0</v>
      </c>
      <c r="AI696">
        <v>0</v>
      </c>
      <c r="AJ696" t="str">
        <f t="shared" ref="AJ696:AJ773" si="55">"ידני"</f>
        <v>ידני</v>
      </c>
      <c r="AK696">
        <v>1</v>
      </c>
      <c r="AQ696">
        <v>0</v>
      </c>
      <c r="AW696" t="str">
        <f t="shared" ref="AW696:AW773" si="56">"אופיר"</f>
        <v>אופיר</v>
      </c>
      <c r="AX696" t="s">
        <v>5</v>
      </c>
      <c r="AY696">
        <v>25</v>
      </c>
      <c r="AZ696">
        <v>0</v>
      </c>
      <c r="BA696">
        <v>0</v>
      </c>
      <c r="BB696">
        <v>0</v>
      </c>
      <c r="BJ696">
        <v>0</v>
      </c>
      <c r="BK696">
        <v>0</v>
      </c>
      <c r="BN696">
        <v>0</v>
      </c>
      <c r="BO696">
        <v>0</v>
      </c>
      <c r="BV696">
        <v>0</v>
      </c>
      <c r="BW696">
        <v>0</v>
      </c>
      <c r="BX696">
        <v>0</v>
      </c>
      <c r="CA696">
        <v>1</v>
      </c>
      <c r="CB696">
        <v>0</v>
      </c>
      <c r="CC696">
        <v>0</v>
      </c>
      <c r="CD696">
        <v>0</v>
      </c>
      <c r="CE696">
        <v>0</v>
      </c>
      <c r="CM696">
        <v>0</v>
      </c>
      <c r="CN696">
        <v>0</v>
      </c>
    </row>
    <row r="697" spans="1:92" x14ac:dyDescent="0.2">
      <c r="A697" s="5" t="s">
        <v>82</v>
      </c>
      <c r="B697" s="5" t="s">
        <v>54</v>
      </c>
      <c r="C697">
        <v>1</v>
      </c>
      <c r="E697">
        <v>0</v>
      </c>
      <c r="G697">
        <v>0</v>
      </c>
      <c r="I697">
        <v>3</v>
      </c>
      <c r="J697" t="s">
        <v>22</v>
      </c>
      <c r="L697">
        <v>13</v>
      </c>
      <c r="O697" t="str">
        <f t="shared" si="42"/>
        <v>טיוטא</v>
      </c>
      <c r="P697" t="str">
        <f t="shared" si="43"/>
        <v>אופיר</v>
      </c>
      <c r="R697">
        <v>13</v>
      </c>
      <c r="X697" t="str">
        <f t="shared" si="44"/>
        <v>ש"ח</v>
      </c>
      <c r="Y697">
        <v>0</v>
      </c>
      <c r="Z697" t="str">
        <f t="shared" si="45"/>
        <v>ש"ח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 t="str">
        <f t="shared" si="54"/>
        <v>ש"ח</v>
      </c>
      <c r="AH697">
        <v>0</v>
      </c>
      <c r="AI697">
        <v>0</v>
      </c>
      <c r="AJ697" t="str">
        <f t="shared" si="55"/>
        <v>ידני</v>
      </c>
      <c r="AK697">
        <v>1</v>
      </c>
      <c r="AQ697">
        <v>0</v>
      </c>
      <c r="AW697" t="str">
        <f t="shared" si="56"/>
        <v>אופיר</v>
      </c>
      <c r="AX697" t="s">
        <v>5</v>
      </c>
      <c r="AY697">
        <v>26</v>
      </c>
      <c r="AZ697">
        <v>0</v>
      </c>
      <c r="BA697">
        <v>0</v>
      </c>
      <c r="BB697">
        <v>0</v>
      </c>
      <c r="BJ697">
        <v>0</v>
      </c>
      <c r="BK697">
        <v>0</v>
      </c>
      <c r="BN697">
        <v>0</v>
      </c>
      <c r="BO697">
        <v>0</v>
      </c>
      <c r="BV697">
        <v>0</v>
      </c>
      <c r="BW697">
        <v>0</v>
      </c>
      <c r="BX697">
        <v>0</v>
      </c>
      <c r="CA697">
        <v>1</v>
      </c>
      <c r="CB697">
        <v>0</v>
      </c>
      <c r="CC697">
        <v>0</v>
      </c>
      <c r="CD697">
        <v>0</v>
      </c>
      <c r="CE697">
        <v>0</v>
      </c>
      <c r="CM697">
        <v>0</v>
      </c>
      <c r="CN697">
        <v>0</v>
      </c>
    </row>
    <row r="698" spans="1:92" s="18" customFormat="1" ht="15" customHeight="1" x14ac:dyDescent="0.2">
      <c r="A698" s="16">
        <v>218260</v>
      </c>
      <c r="B698" s="12" t="s">
        <v>154</v>
      </c>
      <c r="C698" s="17">
        <v>500</v>
      </c>
      <c r="D698" s="17" t="s">
        <v>150</v>
      </c>
      <c r="Y698" s="18">
        <f>C698*E698</f>
        <v>0</v>
      </c>
    </row>
    <row r="699" spans="1:92" s="18" customFormat="1" ht="12.75" x14ac:dyDescent="0.2">
      <c r="A699" s="16">
        <v>218270</v>
      </c>
      <c r="B699" s="12" t="s">
        <v>155</v>
      </c>
      <c r="C699" s="17">
        <v>100</v>
      </c>
      <c r="D699" s="17" t="s">
        <v>150</v>
      </c>
      <c r="Y699" s="18">
        <f>C699*E699</f>
        <v>0</v>
      </c>
    </row>
    <row r="700" spans="1:92" s="18" customFormat="1" ht="12.75" x14ac:dyDescent="0.2">
      <c r="A700" s="16">
        <v>218140</v>
      </c>
      <c r="B700" s="17" t="s">
        <v>156</v>
      </c>
      <c r="C700" s="17">
        <v>50</v>
      </c>
      <c r="D700" s="17" t="s">
        <v>150</v>
      </c>
      <c r="Y700" s="18">
        <f>C700*E700</f>
        <v>0</v>
      </c>
    </row>
    <row r="701" spans="1:92" s="18" customFormat="1" ht="12.75" x14ac:dyDescent="0.2">
      <c r="A701" s="16">
        <v>228130</v>
      </c>
      <c r="B701" s="17" t="s">
        <v>147</v>
      </c>
      <c r="C701" s="17">
        <v>10</v>
      </c>
      <c r="D701" s="17" t="s">
        <v>151</v>
      </c>
    </row>
    <row r="702" spans="1:92" s="18" customFormat="1" ht="12.75" x14ac:dyDescent="0.2">
      <c r="A702" s="16">
        <v>228350</v>
      </c>
      <c r="B702" s="12" t="s">
        <v>157</v>
      </c>
      <c r="C702" s="17">
        <v>25</v>
      </c>
      <c r="D702" s="17" t="s">
        <v>151</v>
      </c>
    </row>
    <row r="703" spans="1:92" s="18" customFormat="1" ht="12.75" x14ac:dyDescent="0.2">
      <c r="A703" s="16">
        <v>228370</v>
      </c>
      <c r="B703" s="12" t="s">
        <v>158</v>
      </c>
      <c r="C703" s="17">
        <v>30</v>
      </c>
      <c r="D703" s="17" t="s">
        <v>151</v>
      </c>
    </row>
    <row r="704" spans="1:92" s="18" customFormat="1" ht="12.75" x14ac:dyDescent="0.2">
      <c r="A704" s="16">
        <v>798200</v>
      </c>
      <c r="B704" s="16" t="s">
        <v>159</v>
      </c>
      <c r="C704" s="17">
        <v>1</v>
      </c>
      <c r="D704" s="17" t="s">
        <v>151</v>
      </c>
    </row>
    <row r="705" spans="1:92" s="18" customFormat="1" ht="12.75" x14ac:dyDescent="0.2">
      <c r="A705" s="16">
        <v>918140</v>
      </c>
      <c r="B705" s="16" t="s">
        <v>160</v>
      </c>
      <c r="C705" s="17">
        <v>100</v>
      </c>
      <c r="D705" s="17" t="s">
        <v>151</v>
      </c>
    </row>
    <row r="706" spans="1:92" s="9" customFormat="1" x14ac:dyDescent="0.2">
      <c r="A706" s="11">
        <v>438200</v>
      </c>
      <c r="B706" s="12" t="s">
        <v>161</v>
      </c>
      <c r="C706" s="13">
        <v>5</v>
      </c>
      <c r="D706" s="13" t="s">
        <v>150</v>
      </c>
    </row>
    <row r="707" spans="1:92" s="9" customFormat="1" x14ac:dyDescent="0.2">
      <c r="A707" s="11"/>
      <c r="B707" s="12" t="s">
        <v>223</v>
      </c>
      <c r="C707" s="17">
        <v>1</v>
      </c>
      <c r="D707" s="17" t="s">
        <v>226</v>
      </c>
      <c r="E707" s="9">
        <v>3000</v>
      </c>
    </row>
    <row r="708" spans="1:92" x14ac:dyDescent="0.2">
      <c r="A708" s="5" t="s">
        <v>83</v>
      </c>
      <c r="B708" s="5" t="s">
        <v>55</v>
      </c>
      <c r="C708">
        <v>1</v>
      </c>
      <c r="E708">
        <v>0</v>
      </c>
      <c r="G708">
        <v>0</v>
      </c>
      <c r="I708">
        <v>3</v>
      </c>
      <c r="J708" t="s">
        <v>28</v>
      </c>
      <c r="L708">
        <v>24</v>
      </c>
      <c r="O708" t="str">
        <f t="shared" si="42"/>
        <v>טיוטא</v>
      </c>
      <c r="P708" t="str">
        <f t="shared" si="43"/>
        <v>אופיר</v>
      </c>
      <c r="R708">
        <v>24</v>
      </c>
      <c r="X708" t="str">
        <f t="shared" si="44"/>
        <v>ש"ח</v>
      </c>
      <c r="Y708">
        <v>0</v>
      </c>
      <c r="Z708" t="str">
        <f t="shared" si="45"/>
        <v>ש"ח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 t="str">
        <f t="shared" si="54"/>
        <v>ש"ח</v>
      </c>
      <c r="AH708">
        <v>0</v>
      </c>
      <c r="AI708">
        <v>0</v>
      </c>
      <c r="AJ708" t="str">
        <f t="shared" si="55"/>
        <v>ידני</v>
      </c>
      <c r="AK708">
        <v>1</v>
      </c>
      <c r="AQ708">
        <v>0</v>
      </c>
      <c r="AW708" t="str">
        <f t="shared" si="56"/>
        <v>אופיר</v>
      </c>
      <c r="AX708" t="s">
        <v>4</v>
      </c>
      <c r="AY708">
        <v>37</v>
      </c>
      <c r="AZ708">
        <v>0</v>
      </c>
      <c r="BA708">
        <v>0</v>
      </c>
      <c r="BB708">
        <v>0</v>
      </c>
      <c r="BJ708">
        <v>0</v>
      </c>
      <c r="BK708">
        <v>0</v>
      </c>
      <c r="BN708">
        <v>0</v>
      </c>
      <c r="BO708">
        <v>0</v>
      </c>
      <c r="BV708">
        <v>0</v>
      </c>
      <c r="BW708">
        <v>0</v>
      </c>
      <c r="BX708">
        <v>0</v>
      </c>
      <c r="CA708">
        <v>1</v>
      </c>
      <c r="CB708">
        <v>0</v>
      </c>
      <c r="CC708">
        <v>0</v>
      </c>
      <c r="CD708">
        <v>0</v>
      </c>
      <c r="CE708">
        <v>0</v>
      </c>
      <c r="CM708">
        <v>0</v>
      </c>
      <c r="CN708">
        <v>0</v>
      </c>
    </row>
    <row r="709" spans="1:92" s="17" customFormat="1" ht="15" customHeight="1" x14ac:dyDescent="0.2">
      <c r="A709" s="16">
        <v>218260</v>
      </c>
      <c r="B709" s="12" t="s">
        <v>154</v>
      </c>
      <c r="C709" s="17">
        <v>700</v>
      </c>
      <c r="D709" s="17" t="s">
        <v>150</v>
      </c>
    </row>
    <row r="710" spans="1:92" s="17" customFormat="1" ht="12.75" x14ac:dyDescent="0.2">
      <c r="A710" s="16">
        <v>218290</v>
      </c>
      <c r="B710" s="12" t="s">
        <v>162</v>
      </c>
      <c r="C710" s="17">
        <v>800</v>
      </c>
      <c r="D710" s="17" t="s">
        <v>150</v>
      </c>
    </row>
    <row r="711" spans="1:92" s="17" customFormat="1" ht="12.75" x14ac:dyDescent="0.2">
      <c r="A711" s="16">
        <v>218370</v>
      </c>
      <c r="B711" s="12" t="s">
        <v>163</v>
      </c>
      <c r="C711" s="17">
        <v>150</v>
      </c>
      <c r="D711" s="17" t="s">
        <v>150</v>
      </c>
    </row>
    <row r="712" spans="1:92" s="17" customFormat="1" ht="12.75" x14ac:dyDescent="0.2">
      <c r="A712" s="16">
        <v>218340</v>
      </c>
      <c r="B712" s="12" t="s">
        <v>164</v>
      </c>
      <c r="C712" s="17">
        <v>150</v>
      </c>
      <c r="D712" s="17" t="s">
        <v>150</v>
      </c>
    </row>
    <row r="713" spans="1:92" s="17" customFormat="1" ht="12.75" x14ac:dyDescent="0.2">
      <c r="A713" s="16">
        <v>218190</v>
      </c>
      <c r="B713" s="12" t="s">
        <v>148</v>
      </c>
      <c r="C713" s="17">
        <v>300</v>
      </c>
      <c r="D713" s="17" t="s">
        <v>150</v>
      </c>
    </row>
    <row r="714" spans="1:92" s="17" customFormat="1" ht="12.75" x14ac:dyDescent="0.2">
      <c r="A714" s="16">
        <v>218300</v>
      </c>
      <c r="B714" s="12" t="s">
        <v>165</v>
      </c>
      <c r="C714" s="17">
        <v>50</v>
      </c>
      <c r="D714" s="17" t="s">
        <v>150</v>
      </c>
    </row>
    <row r="715" spans="1:92" s="17" customFormat="1" ht="12.75" x14ac:dyDescent="0.2">
      <c r="A715" s="16">
        <v>368110</v>
      </c>
      <c r="B715" s="12" t="s">
        <v>166</v>
      </c>
      <c r="C715" s="17">
        <v>800</v>
      </c>
      <c r="D715" s="17" t="s">
        <v>150</v>
      </c>
    </row>
    <row r="716" spans="1:92" s="17" customFormat="1" ht="12.75" x14ac:dyDescent="0.2">
      <c r="A716" s="16">
        <v>368120</v>
      </c>
      <c r="B716" s="12" t="s">
        <v>167</v>
      </c>
      <c r="C716" s="17">
        <v>800</v>
      </c>
      <c r="D716" s="17" t="s">
        <v>150</v>
      </c>
    </row>
    <row r="717" spans="1:92" s="17" customFormat="1" ht="12.75" x14ac:dyDescent="0.2">
      <c r="A717" s="16">
        <v>368130</v>
      </c>
      <c r="B717" s="12" t="s">
        <v>168</v>
      </c>
      <c r="C717" s="17">
        <v>800</v>
      </c>
      <c r="D717" s="17" t="s">
        <v>150</v>
      </c>
    </row>
    <row r="718" spans="1:92" s="17" customFormat="1" ht="12.75" x14ac:dyDescent="0.2">
      <c r="A718" s="16">
        <v>368140</v>
      </c>
      <c r="B718" s="12" t="s">
        <v>169</v>
      </c>
      <c r="C718" s="17">
        <v>800</v>
      </c>
      <c r="D718" s="17" t="s">
        <v>150</v>
      </c>
    </row>
    <row r="719" spans="1:92" s="17" customFormat="1" ht="12.75" x14ac:dyDescent="0.2">
      <c r="A719" s="16">
        <v>368150</v>
      </c>
      <c r="B719" s="12" t="s">
        <v>170</v>
      </c>
      <c r="C719" s="17">
        <v>800</v>
      </c>
      <c r="D719" s="17" t="s">
        <v>150</v>
      </c>
    </row>
    <row r="720" spans="1:92" s="17" customFormat="1" ht="12.75" x14ac:dyDescent="0.2">
      <c r="A720" s="16">
        <v>368160</v>
      </c>
      <c r="B720" s="12" t="s">
        <v>171</v>
      </c>
      <c r="C720" s="17">
        <v>700</v>
      </c>
      <c r="D720" s="17" t="s">
        <v>150</v>
      </c>
    </row>
    <row r="721" spans="1:26" s="17" customFormat="1" ht="12.75" x14ac:dyDescent="0.2">
      <c r="A721" s="16">
        <v>368170</v>
      </c>
      <c r="B721" s="12" t="s">
        <v>172</v>
      </c>
      <c r="C721" s="17">
        <v>700</v>
      </c>
      <c r="D721" s="17" t="s">
        <v>150</v>
      </c>
    </row>
    <row r="722" spans="1:26" s="17" customFormat="1" ht="12.75" x14ac:dyDescent="0.2">
      <c r="A722" s="16">
        <v>368180</v>
      </c>
      <c r="B722" s="12" t="s">
        <v>173</v>
      </c>
      <c r="C722" s="17">
        <v>700</v>
      </c>
      <c r="D722" s="17" t="s">
        <v>150</v>
      </c>
    </row>
    <row r="723" spans="1:26" s="17" customFormat="1" ht="12.75" x14ac:dyDescent="0.2">
      <c r="A723" s="16">
        <v>378120</v>
      </c>
      <c r="B723" s="12" t="s">
        <v>174</v>
      </c>
      <c r="C723" s="17">
        <v>200</v>
      </c>
      <c r="D723" s="17" t="s">
        <v>150</v>
      </c>
    </row>
    <row r="724" spans="1:26" s="17" customFormat="1" ht="12.75" x14ac:dyDescent="0.2">
      <c r="A724" s="16">
        <v>228350</v>
      </c>
      <c r="B724" s="12" t="s">
        <v>157</v>
      </c>
      <c r="C724" s="17">
        <v>60</v>
      </c>
      <c r="D724" s="17" t="s">
        <v>151</v>
      </c>
    </row>
    <row r="725" spans="1:26" s="17" customFormat="1" ht="12.75" x14ac:dyDescent="0.2">
      <c r="A725" s="16">
        <v>228370</v>
      </c>
      <c r="B725" s="12" t="s">
        <v>158</v>
      </c>
      <c r="C725" s="17">
        <v>30</v>
      </c>
      <c r="D725" s="17" t="s">
        <v>151</v>
      </c>
    </row>
    <row r="726" spans="1:26" s="17" customFormat="1" ht="12.75" x14ac:dyDescent="0.2">
      <c r="A726" s="16">
        <v>918180</v>
      </c>
      <c r="B726" s="12" t="s">
        <v>149</v>
      </c>
      <c r="C726" s="17">
        <v>4</v>
      </c>
      <c r="D726" s="17" t="s">
        <v>152</v>
      </c>
    </row>
    <row r="727" spans="1:26" s="17" customFormat="1" ht="12.75" x14ac:dyDescent="0.2">
      <c r="A727" s="16">
        <v>918190</v>
      </c>
      <c r="B727" s="16" t="s">
        <v>175</v>
      </c>
      <c r="C727" s="17">
        <v>4</v>
      </c>
      <c r="D727" s="17" t="s">
        <v>152</v>
      </c>
    </row>
    <row r="728" spans="1:26" s="17" customFormat="1" ht="12.75" x14ac:dyDescent="0.2">
      <c r="A728" s="16">
        <v>228130</v>
      </c>
      <c r="B728" s="17" t="s">
        <v>147</v>
      </c>
      <c r="C728" s="17">
        <v>10</v>
      </c>
      <c r="D728" s="17" t="s">
        <v>153</v>
      </c>
    </row>
    <row r="729" spans="1:26" s="17" customFormat="1" ht="12.75" x14ac:dyDescent="0.2">
      <c r="A729" s="16">
        <v>228140</v>
      </c>
      <c r="B729" s="12" t="s">
        <v>176</v>
      </c>
      <c r="C729" s="17">
        <v>25</v>
      </c>
      <c r="D729" s="17" t="s">
        <v>153</v>
      </c>
    </row>
    <row r="730" spans="1:26" s="17" customFormat="1" ht="13.5" customHeight="1" x14ac:dyDescent="0.2">
      <c r="A730" s="16">
        <v>438200</v>
      </c>
      <c r="B730" s="12" t="s">
        <v>161</v>
      </c>
      <c r="C730" s="17">
        <v>10</v>
      </c>
      <c r="D730" s="17" t="s">
        <v>151</v>
      </c>
    </row>
    <row r="731" spans="1:26" s="17" customFormat="1" ht="13.5" customHeight="1" x14ac:dyDescent="0.2">
      <c r="A731" s="19">
        <v>708580</v>
      </c>
      <c r="B731" s="20" t="s">
        <v>216</v>
      </c>
      <c r="C731" s="17">
        <v>1</v>
      </c>
      <c r="D731" s="17" t="s">
        <v>153</v>
      </c>
    </row>
    <row r="732" spans="1:26" s="17" customFormat="1" ht="13.5" customHeight="1" x14ac:dyDescent="0.2">
      <c r="A732" s="11">
        <v>109999</v>
      </c>
      <c r="B732" s="11" t="s">
        <v>223</v>
      </c>
      <c r="C732" s="17">
        <v>1</v>
      </c>
      <c r="D732" s="17" t="s">
        <v>151</v>
      </c>
      <c r="E732" s="17">
        <v>12000</v>
      </c>
    </row>
    <row r="733" spans="1:26" x14ac:dyDescent="0.2">
      <c r="A733" s="5" t="s">
        <v>84</v>
      </c>
      <c r="B733" s="5" t="s">
        <v>56</v>
      </c>
      <c r="C733">
        <v>1</v>
      </c>
      <c r="E733">
        <v>0</v>
      </c>
      <c r="G733">
        <v>0</v>
      </c>
      <c r="I733">
        <v>3</v>
      </c>
      <c r="J733" t="s">
        <v>29</v>
      </c>
      <c r="L733">
        <v>25</v>
      </c>
      <c r="O733" t="str">
        <f>"טיוטא"</f>
        <v>טיוטא</v>
      </c>
      <c r="P733" t="str">
        <f>"אופיר"</f>
        <v>אופיר</v>
      </c>
      <c r="R733">
        <v>25</v>
      </c>
      <c r="X733" t="str">
        <f>"ש""ח"</f>
        <v>ש"ח</v>
      </c>
      <c r="Y733">
        <v>0</v>
      </c>
      <c r="Z733" t="str">
        <f>"ש""ח"</f>
        <v>ש"ח</v>
      </c>
    </row>
    <row r="734" spans="1:26" x14ac:dyDescent="0.2">
      <c r="A734" s="19" t="str">
        <f>"150011290"</f>
        <v>150011290</v>
      </c>
      <c r="B734" s="19" t="str">
        <f>"נורת ניאון אדומה 220"</f>
        <v>נורת ניאון אדומה 220</v>
      </c>
      <c r="C734" s="17">
        <v>8</v>
      </c>
      <c r="D734" s="17" t="s">
        <v>151</v>
      </c>
    </row>
    <row r="735" spans="1:26" x14ac:dyDescent="0.2">
      <c r="A735" s="19" t="str">
        <f>"150020002"</f>
        <v>150020002</v>
      </c>
      <c r="B735" s="19" t="str">
        <f>"שקע כח ישראלי NEVE-"</f>
        <v>שקע כח ישראלי NEVE-</v>
      </c>
      <c r="C735" s="17">
        <v>77</v>
      </c>
      <c r="D735" s="17" t="s">
        <v>151</v>
      </c>
    </row>
    <row r="736" spans="1:26" x14ac:dyDescent="0.2">
      <c r="A736" s="19" t="str">
        <f>"150020004"</f>
        <v>150020004</v>
      </c>
      <c r="B736" s="19" t="str">
        <f>"שקע טלפון NEVE-"</f>
        <v>שקע טלפון NEVE-</v>
      </c>
      <c r="C736" s="17">
        <v>14</v>
      </c>
      <c r="D736" s="17" t="s">
        <v>151</v>
      </c>
    </row>
    <row r="737" spans="1:4" x14ac:dyDescent="0.2">
      <c r="A737" s="19" t="str">
        <f>"150020014"</f>
        <v>150020014</v>
      </c>
      <c r="B737" s="19" t="str">
        <f>"דמי NEVE-"</f>
        <v>דמי NEVE-</v>
      </c>
      <c r="C737" s="17">
        <v>22</v>
      </c>
      <c r="D737" s="17" t="s">
        <v>151</v>
      </c>
    </row>
    <row r="738" spans="1:4" x14ac:dyDescent="0.2">
      <c r="A738" s="19" t="str">
        <f>"150020023"</f>
        <v>150020023</v>
      </c>
      <c r="B738" s="19" t="str">
        <f>"לחצן מואר NEVE-"</f>
        <v>לחצן מואר NEVE-</v>
      </c>
      <c r="C738" s="17">
        <v>4</v>
      </c>
      <c r="D738" s="17" t="s">
        <v>151</v>
      </c>
    </row>
    <row r="739" spans="1:4" x14ac:dyDescent="0.2">
      <c r="A739" s="19" t="str">
        <f>"150020024"</f>
        <v>150020024</v>
      </c>
      <c r="B739" s="19" t="str">
        <f>"לחצן רחב 2 .NEVE-"</f>
        <v>לחצן רחב 2 .NEVE-</v>
      </c>
      <c r="C739" s="17">
        <v>2</v>
      </c>
      <c r="D739" s="17" t="s">
        <v>151</v>
      </c>
    </row>
    <row r="740" spans="1:4" x14ac:dyDescent="0.2">
      <c r="A740" s="19" t="str">
        <f>"150020029"</f>
        <v>150020029</v>
      </c>
      <c r="B740" s="19" t="str">
        <f>"מסגרת 1 מודול NEVE-"</f>
        <v>מסגרת 1 מודול NEVE-</v>
      </c>
      <c r="C740" s="17">
        <v>33</v>
      </c>
      <c r="D740" s="17" t="s">
        <v>151</v>
      </c>
    </row>
    <row r="741" spans="1:4" x14ac:dyDescent="0.2">
      <c r="A741" s="19" t="str">
        <f>"150020036"</f>
        <v>150020036</v>
      </c>
      <c r="B741" s="19" t="str">
        <f>"מסגרת 2 מודול NEVE-"</f>
        <v>מסגרת 2 מודול NEVE-</v>
      </c>
      <c r="C741" s="17">
        <v>22</v>
      </c>
      <c r="D741" s="17" t="s">
        <v>151</v>
      </c>
    </row>
    <row r="742" spans="1:4" x14ac:dyDescent="0.2">
      <c r="A742" s="19" t="str">
        <f>"150020041"</f>
        <v>150020041</v>
      </c>
      <c r="B742" s="19" t="str">
        <f>"מסגרת 3 מודול NEVE-"</f>
        <v>מסגרת 3 מודול NEVE-</v>
      </c>
      <c r="C742" s="17">
        <v>13</v>
      </c>
      <c r="D742" s="17" t="s">
        <v>151</v>
      </c>
    </row>
    <row r="743" spans="1:4" x14ac:dyDescent="0.2">
      <c r="A743" s="19" t="str">
        <f>"150020045"</f>
        <v>150020045</v>
      </c>
      <c r="B743" s="19" t="str">
        <f>"מסגרת 4 מודול NEVE-"</f>
        <v>מסגרת 4 מודול NEVE-</v>
      </c>
      <c r="C743" s="17">
        <v>28</v>
      </c>
      <c r="D743" s="17" t="s">
        <v>151</v>
      </c>
    </row>
    <row r="744" spans="1:4" x14ac:dyDescent="0.2">
      <c r="A744" s="19" t="str">
        <f>"150020059"</f>
        <v>150020059</v>
      </c>
      <c r="B744" s="19" t="str">
        <f>"מפסק יחיד NEVE-"</f>
        <v>מפסק יחיד NEVE-</v>
      </c>
      <c r="C744" s="17">
        <v>30</v>
      </c>
      <c r="D744" s="17" t="s">
        <v>151</v>
      </c>
    </row>
    <row r="745" spans="1:4" x14ac:dyDescent="0.2">
      <c r="A745" s="19" t="str">
        <f>"150020061"</f>
        <v>150020061</v>
      </c>
      <c r="B745" s="19" t="str">
        <f>"מפסק חיולף NEVE-"</f>
        <v>מפסק חיולף NEVE-</v>
      </c>
      <c r="C745" s="17">
        <v>25</v>
      </c>
      <c r="D745" s="17" t="s">
        <v>151</v>
      </c>
    </row>
    <row r="746" spans="1:4" x14ac:dyDescent="0.2">
      <c r="A746" s="19" t="str">
        <f>"150020063"</f>
        <v>150020063</v>
      </c>
      <c r="B746" s="19" t="str">
        <f>"מפסק צלב NEVE-"</f>
        <v>מפסק צלב NEVE-</v>
      </c>
      <c r="C746" s="17">
        <v>3</v>
      </c>
      <c r="D746" s="17" t="s">
        <v>151</v>
      </c>
    </row>
    <row r="747" spans="1:4" x14ac:dyDescent="0.2">
      <c r="A747" s="19" t="str">
        <f>"150020068"</f>
        <v>150020068</v>
      </c>
      <c r="B747" s="19" t="str">
        <f>"מתאם 2 מודול NEVE-"</f>
        <v>מתאם 2 מודול NEVE-</v>
      </c>
      <c r="C747" s="17">
        <v>22</v>
      </c>
      <c r="D747" s="17" t="s">
        <v>151</v>
      </c>
    </row>
    <row r="748" spans="1:4" x14ac:dyDescent="0.2">
      <c r="A748" s="19" t="str">
        <f>"150020069"</f>
        <v>150020069</v>
      </c>
      <c r="B748" s="19" t="str">
        <f>"מתאם 3 מודול NEVE-"</f>
        <v>מתאם 3 מודול NEVE-</v>
      </c>
      <c r="C748" s="17">
        <v>46</v>
      </c>
      <c r="D748" s="17" t="s">
        <v>151</v>
      </c>
    </row>
    <row r="749" spans="1:4" x14ac:dyDescent="0.2">
      <c r="A749" s="19" t="str">
        <f>"150020070"</f>
        <v>150020070</v>
      </c>
      <c r="B749" s="19" t="str">
        <f>"מתאם 4 מודול NEVE-"</f>
        <v>מתאם 4 מודול NEVE-</v>
      </c>
      <c r="C749" s="17">
        <v>28</v>
      </c>
      <c r="D749" s="17" t="s">
        <v>151</v>
      </c>
    </row>
    <row r="750" spans="1:4" x14ac:dyDescent="0.2">
      <c r="A750" s="19" t="str">
        <f>"150020090"</f>
        <v>150020090</v>
      </c>
      <c r="B750" s="19" t="str">
        <f>"מפסק דוד NEVE-"</f>
        <v>מפסק דוד NEVE-</v>
      </c>
      <c r="C750" s="17">
        <v>4</v>
      </c>
      <c r="D750" s="17" t="s">
        <v>151</v>
      </c>
    </row>
    <row r="751" spans="1:4" x14ac:dyDescent="0.2">
      <c r="A751" s="19">
        <v>938140</v>
      </c>
      <c r="B751" s="21" t="s">
        <v>217</v>
      </c>
      <c r="C751" s="17">
        <v>10</v>
      </c>
      <c r="D751" s="17" t="s">
        <v>151</v>
      </c>
    </row>
    <row r="752" spans="1:4" x14ac:dyDescent="0.2">
      <c r="A752" s="19">
        <v>938150</v>
      </c>
      <c r="B752" s="21" t="s">
        <v>218</v>
      </c>
      <c r="C752" s="17">
        <v>1</v>
      </c>
      <c r="D752" s="17" t="s">
        <v>152</v>
      </c>
    </row>
    <row r="753" spans="1:92" x14ac:dyDescent="0.2">
      <c r="A753" s="19">
        <v>708370</v>
      </c>
      <c r="B753" s="21" t="s">
        <v>219</v>
      </c>
      <c r="C753" s="17">
        <v>2</v>
      </c>
      <c r="D753" s="17" t="s">
        <v>153</v>
      </c>
    </row>
    <row r="754" spans="1:92" x14ac:dyDescent="0.2">
      <c r="A754" s="19">
        <v>378160</v>
      </c>
      <c r="B754" s="21" t="s">
        <v>220</v>
      </c>
      <c r="C754" s="17">
        <v>200</v>
      </c>
      <c r="D754" s="17" t="s">
        <v>150</v>
      </c>
    </row>
    <row r="755" spans="1:92" x14ac:dyDescent="0.2">
      <c r="A755" s="19">
        <v>708470</v>
      </c>
      <c r="B755" s="21" t="s">
        <v>221</v>
      </c>
      <c r="C755" s="17">
        <v>6</v>
      </c>
      <c r="D755" s="17" t="s">
        <v>153</v>
      </c>
    </row>
    <row r="756" spans="1:92" x14ac:dyDescent="0.2">
      <c r="A756" s="19">
        <v>628160</v>
      </c>
      <c r="B756" s="21" t="s">
        <v>222</v>
      </c>
      <c r="C756" s="17">
        <v>50</v>
      </c>
      <c r="D756" s="17" t="s">
        <v>151</v>
      </c>
    </row>
    <row r="757" spans="1:92" x14ac:dyDescent="0.2">
      <c r="A757" s="11">
        <v>109999</v>
      </c>
      <c r="B757" s="11" t="s">
        <v>223</v>
      </c>
      <c r="C757" s="17">
        <v>1</v>
      </c>
      <c r="D757" s="17" t="s">
        <v>151</v>
      </c>
      <c r="E757" s="17">
        <v>8000</v>
      </c>
    </row>
    <row r="758" spans="1:92" x14ac:dyDescent="0.2">
      <c r="A758" s="11">
        <v>640000</v>
      </c>
      <c r="B758" s="22" t="s">
        <v>224</v>
      </c>
      <c r="C758">
        <v>1</v>
      </c>
      <c r="D758" t="s">
        <v>151</v>
      </c>
      <c r="E758">
        <v>6800</v>
      </c>
    </row>
    <row r="759" spans="1:92" x14ac:dyDescent="0.2">
      <c r="A759" s="11">
        <v>999999</v>
      </c>
      <c r="B759" s="22" t="s">
        <v>225</v>
      </c>
      <c r="C759">
        <v>1</v>
      </c>
      <c r="D759" t="s">
        <v>226</v>
      </c>
      <c r="E759">
        <v>1800</v>
      </c>
    </row>
    <row r="760" spans="1:92" x14ac:dyDescent="0.2">
      <c r="A760" s="5" t="s">
        <v>85</v>
      </c>
      <c r="B760" s="5" t="s">
        <v>57</v>
      </c>
      <c r="C760">
        <v>1</v>
      </c>
      <c r="E760">
        <v>0</v>
      </c>
      <c r="G760">
        <v>0</v>
      </c>
      <c r="I760">
        <v>3</v>
      </c>
      <c r="J760" t="s">
        <v>31</v>
      </c>
      <c r="L760">
        <v>26</v>
      </c>
      <c r="O760" t="str">
        <f t="shared" si="42"/>
        <v>טיוטא</v>
      </c>
      <c r="P760" t="str">
        <f t="shared" si="43"/>
        <v>אופיר</v>
      </c>
      <c r="R760">
        <v>26</v>
      </c>
      <c r="X760" t="str">
        <f t="shared" si="44"/>
        <v>ש"ח</v>
      </c>
      <c r="Y760">
        <v>0</v>
      </c>
      <c r="Z760" t="str">
        <f t="shared" si="45"/>
        <v>ש"ח</v>
      </c>
    </row>
    <row r="761" spans="1:92" ht="15" x14ac:dyDescent="0.2">
      <c r="A761" s="6">
        <v>10.119999999999999</v>
      </c>
      <c r="B761" s="6" t="s">
        <v>86</v>
      </c>
      <c r="C761">
        <v>1</v>
      </c>
      <c r="E761">
        <v>0</v>
      </c>
      <c r="G761">
        <v>100</v>
      </c>
      <c r="I761">
        <v>2</v>
      </c>
      <c r="J761" t="s">
        <v>21</v>
      </c>
      <c r="L761">
        <v>12</v>
      </c>
      <c r="O761" t="str">
        <f t="shared" si="42"/>
        <v>טיוטא</v>
      </c>
      <c r="P761" t="str">
        <f t="shared" si="43"/>
        <v>אופיר</v>
      </c>
      <c r="R761">
        <v>12</v>
      </c>
      <c r="X761" t="str">
        <f t="shared" si="44"/>
        <v>ש"ח</v>
      </c>
      <c r="Y761">
        <v>0</v>
      </c>
      <c r="Z761" t="str">
        <f t="shared" si="45"/>
        <v>ש"ח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 t="str">
        <f t="shared" si="54"/>
        <v>ש"ח</v>
      </c>
      <c r="AH761">
        <v>0</v>
      </c>
      <c r="AI761">
        <v>0</v>
      </c>
      <c r="AJ761" t="str">
        <f t="shared" si="55"/>
        <v>ידני</v>
      </c>
      <c r="AK761">
        <v>1</v>
      </c>
      <c r="AQ761">
        <v>0</v>
      </c>
      <c r="AW761" t="str">
        <f t="shared" si="56"/>
        <v>אופיר</v>
      </c>
      <c r="AX761" t="s">
        <v>5</v>
      </c>
      <c r="AY761">
        <v>25</v>
      </c>
      <c r="AZ761">
        <v>0</v>
      </c>
      <c r="BA761">
        <v>0</v>
      </c>
      <c r="BB761">
        <v>0</v>
      </c>
      <c r="BJ761">
        <v>0</v>
      </c>
      <c r="BK761">
        <v>0</v>
      </c>
      <c r="BN761">
        <v>0</v>
      </c>
      <c r="BO761">
        <v>0</v>
      </c>
      <c r="BV761">
        <v>0</v>
      </c>
      <c r="BW761">
        <v>0</v>
      </c>
      <c r="BX761">
        <v>0</v>
      </c>
      <c r="CA761">
        <v>1</v>
      </c>
      <c r="CB761">
        <v>0</v>
      </c>
      <c r="CC761">
        <v>0</v>
      </c>
      <c r="CD761">
        <v>0</v>
      </c>
      <c r="CE761">
        <v>0</v>
      </c>
      <c r="CM761">
        <v>0</v>
      </c>
      <c r="CN761">
        <v>0</v>
      </c>
    </row>
    <row r="762" spans="1:92" x14ac:dyDescent="0.2">
      <c r="A762" s="5" t="s">
        <v>87</v>
      </c>
      <c r="B762" s="5" t="s">
        <v>54</v>
      </c>
      <c r="C762">
        <v>1</v>
      </c>
      <c r="E762">
        <v>0</v>
      </c>
      <c r="G762">
        <v>0</v>
      </c>
      <c r="I762">
        <v>3</v>
      </c>
      <c r="J762" t="s">
        <v>22</v>
      </c>
      <c r="L762">
        <v>13</v>
      </c>
      <c r="O762" t="str">
        <f t="shared" si="42"/>
        <v>טיוטא</v>
      </c>
      <c r="P762" t="str">
        <f t="shared" si="43"/>
        <v>אופיר</v>
      </c>
      <c r="R762">
        <v>13</v>
      </c>
      <c r="X762" t="str">
        <f t="shared" si="44"/>
        <v>ש"ח</v>
      </c>
      <c r="Y762">
        <v>0</v>
      </c>
      <c r="Z762" t="str">
        <f t="shared" si="45"/>
        <v>ש"ח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 t="str">
        <f t="shared" si="54"/>
        <v>ש"ח</v>
      </c>
      <c r="AH762">
        <v>0</v>
      </c>
      <c r="AI762">
        <v>0</v>
      </c>
      <c r="AJ762" t="str">
        <f t="shared" si="55"/>
        <v>ידני</v>
      </c>
      <c r="AK762">
        <v>1</v>
      </c>
      <c r="AQ762">
        <v>0</v>
      </c>
      <c r="AW762" t="str">
        <f t="shared" si="56"/>
        <v>אופיר</v>
      </c>
      <c r="AX762" t="s">
        <v>5</v>
      </c>
      <c r="AY762">
        <v>26</v>
      </c>
      <c r="AZ762">
        <v>0</v>
      </c>
      <c r="BA762">
        <v>0</v>
      </c>
      <c r="BB762">
        <v>0</v>
      </c>
      <c r="BJ762">
        <v>0</v>
      </c>
      <c r="BK762">
        <v>0</v>
      </c>
      <c r="BN762">
        <v>0</v>
      </c>
      <c r="BO762">
        <v>0</v>
      </c>
      <c r="BV762">
        <v>0</v>
      </c>
      <c r="BW762">
        <v>0</v>
      </c>
      <c r="BX762">
        <v>0</v>
      </c>
      <c r="CA762">
        <v>1</v>
      </c>
      <c r="CB762">
        <v>0</v>
      </c>
      <c r="CC762">
        <v>0</v>
      </c>
      <c r="CD762">
        <v>0</v>
      </c>
      <c r="CE762">
        <v>0</v>
      </c>
      <c r="CM762">
        <v>0</v>
      </c>
      <c r="CN762">
        <v>0</v>
      </c>
    </row>
    <row r="763" spans="1:92" s="18" customFormat="1" ht="15" customHeight="1" x14ac:dyDescent="0.2">
      <c r="A763" s="16">
        <v>218260</v>
      </c>
      <c r="B763" s="12" t="s">
        <v>154</v>
      </c>
      <c r="C763" s="17">
        <v>500</v>
      </c>
      <c r="D763" s="17" t="s">
        <v>150</v>
      </c>
      <c r="Y763" s="18">
        <f>C763*E763</f>
        <v>0</v>
      </c>
    </row>
    <row r="764" spans="1:92" s="18" customFormat="1" ht="12.75" x14ac:dyDescent="0.2">
      <c r="A764" s="16">
        <v>218270</v>
      </c>
      <c r="B764" s="12" t="s">
        <v>155</v>
      </c>
      <c r="C764" s="17">
        <v>100</v>
      </c>
      <c r="D764" s="17" t="s">
        <v>150</v>
      </c>
      <c r="Y764" s="18">
        <f>C764*E764</f>
        <v>0</v>
      </c>
    </row>
    <row r="765" spans="1:92" s="18" customFormat="1" ht="12.75" x14ac:dyDescent="0.2">
      <c r="A765" s="16">
        <v>218140</v>
      </c>
      <c r="B765" s="17" t="s">
        <v>156</v>
      </c>
      <c r="C765" s="17">
        <v>50</v>
      </c>
      <c r="D765" s="17" t="s">
        <v>150</v>
      </c>
      <c r="Y765" s="18">
        <f>C765*E765</f>
        <v>0</v>
      </c>
    </row>
    <row r="766" spans="1:92" s="18" customFormat="1" ht="12.75" x14ac:dyDescent="0.2">
      <c r="A766" s="16">
        <v>228130</v>
      </c>
      <c r="B766" s="17" t="s">
        <v>147</v>
      </c>
      <c r="C766" s="17">
        <v>10</v>
      </c>
      <c r="D766" s="17" t="s">
        <v>151</v>
      </c>
    </row>
    <row r="767" spans="1:92" s="18" customFormat="1" ht="12.75" x14ac:dyDescent="0.2">
      <c r="A767" s="16">
        <v>228350</v>
      </c>
      <c r="B767" s="12" t="s">
        <v>157</v>
      </c>
      <c r="C767" s="17">
        <v>25</v>
      </c>
      <c r="D767" s="17" t="s">
        <v>151</v>
      </c>
    </row>
    <row r="768" spans="1:92" s="18" customFormat="1" ht="12.75" x14ac:dyDescent="0.2">
      <c r="A768" s="16">
        <v>228370</v>
      </c>
      <c r="B768" s="12" t="s">
        <v>158</v>
      </c>
      <c r="C768" s="17">
        <v>30</v>
      </c>
      <c r="D768" s="17" t="s">
        <v>151</v>
      </c>
    </row>
    <row r="769" spans="1:92" s="18" customFormat="1" ht="12.75" x14ac:dyDescent="0.2">
      <c r="A769" s="16">
        <v>798200</v>
      </c>
      <c r="B769" s="16" t="s">
        <v>159</v>
      </c>
      <c r="C769" s="17">
        <v>1</v>
      </c>
      <c r="D769" s="17" t="s">
        <v>151</v>
      </c>
    </row>
    <row r="770" spans="1:92" s="18" customFormat="1" ht="12.75" x14ac:dyDescent="0.2">
      <c r="A770" s="16">
        <v>918140</v>
      </c>
      <c r="B770" s="16" t="s">
        <v>160</v>
      </c>
      <c r="C770" s="17">
        <v>100</v>
      </c>
      <c r="D770" s="17" t="s">
        <v>151</v>
      </c>
    </row>
    <row r="771" spans="1:92" s="9" customFormat="1" x14ac:dyDescent="0.2">
      <c r="A771" s="11">
        <v>438200</v>
      </c>
      <c r="B771" s="12" t="s">
        <v>161</v>
      </c>
      <c r="C771" s="13">
        <v>5</v>
      </c>
      <c r="D771" s="13" t="s">
        <v>150</v>
      </c>
    </row>
    <row r="772" spans="1:92" s="9" customFormat="1" x14ac:dyDescent="0.2">
      <c r="A772" s="11"/>
      <c r="B772" s="12" t="s">
        <v>223</v>
      </c>
      <c r="C772" s="17">
        <v>1</v>
      </c>
      <c r="D772" s="17" t="s">
        <v>226</v>
      </c>
      <c r="E772" s="9">
        <v>3000</v>
      </c>
    </row>
    <row r="773" spans="1:92" x14ac:dyDescent="0.2">
      <c r="A773" s="5" t="s">
        <v>88</v>
      </c>
      <c r="B773" s="5" t="s">
        <v>55</v>
      </c>
      <c r="C773">
        <v>1</v>
      </c>
      <c r="E773">
        <v>0</v>
      </c>
      <c r="G773">
        <v>0</v>
      </c>
      <c r="I773">
        <v>3</v>
      </c>
      <c r="J773" t="s">
        <v>28</v>
      </c>
      <c r="L773">
        <v>24</v>
      </c>
      <c r="O773" t="str">
        <f t="shared" si="42"/>
        <v>טיוטא</v>
      </c>
      <c r="P773" t="str">
        <f t="shared" si="43"/>
        <v>אופיר</v>
      </c>
      <c r="R773">
        <v>24</v>
      </c>
      <c r="X773" t="str">
        <f t="shared" si="44"/>
        <v>ש"ח</v>
      </c>
      <c r="Y773">
        <v>0</v>
      </c>
      <c r="Z773" t="str">
        <f t="shared" si="45"/>
        <v>ש"ח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 t="str">
        <f t="shared" si="54"/>
        <v>ש"ח</v>
      </c>
      <c r="AH773">
        <v>0</v>
      </c>
      <c r="AI773">
        <v>0</v>
      </c>
      <c r="AJ773" t="str">
        <f t="shared" si="55"/>
        <v>ידני</v>
      </c>
      <c r="AK773">
        <v>1</v>
      </c>
      <c r="AQ773">
        <v>0</v>
      </c>
      <c r="AW773" t="str">
        <f t="shared" si="56"/>
        <v>אופיר</v>
      </c>
      <c r="AX773" t="s">
        <v>4</v>
      </c>
      <c r="AY773">
        <v>37</v>
      </c>
      <c r="AZ773">
        <v>0</v>
      </c>
      <c r="BA773">
        <v>0</v>
      </c>
      <c r="BB773">
        <v>0</v>
      </c>
      <c r="BJ773">
        <v>0</v>
      </c>
      <c r="BK773">
        <v>0</v>
      </c>
      <c r="BN773">
        <v>0</v>
      </c>
      <c r="BO773">
        <v>0</v>
      </c>
      <c r="BV773">
        <v>0</v>
      </c>
      <c r="BW773">
        <v>0</v>
      </c>
      <c r="BX773">
        <v>0</v>
      </c>
      <c r="CA773">
        <v>1</v>
      </c>
      <c r="CB773">
        <v>0</v>
      </c>
      <c r="CC773">
        <v>0</v>
      </c>
      <c r="CD773">
        <v>0</v>
      </c>
      <c r="CE773">
        <v>0</v>
      </c>
      <c r="CM773">
        <v>0</v>
      </c>
      <c r="CN773">
        <v>0</v>
      </c>
    </row>
    <row r="774" spans="1:92" s="17" customFormat="1" ht="15" customHeight="1" x14ac:dyDescent="0.2">
      <c r="A774" s="16">
        <v>218260</v>
      </c>
      <c r="B774" s="12" t="s">
        <v>154</v>
      </c>
      <c r="C774" s="17">
        <v>700</v>
      </c>
      <c r="D774" s="17" t="s">
        <v>150</v>
      </c>
    </row>
    <row r="775" spans="1:92" s="17" customFormat="1" ht="12.75" x14ac:dyDescent="0.2">
      <c r="A775" s="16">
        <v>218290</v>
      </c>
      <c r="B775" s="12" t="s">
        <v>162</v>
      </c>
      <c r="C775" s="17">
        <v>800</v>
      </c>
      <c r="D775" s="17" t="s">
        <v>150</v>
      </c>
    </row>
    <row r="776" spans="1:92" s="17" customFormat="1" ht="12.75" x14ac:dyDescent="0.2">
      <c r="A776" s="16">
        <v>218370</v>
      </c>
      <c r="B776" s="12" t="s">
        <v>163</v>
      </c>
      <c r="C776" s="17">
        <v>150</v>
      </c>
      <c r="D776" s="17" t="s">
        <v>150</v>
      </c>
    </row>
    <row r="777" spans="1:92" s="17" customFormat="1" ht="12.75" x14ac:dyDescent="0.2">
      <c r="A777" s="16">
        <v>218340</v>
      </c>
      <c r="B777" s="12" t="s">
        <v>164</v>
      </c>
      <c r="C777" s="17">
        <v>150</v>
      </c>
      <c r="D777" s="17" t="s">
        <v>150</v>
      </c>
    </row>
    <row r="778" spans="1:92" s="17" customFormat="1" ht="12.75" x14ac:dyDescent="0.2">
      <c r="A778" s="16">
        <v>218190</v>
      </c>
      <c r="B778" s="12" t="s">
        <v>148</v>
      </c>
      <c r="C778" s="17">
        <v>300</v>
      </c>
      <c r="D778" s="17" t="s">
        <v>150</v>
      </c>
    </row>
    <row r="779" spans="1:92" s="17" customFormat="1" ht="12.75" x14ac:dyDescent="0.2">
      <c r="A779" s="16">
        <v>218300</v>
      </c>
      <c r="B779" s="12" t="s">
        <v>165</v>
      </c>
      <c r="C779" s="17">
        <v>50</v>
      </c>
      <c r="D779" s="17" t="s">
        <v>150</v>
      </c>
    </row>
    <row r="780" spans="1:92" s="17" customFormat="1" ht="12.75" x14ac:dyDescent="0.2">
      <c r="A780" s="16">
        <v>368110</v>
      </c>
      <c r="B780" s="12" t="s">
        <v>166</v>
      </c>
      <c r="C780" s="17">
        <v>800</v>
      </c>
      <c r="D780" s="17" t="s">
        <v>150</v>
      </c>
    </row>
    <row r="781" spans="1:92" s="17" customFormat="1" ht="12.75" x14ac:dyDescent="0.2">
      <c r="A781" s="16">
        <v>368120</v>
      </c>
      <c r="B781" s="12" t="s">
        <v>167</v>
      </c>
      <c r="C781" s="17">
        <v>800</v>
      </c>
      <c r="D781" s="17" t="s">
        <v>150</v>
      </c>
    </row>
    <row r="782" spans="1:92" s="17" customFormat="1" ht="12.75" x14ac:dyDescent="0.2">
      <c r="A782" s="16">
        <v>368130</v>
      </c>
      <c r="B782" s="12" t="s">
        <v>168</v>
      </c>
      <c r="C782" s="17">
        <v>800</v>
      </c>
      <c r="D782" s="17" t="s">
        <v>150</v>
      </c>
    </row>
    <row r="783" spans="1:92" s="17" customFormat="1" ht="12.75" x14ac:dyDescent="0.2">
      <c r="A783" s="16">
        <v>368140</v>
      </c>
      <c r="B783" s="12" t="s">
        <v>169</v>
      </c>
      <c r="C783" s="17">
        <v>800</v>
      </c>
      <c r="D783" s="17" t="s">
        <v>150</v>
      </c>
    </row>
    <row r="784" spans="1:92" s="17" customFormat="1" ht="12.75" x14ac:dyDescent="0.2">
      <c r="A784" s="16">
        <v>368150</v>
      </c>
      <c r="B784" s="12" t="s">
        <v>170</v>
      </c>
      <c r="C784" s="17">
        <v>800</v>
      </c>
      <c r="D784" s="17" t="s">
        <v>150</v>
      </c>
    </row>
    <row r="785" spans="1:26" s="17" customFormat="1" ht="12.75" x14ac:dyDescent="0.2">
      <c r="A785" s="16">
        <v>368160</v>
      </c>
      <c r="B785" s="12" t="s">
        <v>171</v>
      </c>
      <c r="C785" s="17">
        <v>700</v>
      </c>
      <c r="D785" s="17" t="s">
        <v>150</v>
      </c>
    </row>
    <row r="786" spans="1:26" s="17" customFormat="1" ht="12.75" x14ac:dyDescent="0.2">
      <c r="A786" s="16">
        <v>368170</v>
      </c>
      <c r="B786" s="12" t="s">
        <v>172</v>
      </c>
      <c r="C786" s="17">
        <v>700</v>
      </c>
      <c r="D786" s="17" t="s">
        <v>150</v>
      </c>
    </row>
    <row r="787" spans="1:26" s="17" customFormat="1" ht="12.75" x14ac:dyDescent="0.2">
      <c r="A787" s="16">
        <v>368180</v>
      </c>
      <c r="B787" s="12" t="s">
        <v>173</v>
      </c>
      <c r="C787" s="17">
        <v>700</v>
      </c>
      <c r="D787" s="17" t="s">
        <v>150</v>
      </c>
    </row>
    <row r="788" spans="1:26" s="17" customFormat="1" ht="12.75" x14ac:dyDescent="0.2">
      <c r="A788" s="16">
        <v>378120</v>
      </c>
      <c r="B788" s="12" t="s">
        <v>174</v>
      </c>
      <c r="C788" s="17">
        <v>200</v>
      </c>
      <c r="D788" s="17" t="s">
        <v>150</v>
      </c>
    </row>
    <row r="789" spans="1:26" s="17" customFormat="1" ht="12.75" x14ac:dyDescent="0.2">
      <c r="A789" s="16">
        <v>228350</v>
      </c>
      <c r="B789" s="12" t="s">
        <v>157</v>
      </c>
      <c r="C789" s="17">
        <v>60</v>
      </c>
      <c r="D789" s="17" t="s">
        <v>151</v>
      </c>
    </row>
    <row r="790" spans="1:26" s="17" customFormat="1" ht="12.75" x14ac:dyDescent="0.2">
      <c r="A790" s="16">
        <v>228370</v>
      </c>
      <c r="B790" s="12" t="s">
        <v>158</v>
      </c>
      <c r="C790" s="17">
        <v>30</v>
      </c>
      <c r="D790" s="17" t="s">
        <v>151</v>
      </c>
    </row>
    <row r="791" spans="1:26" s="17" customFormat="1" ht="12.75" x14ac:dyDescent="0.2">
      <c r="A791" s="16">
        <v>918180</v>
      </c>
      <c r="B791" s="12" t="s">
        <v>149</v>
      </c>
      <c r="C791" s="17">
        <v>4</v>
      </c>
      <c r="D791" s="17" t="s">
        <v>152</v>
      </c>
    </row>
    <row r="792" spans="1:26" s="17" customFormat="1" ht="12.75" x14ac:dyDescent="0.2">
      <c r="A792" s="16">
        <v>918190</v>
      </c>
      <c r="B792" s="16" t="s">
        <v>175</v>
      </c>
      <c r="C792" s="17">
        <v>4</v>
      </c>
      <c r="D792" s="17" t="s">
        <v>152</v>
      </c>
    </row>
    <row r="793" spans="1:26" s="17" customFormat="1" ht="12.75" x14ac:dyDescent="0.2">
      <c r="A793" s="16">
        <v>228130</v>
      </c>
      <c r="B793" s="17" t="s">
        <v>147</v>
      </c>
      <c r="C793" s="17">
        <v>10</v>
      </c>
      <c r="D793" s="17" t="s">
        <v>153</v>
      </c>
    </row>
    <row r="794" spans="1:26" s="17" customFormat="1" ht="12.75" x14ac:dyDescent="0.2">
      <c r="A794" s="16">
        <v>228140</v>
      </c>
      <c r="B794" s="12" t="s">
        <v>176</v>
      </c>
      <c r="C794" s="17">
        <v>25</v>
      </c>
      <c r="D794" s="17" t="s">
        <v>153</v>
      </c>
    </row>
    <row r="795" spans="1:26" s="17" customFormat="1" ht="13.5" customHeight="1" x14ac:dyDescent="0.2">
      <c r="A795" s="16">
        <v>438200</v>
      </c>
      <c r="B795" s="12" t="s">
        <v>161</v>
      </c>
      <c r="C795" s="17">
        <v>10</v>
      </c>
      <c r="D795" s="17" t="s">
        <v>151</v>
      </c>
    </row>
    <row r="796" spans="1:26" s="17" customFormat="1" ht="13.5" customHeight="1" x14ac:dyDescent="0.2">
      <c r="A796" s="19">
        <v>708580</v>
      </c>
      <c r="B796" s="20" t="s">
        <v>216</v>
      </c>
      <c r="C796" s="17">
        <v>1</v>
      </c>
      <c r="D796" s="17" t="s">
        <v>153</v>
      </c>
    </row>
    <row r="797" spans="1:26" s="17" customFormat="1" ht="13.5" customHeight="1" x14ac:dyDescent="0.2">
      <c r="A797" s="11">
        <v>109999</v>
      </c>
      <c r="B797" s="11" t="s">
        <v>223</v>
      </c>
      <c r="C797" s="17">
        <v>1</v>
      </c>
      <c r="D797" s="17" t="s">
        <v>151</v>
      </c>
      <c r="E797" s="17">
        <v>12000</v>
      </c>
    </row>
    <row r="798" spans="1:26" x14ac:dyDescent="0.2">
      <c r="A798" s="5" t="s">
        <v>89</v>
      </c>
      <c r="B798" s="5" t="s">
        <v>56</v>
      </c>
      <c r="C798">
        <v>1</v>
      </c>
      <c r="E798">
        <v>0</v>
      </c>
      <c r="G798">
        <v>0</v>
      </c>
      <c r="I798">
        <v>3</v>
      </c>
      <c r="J798" t="s">
        <v>29</v>
      </c>
      <c r="L798">
        <v>25</v>
      </c>
      <c r="O798" t="str">
        <f>"טיוטא"</f>
        <v>טיוטא</v>
      </c>
      <c r="P798" t="str">
        <f>"אופיר"</f>
        <v>אופיר</v>
      </c>
      <c r="R798">
        <v>25</v>
      </c>
      <c r="X798" t="str">
        <f>"ש""ח"</f>
        <v>ש"ח</v>
      </c>
      <c r="Y798">
        <v>0</v>
      </c>
      <c r="Z798" t="str">
        <f>"ש""ח"</f>
        <v>ש"ח</v>
      </c>
    </row>
    <row r="799" spans="1:26" x14ac:dyDescent="0.2">
      <c r="A799" s="19" t="str">
        <f>"150011290"</f>
        <v>150011290</v>
      </c>
      <c r="B799" s="19" t="str">
        <f>"נורת ניאון אדומה 220"</f>
        <v>נורת ניאון אדומה 220</v>
      </c>
      <c r="C799" s="17">
        <v>8</v>
      </c>
      <c r="D799" s="17" t="s">
        <v>151</v>
      </c>
    </row>
    <row r="800" spans="1:26" x14ac:dyDescent="0.2">
      <c r="A800" s="19" t="str">
        <f>"150020002"</f>
        <v>150020002</v>
      </c>
      <c r="B800" s="19" t="str">
        <f>"שקע כח ישראלי NEVE-"</f>
        <v>שקע כח ישראלי NEVE-</v>
      </c>
      <c r="C800" s="17">
        <v>77</v>
      </c>
      <c r="D800" s="17" t="s">
        <v>151</v>
      </c>
    </row>
    <row r="801" spans="1:4" x14ac:dyDescent="0.2">
      <c r="A801" s="19" t="str">
        <f>"150020004"</f>
        <v>150020004</v>
      </c>
      <c r="B801" s="19" t="str">
        <f>"שקע טלפון NEVE-"</f>
        <v>שקע טלפון NEVE-</v>
      </c>
      <c r="C801" s="17">
        <v>14</v>
      </c>
      <c r="D801" s="17" t="s">
        <v>151</v>
      </c>
    </row>
    <row r="802" spans="1:4" x14ac:dyDescent="0.2">
      <c r="A802" s="19" t="str">
        <f>"150020014"</f>
        <v>150020014</v>
      </c>
      <c r="B802" s="19" t="str">
        <f>"דמי NEVE-"</f>
        <v>דמי NEVE-</v>
      </c>
      <c r="C802" s="17">
        <v>22</v>
      </c>
      <c r="D802" s="17" t="s">
        <v>151</v>
      </c>
    </row>
    <row r="803" spans="1:4" x14ac:dyDescent="0.2">
      <c r="A803" s="19" t="str">
        <f>"150020023"</f>
        <v>150020023</v>
      </c>
      <c r="B803" s="19" t="str">
        <f>"לחצן מואר NEVE-"</f>
        <v>לחצן מואר NEVE-</v>
      </c>
      <c r="C803" s="17">
        <v>4</v>
      </c>
      <c r="D803" s="17" t="s">
        <v>151</v>
      </c>
    </row>
    <row r="804" spans="1:4" x14ac:dyDescent="0.2">
      <c r="A804" s="19" t="str">
        <f>"150020024"</f>
        <v>150020024</v>
      </c>
      <c r="B804" s="19" t="str">
        <f>"לחצן רחב 2 .NEVE-"</f>
        <v>לחצן רחב 2 .NEVE-</v>
      </c>
      <c r="C804" s="17">
        <v>2</v>
      </c>
      <c r="D804" s="17" t="s">
        <v>151</v>
      </c>
    </row>
    <row r="805" spans="1:4" x14ac:dyDescent="0.2">
      <c r="A805" s="19" t="str">
        <f>"150020029"</f>
        <v>150020029</v>
      </c>
      <c r="B805" s="19" t="str">
        <f>"מסגרת 1 מודול NEVE-"</f>
        <v>מסגרת 1 מודול NEVE-</v>
      </c>
      <c r="C805" s="17">
        <v>33</v>
      </c>
      <c r="D805" s="17" t="s">
        <v>151</v>
      </c>
    </row>
    <row r="806" spans="1:4" x14ac:dyDescent="0.2">
      <c r="A806" s="19" t="str">
        <f>"150020036"</f>
        <v>150020036</v>
      </c>
      <c r="B806" s="19" t="str">
        <f>"מסגרת 2 מודול NEVE-"</f>
        <v>מסגרת 2 מודול NEVE-</v>
      </c>
      <c r="C806" s="17">
        <v>22</v>
      </c>
      <c r="D806" s="17" t="s">
        <v>151</v>
      </c>
    </row>
    <row r="807" spans="1:4" x14ac:dyDescent="0.2">
      <c r="A807" s="19" t="str">
        <f>"150020041"</f>
        <v>150020041</v>
      </c>
      <c r="B807" s="19" t="str">
        <f>"מסגרת 3 מודול NEVE-"</f>
        <v>מסגרת 3 מודול NEVE-</v>
      </c>
      <c r="C807" s="17">
        <v>13</v>
      </c>
      <c r="D807" s="17" t="s">
        <v>151</v>
      </c>
    </row>
    <row r="808" spans="1:4" x14ac:dyDescent="0.2">
      <c r="A808" s="19" t="str">
        <f>"150020045"</f>
        <v>150020045</v>
      </c>
      <c r="B808" s="19" t="str">
        <f>"מסגרת 4 מודול NEVE-"</f>
        <v>מסגרת 4 מודול NEVE-</v>
      </c>
      <c r="C808" s="17">
        <v>28</v>
      </c>
      <c r="D808" s="17" t="s">
        <v>151</v>
      </c>
    </row>
    <row r="809" spans="1:4" x14ac:dyDescent="0.2">
      <c r="A809" s="19" t="str">
        <f>"150020059"</f>
        <v>150020059</v>
      </c>
      <c r="B809" s="19" t="str">
        <f>"מפסק יחיד NEVE-"</f>
        <v>מפסק יחיד NEVE-</v>
      </c>
      <c r="C809" s="17">
        <v>30</v>
      </c>
      <c r="D809" s="17" t="s">
        <v>151</v>
      </c>
    </row>
    <row r="810" spans="1:4" x14ac:dyDescent="0.2">
      <c r="A810" s="19" t="str">
        <f>"150020061"</f>
        <v>150020061</v>
      </c>
      <c r="B810" s="19" t="str">
        <f>"מפסק חיולף NEVE-"</f>
        <v>מפסק חיולף NEVE-</v>
      </c>
      <c r="C810" s="17">
        <v>25</v>
      </c>
      <c r="D810" s="17" t="s">
        <v>151</v>
      </c>
    </row>
    <row r="811" spans="1:4" x14ac:dyDescent="0.2">
      <c r="A811" s="19" t="str">
        <f>"150020063"</f>
        <v>150020063</v>
      </c>
      <c r="B811" s="19" t="str">
        <f>"מפסק צלב NEVE-"</f>
        <v>מפסק צלב NEVE-</v>
      </c>
      <c r="C811" s="17">
        <v>3</v>
      </c>
      <c r="D811" s="17" t="s">
        <v>151</v>
      </c>
    </row>
    <row r="812" spans="1:4" x14ac:dyDescent="0.2">
      <c r="A812" s="19" t="str">
        <f>"150020068"</f>
        <v>150020068</v>
      </c>
      <c r="B812" s="19" t="str">
        <f>"מתאם 2 מודול NEVE-"</f>
        <v>מתאם 2 מודול NEVE-</v>
      </c>
      <c r="C812" s="17">
        <v>22</v>
      </c>
      <c r="D812" s="17" t="s">
        <v>151</v>
      </c>
    </row>
    <row r="813" spans="1:4" x14ac:dyDescent="0.2">
      <c r="A813" s="19" t="str">
        <f>"150020069"</f>
        <v>150020069</v>
      </c>
      <c r="B813" s="19" t="str">
        <f>"מתאם 3 מודול NEVE-"</f>
        <v>מתאם 3 מודול NEVE-</v>
      </c>
      <c r="C813" s="17">
        <v>46</v>
      </c>
      <c r="D813" s="17" t="s">
        <v>151</v>
      </c>
    </row>
    <row r="814" spans="1:4" x14ac:dyDescent="0.2">
      <c r="A814" s="19" t="str">
        <f>"150020070"</f>
        <v>150020070</v>
      </c>
      <c r="B814" s="19" t="str">
        <f>"מתאם 4 מודול NEVE-"</f>
        <v>מתאם 4 מודול NEVE-</v>
      </c>
      <c r="C814" s="17">
        <v>28</v>
      </c>
      <c r="D814" s="17" t="s">
        <v>151</v>
      </c>
    </row>
    <row r="815" spans="1:4" x14ac:dyDescent="0.2">
      <c r="A815" s="19" t="str">
        <f>"150020090"</f>
        <v>150020090</v>
      </c>
      <c r="B815" s="19" t="str">
        <f>"מפסק דוד NEVE-"</f>
        <v>מפסק דוד NEVE-</v>
      </c>
      <c r="C815" s="17">
        <v>4</v>
      </c>
      <c r="D815" s="17" t="s">
        <v>151</v>
      </c>
    </row>
    <row r="816" spans="1:4" x14ac:dyDescent="0.2">
      <c r="A816" s="19">
        <v>938140</v>
      </c>
      <c r="B816" s="21" t="s">
        <v>217</v>
      </c>
      <c r="C816" s="17">
        <v>10</v>
      </c>
      <c r="D816" s="17" t="s">
        <v>151</v>
      </c>
    </row>
    <row r="817" spans="1:26" x14ac:dyDescent="0.2">
      <c r="A817" s="19">
        <v>938150</v>
      </c>
      <c r="B817" s="21" t="s">
        <v>218</v>
      </c>
      <c r="C817" s="17">
        <v>1</v>
      </c>
      <c r="D817" s="17" t="s">
        <v>152</v>
      </c>
    </row>
    <row r="818" spans="1:26" x14ac:dyDescent="0.2">
      <c r="A818" s="19">
        <v>708370</v>
      </c>
      <c r="B818" s="21" t="s">
        <v>219</v>
      </c>
      <c r="C818" s="17">
        <v>2</v>
      </c>
      <c r="D818" s="17" t="s">
        <v>153</v>
      </c>
    </row>
    <row r="819" spans="1:26" x14ac:dyDescent="0.2">
      <c r="A819" s="19">
        <v>378160</v>
      </c>
      <c r="B819" s="21" t="s">
        <v>220</v>
      </c>
      <c r="C819" s="17">
        <v>200</v>
      </c>
      <c r="D819" s="17" t="s">
        <v>150</v>
      </c>
    </row>
    <row r="820" spans="1:26" x14ac:dyDescent="0.2">
      <c r="A820" s="19">
        <v>708470</v>
      </c>
      <c r="B820" s="21" t="s">
        <v>221</v>
      </c>
      <c r="C820" s="17">
        <v>6</v>
      </c>
      <c r="D820" s="17" t="s">
        <v>153</v>
      </c>
    </row>
    <row r="821" spans="1:26" x14ac:dyDescent="0.2">
      <c r="A821" s="19">
        <v>628160</v>
      </c>
      <c r="B821" s="21" t="s">
        <v>222</v>
      </c>
      <c r="C821" s="17">
        <v>50</v>
      </c>
      <c r="D821" s="17" t="s">
        <v>151</v>
      </c>
    </row>
    <row r="822" spans="1:26" x14ac:dyDescent="0.2">
      <c r="A822" s="11">
        <v>109999</v>
      </c>
      <c r="B822" s="11" t="s">
        <v>223</v>
      </c>
      <c r="C822" s="17">
        <v>1</v>
      </c>
      <c r="D822" s="17" t="s">
        <v>151</v>
      </c>
      <c r="E822" s="17">
        <v>8000</v>
      </c>
    </row>
    <row r="823" spans="1:26" x14ac:dyDescent="0.2">
      <c r="A823" s="11">
        <v>640000</v>
      </c>
      <c r="B823" s="22" t="s">
        <v>224</v>
      </c>
      <c r="C823">
        <v>1</v>
      </c>
      <c r="D823" t="s">
        <v>151</v>
      </c>
      <c r="E823">
        <v>6800</v>
      </c>
    </row>
    <row r="824" spans="1:26" x14ac:dyDescent="0.2">
      <c r="A824" s="11">
        <v>999999</v>
      </c>
      <c r="B824" s="22" t="s">
        <v>225</v>
      </c>
      <c r="C824">
        <v>1</v>
      </c>
      <c r="D824" t="s">
        <v>226</v>
      </c>
      <c r="E824">
        <v>1800</v>
      </c>
    </row>
    <row r="825" spans="1:26" x14ac:dyDescent="0.2">
      <c r="A825" s="5" t="s">
        <v>90</v>
      </c>
      <c r="B825" s="5" t="s">
        <v>57</v>
      </c>
      <c r="C825">
        <v>1</v>
      </c>
      <c r="E825">
        <v>0</v>
      </c>
      <c r="G825">
        <v>0</v>
      </c>
      <c r="I825">
        <v>3</v>
      </c>
      <c r="J825" t="s">
        <v>31</v>
      </c>
      <c r="L825">
        <v>26</v>
      </c>
      <c r="O825" t="str">
        <f t="shared" si="42"/>
        <v>טיוטא</v>
      </c>
      <c r="P825" t="str">
        <f t="shared" si="43"/>
        <v>אופיר</v>
      </c>
      <c r="R825">
        <v>26</v>
      </c>
      <c r="X825" t="str">
        <f t="shared" si="44"/>
        <v>ש"ח</v>
      </c>
      <c r="Y825">
        <v>0</v>
      </c>
      <c r="Z825" t="str">
        <f t="shared" si="45"/>
        <v>ש"ח</v>
      </c>
    </row>
    <row r="826" spans="1:26" ht="15" x14ac:dyDescent="0.2">
      <c r="A826" s="6">
        <v>10.15</v>
      </c>
      <c r="B826" s="6" t="s">
        <v>91</v>
      </c>
      <c r="C826">
        <v>1</v>
      </c>
      <c r="E826">
        <v>0</v>
      </c>
      <c r="G826">
        <v>100</v>
      </c>
      <c r="I826">
        <v>2</v>
      </c>
      <c r="J826" t="s">
        <v>33</v>
      </c>
      <c r="L826">
        <v>27</v>
      </c>
      <c r="O826" t="str">
        <f t="shared" si="42"/>
        <v>טיוטא</v>
      </c>
      <c r="P826" t="str">
        <f t="shared" si="43"/>
        <v>אופיר</v>
      </c>
      <c r="R826">
        <v>27</v>
      </c>
      <c r="X826" t="str">
        <f t="shared" si="44"/>
        <v>ש"ח</v>
      </c>
      <c r="Y826">
        <v>0</v>
      </c>
      <c r="Z826" t="str">
        <f t="shared" si="45"/>
        <v>ש"ח</v>
      </c>
    </row>
    <row r="827" spans="1:26" x14ac:dyDescent="0.2">
      <c r="A827" s="5" t="s">
        <v>92</v>
      </c>
      <c r="B827" s="5" t="s">
        <v>54</v>
      </c>
      <c r="C827">
        <v>1</v>
      </c>
      <c r="E827">
        <v>0</v>
      </c>
      <c r="G827">
        <v>0</v>
      </c>
      <c r="I827">
        <v>3</v>
      </c>
      <c r="Y827">
        <v>0</v>
      </c>
      <c r="Z827" t="str">
        <f t="shared" ref="Z827:Z1670" si="57">"ש""ח"</f>
        <v>ש"ח</v>
      </c>
    </row>
    <row r="828" spans="1:26" s="18" customFormat="1" ht="15" customHeight="1" x14ac:dyDescent="0.2">
      <c r="A828" s="16">
        <v>218260</v>
      </c>
      <c r="B828" s="12" t="s">
        <v>154</v>
      </c>
      <c r="C828" s="17">
        <v>500</v>
      </c>
      <c r="D828" s="17" t="s">
        <v>150</v>
      </c>
      <c r="Y828" s="18">
        <f>C828*E828</f>
        <v>0</v>
      </c>
    </row>
    <row r="829" spans="1:26" s="18" customFormat="1" ht="12.75" x14ac:dyDescent="0.2">
      <c r="A829" s="16">
        <v>218270</v>
      </c>
      <c r="B829" s="12" t="s">
        <v>155</v>
      </c>
      <c r="C829" s="17">
        <v>100</v>
      </c>
      <c r="D829" s="17" t="s">
        <v>150</v>
      </c>
      <c r="Y829" s="18">
        <f>C829*E829</f>
        <v>0</v>
      </c>
    </row>
    <row r="830" spans="1:26" s="18" customFormat="1" ht="12.75" x14ac:dyDescent="0.2">
      <c r="A830" s="16">
        <v>218140</v>
      </c>
      <c r="B830" s="17" t="s">
        <v>156</v>
      </c>
      <c r="C830" s="17">
        <v>50</v>
      </c>
      <c r="D830" s="17" t="s">
        <v>150</v>
      </c>
      <c r="Y830" s="18">
        <f>C830*E830</f>
        <v>0</v>
      </c>
    </row>
    <row r="831" spans="1:26" s="18" customFormat="1" ht="12.75" x14ac:dyDescent="0.2">
      <c r="A831" s="16">
        <v>228130</v>
      </c>
      <c r="B831" s="17" t="s">
        <v>147</v>
      </c>
      <c r="C831" s="17">
        <v>10</v>
      </c>
      <c r="D831" s="17" t="s">
        <v>151</v>
      </c>
    </row>
    <row r="832" spans="1:26" s="18" customFormat="1" ht="12.75" x14ac:dyDescent="0.2">
      <c r="A832" s="16">
        <v>228350</v>
      </c>
      <c r="B832" s="12" t="s">
        <v>157</v>
      </c>
      <c r="C832" s="17">
        <v>25</v>
      </c>
      <c r="D832" s="17" t="s">
        <v>151</v>
      </c>
    </row>
    <row r="833" spans="1:26" s="18" customFormat="1" ht="12.75" x14ac:dyDescent="0.2">
      <c r="A833" s="16">
        <v>228370</v>
      </c>
      <c r="B833" s="12" t="s">
        <v>158</v>
      </c>
      <c r="C833" s="17">
        <v>30</v>
      </c>
      <c r="D833" s="17" t="s">
        <v>151</v>
      </c>
    </row>
    <row r="834" spans="1:26" s="18" customFormat="1" ht="12.75" x14ac:dyDescent="0.2">
      <c r="A834" s="16">
        <v>798200</v>
      </c>
      <c r="B834" s="16" t="s">
        <v>159</v>
      </c>
      <c r="C834" s="17">
        <v>1</v>
      </c>
      <c r="D834" s="17" t="s">
        <v>151</v>
      </c>
    </row>
    <row r="835" spans="1:26" s="18" customFormat="1" ht="12.75" x14ac:dyDescent="0.2">
      <c r="A835" s="16">
        <v>918140</v>
      </c>
      <c r="B835" s="16" t="s">
        <v>160</v>
      </c>
      <c r="C835" s="17">
        <v>100</v>
      </c>
      <c r="D835" s="17" t="s">
        <v>151</v>
      </c>
    </row>
    <row r="836" spans="1:26" s="9" customFormat="1" x14ac:dyDescent="0.2">
      <c r="A836" s="11">
        <v>438200</v>
      </c>
      <c r="B836" s="12" t="s">
        <v>161</v>
      </c>
      <c r="C836" s="13">
        <v>5</v>
      </c>
      <c r="D836" s="13" t="s">
        <v>150</v>
      </c>
    </row>
    <row r="837" spans="1:26" s="9" customFormat="1" x14ac:dyDescent="0.2">
      <c r="A837" s="11"/>
      <c r="B837" s="12" t="s">
        <v>223</v>
      </c>
      <c r="C837" s="17">
        <v>1</v>
      </c>
      <c r="D837" s="17" t="s">
        <v>226</v>
      </c>
      <c r="E837" s="9">
        <v>3000</v>
      </c>
    </row>
    <row r="838" spans="1:26" x14ac:dyDescent="0.2">
      <c r="A838" s="5" t="s">
        <v>93</v>
      </c>
      <c r="B838" s="5" t="s">
        <v>55</v>
      </c>
      <c r="C838">
        <v>1</v>
      </c>
      <c r="E838">
        <v>0</v>
      </c>
      <c r="G838">
        <v>0</v>
      </c>
      <c r="I838">
        <v>3</v>
      </c>
      <c r="Y838">
        <v>0</v>
      </c>
      <c r="Z838" t="str">
        <f t="shared" si="57"/>
        <v>ש"ח</v>
      </c>
    </row>
    <row r="839" spans="1:26" s="17" customFormat="1" ht="15" customHeight="1" x14ac:dyDescent="0.2">
      <c r="A839" s="16">
        <v>218260</v>
      </c>
      <c r="B839" s="12" t="s">
        <v>154</v>
      </c>
      <c r="C839" s="17">
        <v>700</v>
      </c>
      <c r="D839" s="17" t="s">
        <v>150</v>
      </c>
    </row>
    <row r="840" spans="1:26" s="17" customFormat="1" ht="12.75" x14ac:dyDescent="0.2">
      <c r="A840" s="16">
        <v>218290</v>
      </c>
      <c r="B840" s="12" t="s">
        <v>162</v>
      </c>
      <c r="C840" s="17">
        <v>800</v>
      </c>
      <c r="D840" s="17" t="s">
        <v>150</v>
      </c>
    </row>
    <row r="841" spans="1:26" s="17" customFormat="1" ht="12.75" x14ac:dyDescent="0.2">
      <c r="A841" s="16">
        <v>218370</v>
      </c>
      <c r="B841" s="12" t="s">
        <v>163</v>
      </c>
      <c r="C841" s="17">
        <v>150</v>
      </c>
      <c r="D841" s="17" t="s">
        <v>150</v>
      </c>
    </row>
    <row r="842" spans="1:26" s="17" customFormat="1" ht="12.75" x14ac:dyDescent="0.2">
      <c r="A842" s="16">
        <v>218340</v>
      </c>
      <c r="B842" s="12" t="s">
        <v>164</v>
      </c>
      <c r="C842" s="17">
        <v>150</v>
      </c>
      <c r="D842" s="17" t="s">
        <v>150</v>
      </c>
    </row>
    <row r="843" spans="1:26" s="17" customFormat="1" ht="12.75" x14ac:dyDescent="0.2">
      <c r="A843" s="16">
        <v>218190</v>
      </c>
      <c r="B843" s="12" t="s">
        <v>148</v>
      </c>
      <c r="C843" s="17">
        <v>300</v>
      </c>
      <c r="D843" s="17" t="s">
        <v>150</v>
      </c>
    </row>
    <row r="844" spans="1:26" s="17" customFormat="1" ht="12.75" x14ac:dyDescent="0.2">
      <c r="A844" s="16">
        <v>218300</v>
      </c>
      <c r="B844" s="12" t="s">
        <v>165</v>
      </c>
      <c r="C844" s="17">
        <v>50</v>
      </c>
      <c r="D844" s="17" t="s">
        <v>150</v>
      </c>
    </row>
    <row r="845" spans="1:26" s="17" customFormat="1" ht="12.75" x14ac:dyDescent="0.2">
      <c r="A845" s="16">
        <v>368110</v>
      </c>
      <c r="B845" s="12" t="s">
        <v>166</v>
      </c>
      <c r="C845" s="17">
        <v>800</v>
      </c>
      <c r="D845" s="17" t="s">
        <v>150</v>
      </c>
    </row>
    <row r="846" spans="1:26" s="17" customFormat="1" ht="12.75" x14ac:dyDescent="0.2">
      <c r="A846" s="16">
        <v>368120</v>
      </c>
      <c r="B846" s="12" t="s">
        <v>167</v>
      </c>
      <c r="C846" s="17">
        <v>800</v>
      </c>
      <c r="D846" s="17" t="s">
        <v>150</v>
      </c>
    </row>
    <row r="847" spans="1:26" s="17" customFormat="1" ht="12.75" x14ac:dyDescent="0.2">
      <c r="A847" s="16">
        <v>368130</v>
      </c>
      <c r="B847" s="12" t="s">
        <v>168</v>
      </c>
      <c r="C847" s="17">
        <v>800</v>
      </c>
      <c r="D847" s="17" t="s">
        <v>150</v>
      </c>
    </row>
    <row r="848" spans="1:26" s="17" customFormat="1" ht="12.75" x14ac:dyDescent="0.2">
      <c r="A848" s="16">
        <v>368140</v>
      </c>
      <c r="B848" s="12" t="s">
        <v>169</v>
      </c>
      <c r="C848" s="17">
        <v>800</v>
      </c>
      <c r="D848" s="17" t="s">
        <v>150</v>
      </c>
    </row>
    <row r="849" spans="1:26" s="17" customFormat="1" ht="12.75" x14ac:dyDescent="0.2">
      <c r="A849" s="16">
        <v>368150</v>
      </c>
      <c r="B849" s="12" t="s">
        <v>170</v>
      </c>
      <c r="C849" s="17">
        <v>800</v>
      </c>
      <c r="D849" s="17" t="s">
        <v>150</v>
      </c>
    </row>
    <row r="850" spans="1:26" s="17" customFormat="1" ht="12.75" x14ac:dyDescent="0.2">
      <c r="A850" s="16">
        <v>368160</v>
      </c>
      <c r="B850" s="12" t="s">
        <v>171</v>
      </c>
      <c r="C850" s="17">
        <v>700</v>
      </c>
      <c r="D850" s="17" t="s">
        <v>150</v>
      </c>
    </row>
    <row r="851" spans="1:26" s="17" customFormat="1" ht="12.75" x14ac:dyDescent="0.2">
      <c r="A851" s="16">
        <v>368170</v>
      </c>
      <c r="B851" s="12" t="s">
        <v>172</v>
      </c>
      <c r="C851" s="17">
        <v>700</v>
      </c>
      <c r="D851" s="17" t="s">
        <v>150</v>
      </c>
    </row>
    <row r="852" spans="1:26" s="17" customFormat="1" ht="12.75" x14ac:dyDescent="0.2">
      <c r="A852" s="16">
        <v>368180</v>
      </c>
      <c r="B852" s="12" t="s">
        <v>173</v>
      </c>
      <c r="C852" s="17">
        <v>700</v>
      </c>
      <c r="D852" s="17" t="s">
        <v>150</v>
      </c>
    </row>
    <row r="853" spans="1:26" s="17" customFormat="1" ht="12.75" x14ac:dyDescent="0.2">
      <c r="A853" s="16">
        <v>378120</v>
      </c>
      <c r="B853" s="12" t="s">
        <v>174</v>
      </c>
      <c r="C853" s="17">
        <v>200</v>
      </c>
      <c r="D853" s="17" t="s">
        <v>150</v>
      </c>
    </row>
    <row r="854" spans="1:26" s="17" customFormat="1" ht="12.75" x14ac:dyDescent="0.2">
      <c r="A854" s="16">
        <v>228350</v>
      </c>
      <c r="B854" s="12" t="s">
        <v>157</v>
      </c>
      <c r="C854" s="17">
        <v>60</v>
      </c>
      <c r="D854" s="17" t="s">
        <v>151</v>
      </c>
    </row>
    <row r="855" spans="1:26" s="17" customFormat="1" ht="12.75" x14ac:dyDescent="0.2">
      <c r="A855" s="16">
        <v>228370</v>
      </c>
      <c r="B855" s="12" t="s">
        <v>158</v>
      </c>
      <c r="C855" s="17">
        <v>30</v>
      </c>
      <c r="D855" s="17" t="s">
        <v>151</v>
      </c>
    </row>
    <row r="856" spans="1:26" s="17" customFormat="1" ht="12.75" x14ac:dyDescent="0.2">
      <c r="A856" s="16">
        <v>918180</v>
      </c>
      <c r="B856" s="12" t="s">
        <v>149</v>
      </c>
      <c r="C856" s="17">
        <v>4</v>
      </c>
      <c r="D856" s="17" t="s">
        <v>152</v>
      </c>
    </row>
    <row r="857" spans="1:26" s="17" customFormat="1" ht="12.75" x14ac:dyDescent="0.2">
      <c r="A857" s="16">
        <v>918190</v>
      </c>
      <c r="B857" s="16" t="s">
        <v>175</v>
      </c>
      <c r="C857" s="17">
        <v>4</v>
      </c>
      <c r="D857" s="17" t="s">
        <v>152</v>
      </c>
    </row>
    <row r="858" spans="1:26" s="17" customFormat="1" ht="12.75" x14ac:dyDescent="0.2">
      <c r="A858" s="16">
        <v>228130</v>
      </c>
      <c r="B858" s="17" t="s">
        <v>147</v>
      </c>
      <c r="C858" s="17">
        <v>10</v>
      </c>
      <c r="D858" s="17" t="s">
        <v>153</v>
      </c>
    </row>
    <row r="859" spans="1:26" s="17" customFormat="1" ht="12.75" x14ac:dyDescent="0.2">
      <c r="A859" s="16">
        <v>228140</v>
      </c>
      <c r="B859" s="12" t="s">
        <v>176</v>
      </c>
      <c r="C859" s="17">
        <v>25</v>
      </c>
      <c r="D859" s="17" t="s">
        <v>153</v>
      </c>
    </row>
    <row r="860" spans="1:26" s="17" customFormat="1" ht="13.5" customHeight="1" x14ac:dyDescent="0.2">
      <c r="A860" s="16">
        <v>438200</v>
      </c>
      <c r="B860" s="12" t="s">
        <v>161</v>
      </c>
      <c r="C860" s="17">
        <v>10</v>
      </c>
      <c r="D860" s="17" t="s">
        <v>151</v>
      </c>
    </row>
    <row r="861" spans="1:26" s="17" customFormat="1" ht="13.5" customHeight="1" x14ac:dyDescent="0.2">
      <c r="A861" s="19">
        <v>708580</v>
      </c>
      <c r="B861" s="20" t="s">
        <v>216</v>
      </c>
      <c r="C861" s="17">
        <v>1</v>
      </c>
      <c r="D861" s="17" t="s">
        <v>153</v>
      </c>
    </row>
    <row r="862" spans="1:26" s="17" customFormat="1" ht="13.5" customHeight="1" x14ac:dyDescent="0.2">
      <c r="A862" s="11">
        <v>109999</v>
      </c>
      <c r="B862" s="11" t="s">
        <v>223</v>
      </c>
      <c r="C862" s="17">
        <v>1</v>
      </c>
      <c r="D862" s="17" t="s">
        <v>151</v>
      </c>
      <c r="E862" s="17">
        <v>12000</v>
      </c>
    </row>
    <row r="863" spans="1:26" x14ac:dyDescent="0.2">
      <c r="A863" s="5" t="s">
        <v>94</v>
      </c>
      <c r="B863" s="5" t="s">
        <v>56</v>
      </c>
      <c r="C863">
        <v>1</v>
      </c>
      <c r="E863">
        <v>0</v>
      </c>
      <c r="G863">
        <v>0</v>
      </c>
      <c r="I863">
        <v>3</v>
      </c>
      <c r="Y863">
        <v>0</v>
      </c>
      <c r="Z863" t="str">
        <f t="shared" si="57"/>
        <v>ש"ח</v>
      </c>
    </row>
    <row r="864" spans="1:26" x14ac:dyDescent="0.2">
      <c r="A864" s="19" t="str">
        <f>"150011290"</f>
        <v>150011290</v>
      </c>
      <c r="B864" s="19" t="str">
        <f>"נורת ניאון אדומה 220"</f>
        <v>נורת ניאון אדומה 220</v>
      </c>
      <c r="C864" s="17">
        <v>8</v>
      </c>
      <c r="D864" s="17" t="s">
        <v>151</v>
      </c>
    </row>
    <row r="865" spans="1:4" x14ac:dyDescent="0.2">
      <c r="A865" s="19" t="str">
        <f>"150020002"</f>
        <v>150020002</v>
      </c>
      <c r="B865" s="19" t="str">
        <f>"שקע כח ישראלי NEVE-"</f>
        <v>שקע כח ישראלי NEVE-</v>
      </c>
      <c r="C865" s="17">
        <v>77</v>
      </c>
      <c r="D865" s="17" t="s">
        <v>151</v>
      </c>
    </row>
    <row r="866" spans="1:4" x14ac:dyDescent="0.2">
      <c r="A866" s="19" t="str">
        <f>"150020004"</f>
        <v>150020004</v>
      </c>
      <c r="B866" s="19" t="str">
        <f>"שקע טלפון NEVE-"</f>
        <v>שקע טלפון NEVE-</v>
      </c>
      <c r="C866" s="17">
        <v>14</v>
      </c>
      <c r="D866" s="17" t="s">
        <v>151</v>
      </c>
    </row>
    <row r="867" spans="1:4" x14ac:dyDescent="0.2">
      <c r="A867" s="19" t="str">
        <f>"150020014"</f>
        <v>150020014</v>
      </c>
      <c r="B867" s="19" t="str">
        <f>"דמי NEVE-"</f>
        <v>דמי NEVE-</v>
      </c>
      <c r="C867" s="17">
        <v>22</v>
      </c>
      <c r="D867" s="17" t="s">
        <v>151</v>
      </c>
    </row>
    <row r="868" spans="1:4" x14ac:dyDescent="0.2">
      <c r="A868" s="19" t="str">
        <f>"150020023"</f>
        <v>150020023</v>
      </c>
      <c r="B868" s="19" t="str">
        <f>"לחצן מואר NEVE-"</f>
        <v>לחצן מואר NEVE-</v>
      </c>
      <c r="C868" s="17">
        <v>4</v>
      </c>
      <c r="D868" s="17" t="s">
        <v>151</v>
      </c>
    </row>
    <row r="869" spans="1:4" x14ac:dyDescent="0.2">
      <c r="A869" s="19" t="str">
        <f>"150020024"</f>
        <v>150020024</v>
      </c>
      <c r="B869" s="19" t="str">
        <f>"לחצן רחב 2 .NEVE-"</f>
        <v>לחצן רחב 2 .NEVE-</v>
      </c>
      <c r="C869" s="17">
        <v>2</v>
      </c>
      <c r="D869" s="17" t="s">
        <v>151</v>
      </c>
    </row>
    <row r="870" spans="1:4" x14ac:dyDescent="0.2">
      <c r="A870" s="19" t="str">
        <f>"150020029"</f>
        <v>150020029</v>
      </c>
      <c r="B870" s="19" t="str">
        <f>"מסגרת 1 מודול NEVE-"</f>
        <v>מסגרת 1 מודול NEVE-</v>
      </c>
      <c r="C870" s="17">
        <v>33</v>
      </c>
      <c r="D870" s="17" t="s">
        <v>151</v>
      </c>
    </row>
    <row r="871" spans="1:4" x14ac:dyDescent="0.2">
      <c r="A871" s="19" t="str">
        <f>"150020036"</f>
        <v>150020036</v>
      </c>
      <c r="B871" s="19" t="str">
        <f>"מסגרת 2 מודול NEVE-"</f>
        <v>מסגרת 2 מודול NEVE-</v>
      </c>
      <c r="C871" s="17">
        <v>22</v>
      </c>
      <c r="D871" s="17" t="s">
        <v>151</v>
      </c>
    </row>
    <row r="872" spans="1:4" x14ac:dyDescent="0.2">
      <c r="A872" s="19" t="str">
        <f>"150020041"</f>
        <v>150020041</v>
      </c>
      <c r="B872" s="19" t="str">
        <f>"מסגרת 3 מודול NEVE-"</f>
        <v>מסגרת 3 מודול NEVE-</v>
      </c>
      <c r="C872" s="17">
        <v>13</v>
      </c>
      <c r="D872" s="17" t="s">
        <v>151</v>
      </c>
    </row>
    <row r="873" spans="1:4" x14ac:dyDescent="0.2">
      <c r="A873" s="19" t="str">
        <f>"150020045"</f>
        <v>150020045</v>
      </c>
      <c r="B873" s="19" t="str">
        <f>"מסגרת 4 מודול NEVE-"</f>
        <v>מסגרת 4 מודול NEVE-</v>
      </c>
      <c r="C873" s="17">
        <v>28</v>
      </c>
      <c r="D873" s="17" t="s">
        <v>151</v>
      </c>
    </row>
    <row r="874" spans="1:4" x14ac:dyDescent="0.2">
      <c r="A874" s="19" t="str">
        <f>"150020059"</f>
        <v>150020059</v>
      </c>
      <c r="B874" s="19" t="str">
        <f>"מפסק יחיד NEVE-"</f>
        <v>מפסק יחיד NEVE-</v>
      </c>
      <c r="C874" s="17">
        <v>30</v>
      </c>
      <c r="D874" s="17" t="s">
        <v>151</v>
      </c>
    </row>
    <row r="875" spans="1:4" x14ac:dyDescent="0.2">
      <c r="A875" s="19" t="str">
        <f>"150020061"</f>
        <v>150020061</v>
      </c>
      <c r="B875" s="19" t="str">
        <f>"מפסק חיולף NEVE-"</f>
        <v>מפסק חיולף NEVE-</v>
      </c>
      <c r="C875" s="17">
        <v>25</v>
      </c>
      <c r="D875" s="17" t="s">
        <v>151</v>
      </c>
    </row>
    <row r="876" spans="1:4" x14ac:dyDescent="0.2">
      <c r="A876" s="19" t="str">
        <f>"150020063"</f>
        <v>150020063</v>
      </c>
      <c r="B876" s="19" t="str">
        <f>"מפסק צלב NEVE-"</f>
        <v>מפסק צלב NEVE-</v>
      </c>
      <c r="C876" s="17">
        <v>3</v>
      </c>
      <c r="D876" s="17" t="s">
        <v>151</v>
      </c>
    </row>
    <row r="877" spans="1:4" x14ac:dyDescent="0.2">
      <c r="A877" s="19" t="str">
        <f>"150020068"</f>
        <v>150020068</v>
      </c>
      <c r="B877" s="19" t="str">
        <f>"מתאם 2 מודול NEVE-"</f>
        <v>מתאם 2 מודול NEVE-</v>
      </c>
      <c r="C877" s="17">
        <v>22</v>
      </c>
      <c r="D877" s="17" t="s">
        <v>151</v>
      </c>
    </row>
    <row r="878" spans="1:4" x14ac:dyDescent="0.2">
      <c r="A878" s="19" t="str">
        <f>"150020069"</f>
        <v>150020069</v>
      </c>
      <c r="B878" s="19" t="str">
        <f>"מתאם 3 מודול NEVE-"</f>
        <v>מתאם 3 מודול NEVE-</v>
      </c>
      <c r="C878" s="17">
        <v>46</v>
      </c>
      <c r="D878" s="17" t="s">
        <v>151</v>
      </c>
    </row>
    <row r="879" spans="1:4" x14ac:dyDescent="0.2">
      <c r="A879" s="19" t="str">
        <f>"150020070"</f>
        <v>150020070</v>
      </c>
      <c r="B879" s="19" t="str">
        <f>"מתאם 4 מודול NEVE-"</f>
        <v>מתאם 4 מודול NEVE-</v>
      </c>
      <c r="C879" s="17">
        <v>28</v>
      </c>
      <c r="D879" s="17" t="s">
        <v>151</v>
      </c>
    </row>
    <row r="880" spans="1:4" x14ac:dyDescent="0.2">
      <c r="A880" s="19" t="str">
        <f>"150020090"</f>
        <v>150020090</v>
      </c>
      <c r="B880" s="19" t="str">
        <f>"מפסק דוד NEVE-"</f>
        <v>מפסק דוד NEVE-</v>
      </c>
      <c r="C880" s="17">
        <v>4</v>
      </c>
      <c r="D880" s="17" t="s">
        <v>151</v>
      </c>
    </row>
    <row r="881" spans="1:26" x14ac:dyDescent="0.2">
      <c r="A881" s="19">
        <v>938140</v>
      </c>
      <c r="B881" s="21" t="s">
        <v>217</v>
      </c>
      <c r="C881" s="17">
        <v>10</v>
      </c>
      <c r="D881" s="17" t="s">
        <v>151</v>
      </c>
    </row>
    <row r="882" spans="1:26" x14ac:dyDescent="0.2">
      <c r="A882" s="19">
        <v>938150</v>
      </c>
      <c r="B882" s="21" t="s">
        <v>218</v>
      </c>
      <c r="C882" s="17">
        <v>1</v>
      </c>
      <c r="D882" s="17" t="s">
        <v>152</v>
      </c>
    </row>
    <row r="883" spans="1:26" x14ac:dyDescent="0.2">
      <c r="A883" s="19">
        <v>708370</v>
      </c>
      <c r="B883" s="21" t="s">
        <v>219</v>
      </c>
      <c r="C883" s="17">
        <v>2</v>
      </c>
      <c r="D883" s="17" t="s">
        <v>153</v>
      </c>
    </row>
    <row r="884" spans="1:26" x14ac:dyDescent="0.2">
      <c r="A884" s="19">
        <v>378160</v>
      </c>
      <c r="B884" s="21" t="s">
        <v>220</v>
      </c>
      <c r="C884" s="17">
        <v>200</v>
      </c>
      <c r="D884" s="17" t="s">
        <v>150</v>
      </c>
    </row>
    <row r="885" spans="1:26" x14ac:dyDescent="0.2">
      <c r="A885" s="19">
        <v>708470</v>
      </c>
      <c r="B885" s="21" t="s">
        <v>221</v>
      </c>
      <c r="C885" s="17">
        <v>6</v>
      </c>
      <c r="D885" s="17" t="s">
        <v>153</v>
      </c>
    </row>
    <row r="886" spans="1:26" x14ac:dyDescent="0.2">
      <c r="A886" s="19">
        <v>628160</v>
      </c>
      <c r="B886" s="21" t="s">
        <v>222</v>
      </c>
      <c r="C886" s="17">
        <v>50</v>
      </c>
      <c r="D886" s="17" t="s">
        <v>151</v>
      </c>
    </row>
    <row r="887" spans="1:26" x14ac:dyDescent="0.2">
      <c r="A887" s="11">
        <v>109999</v>
      </c>
      <c r="B887" s="11" t="s">
        <v>223</v>
      </c>
      <c r="C887" s="17">
        <v>1</v>
      </c>
      <c r="D887" s="17" t="s">
        <v>151</v>
      </c>
      <c r="E887" s="17">
        <v>8000</v>
      </c>
    </row>
    <row r="888" spans="1:26" x14ac:dyDescent="0.2">
      <c r="A888" s="11">
        <v>640000</v>
      </c>
      <c r="B888" s="22" t="s">
        <v>224</v>
      </c>
      <c r="C888">
        <v>1</v>
      </c>
      <c r="D888" t="s">
        <v>151</v>
      </c>
      <c r="E888">
        <v>6800</v>
      </c>
    </row>
    <row r="889" spans="1:26" x14ac:dyDescent="0.2">
      <c r="A889" s="11">
        <v>999999</v>
      </c>
      <c r="B889" s="22" t="s">
        <v>225</v>
      </c>
      <c r="C889">
        <v>1</v>
      </c>
      <c r="D889" t="s">
        <v>226</v>
      </c>
      <c r="E889">
        <v>1800</v>
      </c>
    </row>
    <row r="890" spans="1:26" x14ac:dyDescent="0.2">
      <c r="A890" s="5" t="s">
        <v>95</v>
      </c>
      <c r="B890" s="5" t="s">
        <v>57</v>
      </c>
      <c r="C890">
        <v>1</v>
      </c>
      <c r="E890">
        <v>0</v>
      </c>
      <c r="G890">
        <v>0</v>
      </c>
      <c r="I890">
        <v>3</v>
      </c>
      <c r="Y890">
        <v>0</v>
      </c>
      <c r="Z890" t="str">
        <f t="shared" si="57"/>
        <v>ש"ח</v>
      </c>
    </row>
    <row r="891" spans="1:26" ht="15" x14ac:dyDescent="0.2">
      <c r="A891" s="6">
        <v>10.16</v>
      </c>
      <c r="B891" s="6" t="s">
        <v>23</v>
      </c>
      <c r="C891">
        <v>1</v>
      </c>
      <c r="E891">
        <v>0</v>
      </c>
      <c r="G891">
        <v>100</v>
      </c>
      <c r="I891">
        <v>2</v>
      </c>
      <c r="Y891">
        <v>0</v>
      </c>
      <c r="Z891" t="str">
        <f t="shared" si="57"/>
        <v>ש"ח</v>
      </c>
    </row>
    <row r="892" spans="1:26" x14ac:dyDescent="0.2">
      <c r="A892" s="5" t="s">
        <v>96</v>
      </c>
      <c r="B892" s="5" t="s">
        <v>100</v>
      </c>
      <c r="C892">
        <v>1</v>
      </c>
      <c r="E892">
        <v>0</v>
      </c>
      <c r="G892">
        <v>0</v>
      </c>
      <c r="I892">
        <v>3</v>
      </c>
      <c r="Y892">
        <v>0</v>
      </c>
      <c r="Z892" t="str">
        <f t="shared" si="57"/>
        <v>ש"ח</v>
      </c>
    </row>
    <row r="893" spans="1:26" s="18" customFormat="1" ht="15" customHeight="1" x14ac:dyDescent="0.2">
      <c r="A893" s="16">
        <v>218260</v>
      </c>
      <c r="B893" s="12" t="s">
        <v>154</v>
      </c>
      <c r="C893" s="17">
        <v>500</v>
      </c>
      <c r="D893" s="17" t="s">
        <v>150</v>
      </c>
      <c r="Y893" s="18">
        <f>C893*E893</f>
        <v>0</v>
      </c>
    </row>
    <row r="894" spans="1:26" s="18" customFormat="1" ht="12.75" x14ac:dyDescent="0.2">
      <c r="A894" s="16">
        <v>218270</v>
      </c>
      <c r="B894" s="12" t="s">
        <v>155</v>
      </c>
      <c r="C894" s="17">
        <v>100</v>
      </c>
      <c r="D894" s="17" t="s">
        <v>150</v>
      </c>
      <c r="Y894" s="18">
        <f>C894*E894</f>
        <v>0</v>
      </c>
    </row>
    <row r="895" spans="1:26" s="18" customFormat="1" ht="12.75" x14ac:dyDescent="0.2">
      <c r="A895" s="16">
        <v>218140</v>
      </c>
      <c r="B895" s="17" t="s">
        <v>156</v>
      </c>
      <c r="C895" s="17">
        <v>50</v>
      </c>
      <c r="D895" s="17" t="s">
        <v>150</v>
      </c>
      <c r="Y895" s="18">
        <f>C895*E895</f>
        <v>0</v>
      </c>
    </row>
    <row r="896" spans="1:26" s="18" customFormat="1" ht="12.75" x14ac:dyDescent="0.2">
      <c r="A896" s="16">
        <v>228130</v>
      </c>
      <c r="B896" s="17" t="s">
        <v>147</v>
      </c>
      <c r="C896" s="17">
        <v>10</v>
      </c>
      <c r="D896" s="17" t="s">
        <v>151</v>
      </c>
    </row>
    <row r="897" spans="1:26" s="18" customFormat="1" ht="12.75" x14ac:dyDescent="0.2">
      <c r="A897" s="16">
        <v>228350</v>
      </c>
      <c r="B897" s="12" t="s">
        <v>157</v>
      </c>
      <c r="C897" s="17">
        <v>25</v>
      </c>
      <c r="D897" s="17" t="s">
        <v>151</v>
      </c>
    </row>
    <row r="898" spans="1:26" s="18" customFormat="1" ht="12.75" x14ac:dyDescent="0.2">
      <c r="A898" s="16">
        <v>228370</v>
      </c>
      <c r="B898" s="12" t="s">
        <v>158</v>
      </c>
      <c r="C898" s="17">
        <v>30</v>
      </c>
      <c r="D898" s="17" t="s">
        <v>151</v>
      </c>
    </row>
    <row r="899" spans="1:26" s="18" customFormat="1" ht="12.75" x14ac:dyDescent="0.2">
      <c r="A899" s="16">
        <v>798200</v>
      </c>
      <c r="B899" s="16" t="s">
        <v>159</v>
      </c>
      <c r="C899" s="17">
        <v>1</v>
      </c>
      <c r="D899" s="17" t="s">
        <v>151</v>
      </c>
    </row>
    <row r="900" spans="1:26" s="18" customFormat="1" ht="12.75" x14ac:dyDescent="0.2">
      <c r="A900" s="16">
        <v>918140</v>
      </c>
      <c r="B900" s="16" t="s">
        <v>160</v>
      </c>
      <c r="C900" s="17">
        <v>100</v>
      </c>
      <c r="D900" s="17" t="s">
        <v>151</v>
      </c>
    </row>
    <row r="901" spans="1:26" s="9" customFormat="1" x14ac:dyDescent="0.2">
      <c r="A901" s="11">
        <v>438200</v>
      </c>
      <c r="B901" s="12" t="s">
        <v>161</v>
      </c>
      <c r="C901" s="13">
        <v>5</v>
      </c>
      <c r="D901" s="13" t="s">
        <v>150</v>
      </c>
    </row>
    <row r="902" spans="1:26" s="9" customFormat="1" x14ac:dyDescent="0.2">
      <c r="A902" s="11"/>
      <c r="B902" s="12" t="s">
        <v>223</v>
      </c>
      <c r="C902" s="17">
        <v>1</v>
      </c>
      <c r="D902" s="17" t="s">
        <v>226</v>
      </c>
      <c r="E902" s="9">
        <v>3000</v>
      </c>
    </row>
    <row r="903" spans="1:26" x14ac:dyDescent="0.2">
      <c r="A903" s="5" t="s">
        <v>97</v>
      </c>
      <c r="B903" s="5" t="s">
        <v>101</v>
      </c>
      <c r="C903">
        <v>1</v>
      </c>
      <c r="E903">
        <v>0</v>
      </c>
      <c r="G903">
        <v>0</v>
      </c>
      <c r="I903">
        <v>3</v>
      </c>
      <c r="Y903">
        <v>0</v>
      </c>
      <c r="Z903" t="str">
        <f t="shared" si="57"/>
        <v>ש"ח</v>
      </c>
    </row>
    <row r="904" spans="1:26" s="17" customFormat="1" ht="15" customHeight="1" x14ac:dyDescent="0.2">
      <c r="A904" s="16">
        <v>218260</v>
      </c>
      <c r="B904" s="12" t="s">
        <v>154</v>
      </c>
      <c r="C904" s="17">
        <v>700</v>
      </c>
      <c r="D904" s="17" t="s">
        <v>150</v>
      </c>
    </row>
    <row r="905" spans="1:26" s="17" customFormat="1" ht="12.75" x14ac:dyDescent="0.2">
      <c r="A905" s="16">
        <v>218290</v>
      </c>
      <c r="B905" s="12" t="s">
        <v>162</v>
      </c>
      <c r="C905" s="17">
        <v>800</v>
      </c>
      <c r="D905" s="17" t="s">
        <v>150</v>
      </c>
    </row>
    <row r="906" spans="1:26" s="17" customFormat="1" ht="12.75" x14ac:dyDescent="0.2">
      <c r="A906" s="16">
        <v>218370</v>
      </c>
      <c r="B906" s="12" t="s">
        <v>163</v>
      </c>
      <c r="C906" s="17">
        <v>150</v>
      </c>
      <c r="D906" s="17" t="s">
        <v>150</v>
      </c>
    </row>
    <row r="907" spans="1:26" s="17" customFormat="1" ht="12.75" x14ac:dyDescent="0.2">
      <c r="A907" s="16">
        <v>218340</v>
      </c>
      <c r="B907" s="12" t="s">
        <v>164</v>
      </c>
      <c r="C907" s="17">
        <v>150</v>
      </c>
      <c r="D907" s="17" t="s">
        <v>150</v>
      </c>
    </row>
    <row r="908" spans="1:26" s="17" customFormat="1" ht="12.75" x14ac:dyDescent="0.2">
      <c r="A908" s="16">
        <v>218190</v>
      </c>
      <c r="B908" s="12" t="s">
        <v>148</v>
      </c>
      <c r="C908" s="17">
        <v>300</v>
      </c>
      <c r="D908" s="17" t="s">
        <v>150</v>
      </c>
    </row>
    <row r="909" spans="1:26" s="17" customFormat="1" ht="12.75" x14ac:dyDescent="0.2">
      <c r="A909" s="16">
        <v>218300</v>
      </c>
      <c r="B909" s="12" t="s">
        <v>165</v>
      </c>
      <c r="C909" s="17">
        <v>50</v>
      </c>
      <c r="D909" s="17" t="s">
        <v>150</v>
      </c>
    </row>
    <row r="910" spans="1:26" s="17" customFormat="1" ht="12.75" x14ac:dyDescent="0.2">
      <c r="A910" s="16">
        <v>368110</v>
      </c>
      <c r="B910" s="12" t="s">
        <v>166</v>
      </c>
      <c r="C910" s="17">
        <v>800</v>
      </c>
      <c r="D910" s="17" t="s">
        <v>150</v>
      </c>
    </row>
    <row r="911" spans="1:26" s="17" customFormat="1" ht="12.75" x14ac:dyDescent="0.2">
      <c r="A911" s="16">
        <v>368120</v>
      </c>
      <c r="B911" s="12" t="s">
        <v>167</v>
      </c>
      <c r="C911" s="17">
        <v>800</v>
      </c>
      <c r="D911" s="17" t="s">
        <v>150</v>
      </c>
    </row>
    <row r="912" spans="1:26" s="17" customFormat="1" ht="12.75" x14ac:dyDescent="0.2">
      <c r="A912" s="16">
        <v>368130</v>
      </c>
      <c r="B912" s="12" t="s">
        <v>168</v>
      </c>
      <c r="C912" s="17">
        <v>800</v>
      </c>
      <c r="D912" s="17" t="s">
        <v>150</v>
      </c>
    </row>
    <row r="913" spans="1:26" s="17" customFormat="1" ht="12.75" x14ac:dyDescent="0.2">
      <c r="A913" s="16">
        <v>368140</v>
      </c>
      <c r="B913" s="12" t="s">
        <v>169</v>
      </c>
      <c r="C913" s="17">
        <v>800</v>
      </c>
      <c r="D913" s="17" t="s">
        <v>150</v>
      </c>
    </row>
    <row r="914" spans="1:26" s="17" customFormat="1" ht="12.75" x14ac:dyDescent="0.2">
      <c r="A914" s="16">
        <v>368150</v>
      </c>
      <c r="B914" s="12" t="s">
        <v>170</v>
      </c>
      <c r="C914" s="17">
        <v>800</v>
      </c>
      <c r="D914" s="17" t="s">
        <v>150</v>
      </c>
    </row>
    <row r="915" spans="1:26" s="17" customFormat="1" ht="12.75" x14ac:dyDescent="0.2">
      <c r="A915" s="16">
        <v>368160</v>
      </c>
      <c r="B915" s="12" t="s">
        <v>171</v>
      </c>
      <c r="C915" s="17">
        <v>700</v>
      </c>
      <c r="D915" s="17" t="s">
        <v>150</v>
      </c>
    </row>
    <row r="916" spans="1:26" s="17" customFormat="1" ht="12.75" x14ac:dyDescent="0.2">
      <c r="A916" s="16">
        <v>368170</v>
      </c>
      <c r="B916" s="12" t="s">
        <v>172</v>
      </c>
      <c r="C916" s="17">
        <v>700</v>
      </c>
      <c r="D916" s="17" t="s">
        <v>150</v>
      </c>
    </row>
    <row r="917" spans="1:26" s="17" customFormat="1" ht="12.75" x14ac:dyDescent="0.2">
      <c r="A917" s="16">
        <v>368180</v>
      </c>
      <c r="B917" s="12" t="s">
        <v>173</v>
      </c>
      <c r="C917" s="17">
        <v>700</v>
      </c>
      <c r="D917" s="17" t="s">
        <v>150</v>
      </c>
    </row>
    <row r="918" spans="1:26" s="17" customFormat="1" ht="12.75" x14ac:dyDescent="0.2">
      <c r="A918" s="16">
        <v>378120</v>
      </c>
      <c r="B918" s="12" t="s">
        <v>174</v>
      </c>
      <c r="C918" s="17">
        <v>200</v>
      </c>
      <c r="D918" s="17" t="s">
        <v>150</v>
      </c>
    </row>
    <row r="919" spans="1:26" s="17" customFormat="1" ht="12.75" x14ac:dyDescent="0.2">
      <c r="A919" s="16">
        <v>228350</v>
      </c>
      <c r="B919" s="12" t="s">
        <v>157</v>
      </c>
      <c r="C919" s="17">
        <v>60</v>
      </c>
      <c r="D919" s="17" t="s">
        <v>151</v>
      </c>
    </row>
    <row r="920" spans="1:26" s="17" customFormat="1" ht="12.75" x14ac:dyDescent="0.2">
      <c r="A920" s="16">
        <v>228370</v>
      </c>
      <c r="B920" s="12" t="s">
        <v>158</v>
      </c>
      <c r="C920" s="17">
        <v>30</v>
      </c>
      <c r="D920" s="17" t="s">
        <v>151</v>
      </c>
    </row>
    <row r="921" spans="1:26" s="17" customFormat="1" ht="12.75" x14ac:dyDescent="0.2">
      <c r="A921" s="16">
        <v>918180</v>
      </c>
      <c r="B921" s="12" t="s">
        <v>149</v>
      </c>
      <c r="C921" s="17">
        <v>4</v>
      </c>
      <c r="D921" s="17" t="s">
        <v>152</v>
      </c>
    </row>
    <row r="922" spans="1:26" s="17" customFormat="1" ht="12.75" x14ac:dyDescent="0.2">
      <c r="A922" s="16">
        <v>918190</v>
      </c>
      <c r="B922" s="16" t="s">
        <v>175</v>
      </c>
      <c r="C922" s="17">
        <v>4</v>
      </c>
      <c r="D922" s="17" t="s">
        <v>152</v>
      </c>
    </row>
    <row r="923" spans="1:26" s="17" customFormat="1" ht="12.75" x14ac:dyDescent="0.2">
      <c r="A923" s="16">
        <v>228130</v>
      </c>
      <c r="B923" s="17" t="s">
        <v>147</v>
      </c>
      <c r="C923" s="17">
        <v>10</v>
      </c>
      <c r="D923" s="17" t="s">
        <v>153</v>
      </c>
    </row>
    <row r="924" spans="1:26" s="17" customFormat="1" ht="12.75" x14ac:dyDescent="0.2">
      <c r="A924" s="16">
        <v>228140</v>
      </c>
      <c r="B924" s="12" t="s">
        <v>176</v>
      </c>
      <c r="C924" s="17">
        <v>25</v>
      </c>
      <c r="D924" s="17" t="s">
        <v>153</v>
      </c>
    </row>
    <row r="925" spans="1:26" s="17" customFormat="1" ht="13.5" customHeight="1" x14ac:dyDescent="0.2">
      <c r="A925" s="16">
        <v>438200</v>
      </c>
      <c r="B925" s="12" t="s">
        <v>161</v>
      </c>
      <c r="C925" s="17">
        <v>10</v>
      </c>
      <c r="D925" s="17" t="s">
        <v>151</v>
      </c>
    </row>
    <row r="926" spans="1:26" s="17" customFormat="1" ht="13.5" customHeight="1" x14ac:dyDescent="0.2">
      <c r="A926" s="19">
        <v>708580</v>
      </c>
      <c r="B926" s="20" t="s">
        <v>216</v>
      </c>
      <c r="C926" s="17">
        <v>1</v>
      </c>
      <c r="D926" s="17" t="s">
        <v>153</v>
      </c>
    </row>
    <row r="927" spans="1:26" s="17" customFormat="1" ht="13.5" customHeight="1" x14ac:dyDescent="0.2">
      <c r="A927" s="11">
        <v>109999</v>
      </c>
      <c r="B927" s="11" t="s">
        <v>223</v>
      </c>
      <c r="C927" s="17">
        <v>1</v>
      </c>
      <c r="D927" s="17" t="s">
        <v>151</v>
      </c>
      <c r="E927" s="17">
        <v>12000</v>
      </c>
    </row>
    <row r="928" spans="1:26" x14ac:dyDescent="0.2">
      <c r="A928" s="5" t="s">
        <v>98</v>
      </c>
      <c r="B928" s="5" t="s">
        <v>102</v>
      </c>
      <c r="C928">
        <v>1</v>
      </c>
      <c r="E928">
        <v>0</v>
      </c>
      <c r="G928">
        <v>0</v>
      </c>
      <c r="I928">
        <v>3</v>
      </c>
      <c r="Y928">
        <v>0</v>
      </c>
      <c r="Z928" t="str">
        <f t="shared" si="57"/>
        <v>ש"ח</v>
      </c>
    </row>
    <row r="929" spans="1:4" x14ac:dyDescent="0.2">
      <c r="A929" s="19" t="str">
        <f>"150011290"</f>
        <v>150011290</v>
      </c>
      <c r="B929" s="19" t="str">
        <f>"נורת ניאון אדומה 220"</f>
        <v>נורת ניאון אדומה 220</v>
      </c>
      <c r="C929" s="17">
        <v>8</v>
      </c>
      <c r="D929" s="17" t="s">
        <v>151</v>
      </c>
    </row>
    <row r="930" spans="1:4" x14ac:dyDescent="0.2">
      <c r="A930" s="19" t="str">
        <f>"150020002"</f>
        <v>150020002</v>
      </c>
      <c r="B930" s="19" t="str">
        <f>"שקע כח ישראלי NEVE-"</f>
        <v>שקע כח ישראלי NEVE-</v>
      </c>
      <c r="C930" s="17">
        <v>77</v>
      </c>
      <c r="D930" s="17" t="s">
        <v>151</v>
      </c>
    </row>
    <row r="931" spans="1:4" x14ac:dyDescent="0.2">
      <c r="A931" s="19" t="str">
        <f>"150020004"</f>
        <v>150020004</v>
      </c>
      <c r="B931" s="19" t="str">
        <f>"שקע טלפון NEVE-"</f>
        <v>שקע טלפון NEVE-</v>
      </c>
      <c r="C931" s="17">
        <v>14</v>
      </c>
      <c r="D931" s="17" t="s">
        <v>151</v>
      </c>
    </row>
    <row r="932" spans="1:4" x14ac:dyDescent="0.2">
      <c r="A932" s="19" t="str">
        <f>"150020014"</f>
        <v>150020014</v>
      </c>
      <c r="B932" s="19" t="str">
        <f>"דמי NEVE-"</f>
        <v>דמי NEVE-</v>
      </c>
      <c r="C932" s="17">
        <v>22</v>
      </c>
      <c r="D932" s="17" t="s">
        <v>151</v>
      </c>
    </row>
    <row r="933" spans="1:4" x14ac:dyDescent="0.2">
      <c r="A933" s="19" t="str">
        <f>"150020023"</f>
        <v>150020023</v>
      </c>
      <c r="B933" s="19" t="str">
        <f>"לחצן מואר NEVE-"</f>
        <v>לחצן מואר NEVE-</v>
      </c>
      <c r="C933" s="17">
        <v>4</v>
      </c>
      <c r="D933" s="17" t="s">
        <v>151</v>
      </c>
    </row>
    <row r="934" spans="1:4" x14ac:dyDescent="0.2">
      <c r="A934" s="19" t="str">
        <f>"150020024"</f>
        <v>150020024</v>
      </c>
      <c r="B934" s="19" t="str">
        <f>"לחצן רחב 2 .NEVE-"</f>
        <v>לחצן רחב 2 .NEVE-</v>
      </c>
      <c r="C934" s="17">
        <v>2</v>
      </c>
      <c r="D934" s="17" t="s">
        <v>151</v>
      </c>
    </row>
    <row r="935" spans="1:4" x14ac:dyDescent="0.2">
      <c r="A935" s="19" t="str">
        <f>"150020029"</f>
        <v>150020029</v>
      </c>
      <c r="B935" s="19" t="str">
        <f>"מסגרת 1 מודול NEVE-"</f>
        <v>מסגרת 1 מודול NEVE-</v>
      </c>
      <c r="C935" s="17">
        <v>33</v>
      </c>
      <c r="D935" s="17" t="s">
        <v>151</v>
      </c>
    </row>
    <row r="936" spans="1:4" x14ac:dyDescent="0.2">
      <c r="A936" s="19" t="str">
        <f>"150020036"</f>
        <v>150020036</v>
      </c>
      <c r="B936" s="19" t="str">
        <f>"מסגרת 2 מודול NEVE-"</f>
        <v>מסגרת 2 מודול NEVE-</v>
      </c>
      <c r="C936" s="17">
        <v>22</v>
      </c>
      <c r="D936" s="17" t="s">
        <v>151</v>
      </c>
    </row>
    <row r="937" spans="1:4" x14ac:dyDescent="0.2">
      <c r="A937" s="19" t="str">
        <f>"150020041"</f>
        <v>150020041</v>
      </c>
      <c r="B937" s="19" t="str">
        <f>"מסגרת 3 מודול NEVE-"</f>
        <v>מסגרת 3 מודול NEVE-</v>
      </c>
      <c r="C937" s="17">
        <v>13</v>
      </c>
      <c r="D937" s="17" t="s">
        <v>151</v>
      </c>
    </row>
    <row r="938" spans="1:4" x14ac:dyDescent="0.2">
      <c r="A938" s="19" t="str">
        <f>"150020045"</f>
        <v>150020045</v>
      </c>
      <c r="B938" s="19" t="str">
        <f>"מסגרת 4 מודול NEVE-"</f>
        <v>מסגרת 4 מודול NEVE-</v>
      </c>
      <c r="C938" s="17">
        <v>28</v>
      </c>
      <c r="D938" s="17" t="s">
        <v>151</v>
      </c>
    </row>
    <row r="939" spans="1:4" x14ac:dyDescent="0.2">
      <c r="A939" s="19" t="str">
        <f>"150020059"</f>
        <v>150020059</v>
      </c>
      <c r="B939" s="19" t="str">
        <f>"מפסק יחיד NEVE-"</f>
        <v>מפסק יחיד NEVE-</v>
      </c>
      <c r="C939" s="17">
        <v>30</v>
      </c>
      <c r="D939" s="17" t="s">
        <v>151</v>
      </c>
    </row>
    <row r="940" spans="1:4" x14ac:dyDescent="0.2">
      <c r="A940" s="19" t="str">
        <f>"150020061"</f>
        <v>150020061</v>
      </c>
      <c r="B940" s="19" t="str">
        <f>"מפסק חיולף NEVE-"</f>
        <v>מפסק חיולף NEVE-</v>
      </c>
      <c r="C940" s="17">
        <v>25</v>
      </c>
      <c r="D940" s="17" t="s">
        <v>151</v>
      </c>
    </row>
    <row r="941" spans="1:4" x14ac:dyDescent="0.2">
      <c r="A941" s="19" t="str">
        <f>"150020063"</f>
        <v>150020063</v>
      </c>
      <c r="B941" s="19" t="str">
        <f>"מפסק צלב NEVE-"</f>
        <v>מפסק צלב NEVE-</v>
      </c>
      <c r="C941" s="17">
        <v>3</v>
      </c>
      <c r="D941" s="17" t="s">
        <v>151</v>
      </c>
    </row>
    <row r="942" spans="1:4" x14ac:dyDescent="0.2">
      <c r="A942" s="19" t="str">
        <f>"150020068"</f>
        <v>150020068</v>
      </c>
      <c r="B942" s="19" t="str">
        <f>"מתאם 2 מודול NEVE-"</f>
        <v>מתאם 2 מודול NEVE-</v>
      </c>
      <c r="C942" s="17">
        <v>22</v>
      </c>
      <c r="D942" s="17" t="s">
        <v>151</v>
      </c>
    </row>
    <row r="943" spans="1:4" x14ac:dyDescent="0.2">
      <c r="A943" s="19" t="str">
        <f>"150020069"</f>
        <v>150020069</v>
      </c>
      <c r="B943" s="19" t="str">
        <f>"מתאם 3 מודול NEVE-"</f>
        <v>מתאם 3 מודול NEVE-</v>
      </c>
      <c r="C943" s="17">
        <v>46</v>
      </c>
      <c r="D943" s="17" t="s">
        <v>151</v>
      </c>
    </row>
    <row r="944" spans="1:4" x14ac:dyDescent="0.2">
      <c r="A944" s="19" t="str">
        <f>"150020070"</f>
        <v>150020070</v>
      </c>
      <c r="B944" s="19" t="str">
        <f>"מתאם 4 מודול NEVE-"</f>
        <v>מתאם 4 מודול NEVE-</v>
      </c>
      <c r="C944" s="17">
        <v>28</v>
      </c>
      <c r="D944" s="17" t="s">
        <v>151</v>
      </c>
    </row>
    <row r="945" spans="1:26" x14ac:dyDescent="0.2">
      <c r="A945" s="19" t="str">
        <f>"150020090"</f>
        <v>150020090</v>
      </c>
      <c r="B945" s="19" t="str">
        <f>"מפסק דוד NEVE-"</f>
        <v>מפסק דוד NEVE-</v>
      </c>
      <c r="C945" s="17">
        <v>4</v>
      </c>
      <c r="D945" s="17" t="s">
        <v>151</v>
      </c>
    </row>
    <row r="946" spans="1:26" x14ac:dyDescent="0.2">
      <c r="A946" s="19">
        <v>938140</v>
      </c>
      <c r="B946" s="21" t="s">
        <v>217</v>
      </c>
      <c r="C946" s="17">
        <v>10</v>
      </c>
      <c r="D946" s="17" t="s">
        <v>151</v>
      </c>
    </row>
    <row r="947" spans="1:26" x14ac:dyDescent="0.2">
      <c r="A947" s="19">
        <v>938150</v>
      </c>
      <c r="B947" s="21" t="s">
        <v>218</v>
      </c>
      <c r="C947" s="17">
        <v>1</v>
      </c>
      <c r="D947" s="17" t="s">
        <v>152</v>
      </c>
    </row>
    <row r="948" spans="1:26" x14ac:dyDescent="0.2">
      <c r="A948" s="19">
        <v>708370</v>
      </c>
      <c r="B948" s="21" t="s">
        <v>219</v>
      </c>
      <c r="C948" s="17">
        <v>2</v>
      </c>
      <c r="D948" s="17" t="s">
        <v>153</v>
      </c>
    </row>
    <row r="949" spans="1:26" x14ac:dyDescent="0.2">
      <c r="A949" s="19">
        <v>378160</v>
      </c>
      <c r="B949" s="21" t="s">
        <v>220</v>
      </c>
      <c r="C949" s="17">
        <v>200</v>
      </c>
      <c r="D949" s="17" t="s">
        <v>150</v>
      </c>
    </row>
    <row r="950" spans="1:26" x14ac:dyDescent="0.2">
      <c r="A950" s="19">
        <v>708470</v>
      </c>
      <c r="B950" s="21" t="s">
        <v>221</v>
      </c>
      <c r="C950" s="17">
        <v>6</v>
      </c>
      <c r="D950" s="17" t="s">
        <v>153</v>
      </c>
    </row>
    <row r="951" spans="1:26" x14ac:dyDescent="0.2">
      <c r="A951" s="19">
        <v>628160</v>
      </c>
      <c r="B951" s="21" t="s">
        <v>222</v>
      </c>
      <c r="C951" s="17">
        <v>50</v>
      </c>
      <c r="D951" s="17" t="s">
        <v>151</v>
      </c>
    </row>
    <row r="952" spans="1:26" x14ac:dyDescent="0.2">
      <c r="A952" s="11">
        <v>109999</v>
      </c>
      <c r="B952" s="11" t="s">
        <v>223</v>
      </c>
      <c r="C952" s="17">
        <v>1</v>
      </c>
      <c r="D952" s="17" t="s">
        <v>151</v>
      </c>
      <c r="E952" s="17">
        <v>8000</v>
      </c>
    </row>
    <row r="953" spans="1:26" x14ac:dyDescent="0.2">
      <c r="A953" s="11">
        <v>640000</v>
      </c>
      <c r="B953" s="22" t="s">
        <v>224</v>
      </c>
      <c r="C953">
        <v>1</v>
      </c>
      <c r="D953" t="s">
        <v>151</v>
      </c>
      <c r="E953">
        <v>6800</v>
      </c>
    </row>
    <row r="954" spans="1:26" x14ac:dyDescent="0.2">
      <c r="A954" s="11">
        <v>999999</v>
      </c>
      <c r="B954" s="22" t="s">
        <v>225</v>
      </c>
      <c r="C954">
        <v>1</v>
      </c>
      <c r="D954" t="s">
        <v>226</v>
      </c>
      <c r="E954">
        <v>1800</v>
      </c>
    </row>
    <row r="955" spans="1:26" x14ac:dyDescent="0.2">
      <c r="A955" s="5" t="s">
        <v>99</v>
      </c>
      <c r="B955" s="5" t="s">
        <v>103</v>
      </c>
      <c r="C955">
        <v>1</v>
      </c>
      <c r="E955">
        <v>0</v>
      </c>
      <c r="G955">
        <v>0</v>
      </c>
      <c r="I955">
        <v>3</v>
      </c>
      <c r="Y955">
        <v>0</v>
      </c>
      <c r="Z955" t="str">
        <f t="shared" si="57"/>
        <v>ש"ח</v>
      </c>
    </row>
    <row r="956" spans="1:26" ht="15" x14ac:dyDescent="0.2">
      <c r="A956" s="6">
        <v>10.17</v>
      </c>
      <c r="B956" s="6" t="s">
        <v>24</v>
      </c>
      <c r="C956">
        <v>1</v>
      </c>
      <c r="E956">
        <v>0</v>
      </c>
      <c r="G956">
        <v>100</v>
      </c>
      <c r="I956">
        <v>2</v>
      </c>
      <c r="Y956">
        <v>0</v>
      </c>
      <c r="Z956" t="str">
        <f t="shared" si="57"/>
        <v>ש"ח</v>
      </c>
    </row>
    <row r="957" spans="1:26" x14ac:dyDescent="0.2">
      <c r="A957" s="5" t="s">
        <v>104</v>
      </c>
      <c r="B957" s="5" t="s">
        <v>100</v>
      </c>
      <c r="C957">
        <v>1</v>
      </c>
      <c r="E957">
        <v>0</v>
      </c>
      <c r="G957">
        <v>0</v>
      </c>
      <c r="I957">
        <v>3</v>
      </c>
      <c r="Y957">
        <v>0</v>
      </c>
      <c r="Z957" t="str">
        <f t="shared" si="57"/>
        <v>ש"ח</v>
      </c>
    </row>
    <row r="958" spans="1:26" s="18" customFormat="1" ht="15" customHeight="1" x14ac:dyDescent="0.2">
      <c r="A958" s="16">
        <v>218260</v>
      </c>
      <c r="B958" s="12" t="s">
        <v>154</v>
      </c>
      <c r="C958" s="17">
        <v>500</v>
      </c>
      <c r="D958" s="17" t="s">
        <v>150</v>
      </c>
      <c r="Y958" s="18">
        <f>C958*E958</f>
        <v>0</v>
      </c>
    </row>
    <row r="959" spans="1:26" s="18" customFormat="1" ht="12.75" x14ac:dyDescent="0.2">
      <c r="A959" s="16">
        <v>218270</v>
      </c>
      <c r="B959" s="12" t="s">
        <v>155</v>
      </c>
      <c r="C959" s="17">
        <v>100</v>
      </c>
      <c r="D959" s="17" t="s">
        <v>150</v>
      </c>
      <c r="Y959" s="18">
        <f>C959*E959</f>
        <v>0</v>
      </c>
    </row>
    <row r="960" spans="1:26" s="18" customFormat="1" ht="12.75" x14ac:dyDescent="0.2">
      <c r="A960" s="16">
        <v>218140</v>
      </c>
      <c r="B960" s="17" t="s">
        <v>156</v>
      </c>
      <c r="C960" s="17">
        <v>50</v>
      </c>
      <c r="D960" s="17" t="s">
        <v>150</v>
      </c>
      <c r="Y960" s="18">
        <f>C960*E960</f>
        <v>0</v>
      </c>
    </row>
    <row r="961" spans="1:26" s="18" customFormat="1" ht="12.75" x14ac:dyDescent="0.2">
      <c r="A961" s="16">
        <v>228130</v>
      </c>
      <c r="B961" s="17" t="s">
        <v>147</v>
      </c>
      <c r="C961" s="17">
        <v>10</v>
      </c>
      <c r="D961" s="17" t="s">
        <v>151</v>
      </c>
    </row>
    <row r="962" spans="1:26" s="18" customFormat="1" ht="12.75" x14ac:dyDescent="0.2">
      <c r="A962" s="16">
        <v>228350</v>
      </c>
      <c r="B962" s="12" t="s">
        <v>157</v>
      </c>
      <c r="C962" s="17">
        <v>25</v>
      </c>
      <c r="D962" s="17" t="s">
        <v>151</v>
      </c>
    </row>
    <row r="963" spans="1:26" s="18" customFormat="1" ht="12.75" x14ac:dyDescent="0.2">
      <c r="A963" s="16">
        <v>228370</v>
      </c>
      <c r="B963" s="12" t="s">
        <v>158</v>
      </c>
      <c r="C963" s="17">
        <v>30</v>
      </c>
      <c r="D963" s="17" t="s">
        <v>151</v>
      </c>
    </row>
    <row r="964" spans="1:26" s="18" customFormat="1" ht="12.75" x14ac:dyDescent="0.2">
      <c r="A964" s="16">
        <v>798200</v>
      </c>
      <c r="B964" s="16" t="s">
        <v>159</v>
      </c>
      <c r="C964" s="17">
        <v>1</v>
      </c>
      <c r="D964" s="17" t="s">
        <v>151</v>
      </c>
    </row>
    <row r="965" spans="1:26" s="18" customFormat="1" ht="12.75" x14ac:dyDescent="0.2">
      <c r="A965" s="16">
        <v>918140</v>
      </c>
      <c r="B965" s="16" t="s">
        <v>160</v>
      </c>
      <c r="C965" s="17">
        <v>100</v>
      </c>
      <c r="D965" s="17" t="s">
        <v>151</v>
      </c>
    </row>
    <row r="966" spans="1:26" s="9" customFormat="1" x14ac:dyDescent="0.2">
      <c r="A966" s="11">
        <v>438200</v>
      </c>
      <c r="B966" s="12" t="s">
        <v>161</v>
      </c>
      <c r="C966" s="13">
        <v>5</v>
      </c>
      <c r="D966" s="13" t="s">
        <v>150</v>
      </c>
    </row>
    <row r="967" spans="1:26" s="9" customFormat="1" x14ac:dyDescent="0.2">
      <c r="A967" s="11"/>
      <c r="B967" s="12" t="s">
        <v>223</v>
      </c>
      <c r="C967" s="17">
        <v>1</v>
      </c>
      <c r="D967" s="17" t="s">
        <v>226</v>
      </c>
      <c r="E967" s="9">
        <v>3000</v>
      </c>
    </row>
    <row r="968" spans="1:26" x14ac:dyDescent="0.2">
      <c r="A968" s="5" t="s">
        <v>197</v>
      </c>
      <c r="B968" s="5" t="s">
        <v>101</v>
      </c>
      <c r="C968">
        <v>1</v>
      </c>
      <c r="E968">
        <v>0</v>
      </c>
      <c r="G968">
        <v>0</v>
      </c>
      <c r="I968">
        <v>3</v>
      </c>
      <c r="Y968">
        <v>0</v>
      </c>
      <c r="Z968" t="str">
        <f t="shared" si="57"/>
        <v>ש"ח</v>
      </c>
    </row>
    <row r="969" spans="1:26" s="17" customFormat="1" ht="15" customHeight="1" x14ac:dyDescent="0.2">
      <c r="A969" s="16">
        <v>218260</v>
      </c>
      <c r="B969" s="12" t="s">
        <v>154</v>
      </c>
      <c r="C969" s="17">
        <v>700</v>
      </c>
      <c r="D969" s="17" t="s">
        <v>150</v>
      </c>
    </row>
    <row r="970" spans="1:26" s="17" customFormat="1" ht="12.75" x14ac:dyDescent="0.2">
      <c r="A970" s="16">
        <v>218290</v>
      </c>
      <c r="B970" s="12" t="s">
        <v>162</v>
      </c>
      <c r="C970" s="17">
        <v>800</v>
      </c>
      <c r="D970" s="17" t="s">
        <v>150</v>
      </c>
    </row>
    <row r="971" spans="1:26" s="17" customFormat="1" ht="12.75" x14ac:dyDescent="0.2">
      <c r="A971" s="16">
        <v>218370</v>
      </c>
      <c r="B971" s="12" t="s">
        <v>163</v>
      </c>
      <c r="C971" s="17">
        <v>150</v>
      </c>
      <c r="D971" s="17" t="s">
        <v>150</v>
      </c>
    </row>
    <row r="972" spans="1:26" s="17" customFormat="1" ht="12.75" x14ac:dyDescent="0.2">
      <c r="A972" s="16">
        <v>218340</v>
      </c>
      <c r="B972" s="12" t="s">
        <v>164</v>
      </c>
      <c r="C972" s="17">
        <v>150</v>
      </c>
      <c r="D972" s="17" t="s">
        <v>150</v>
      </c>
    </row>
    <row r="973" spans="1:26" s="17" customFormat="1" ht="12.75" x14ac:dyDescent="0.2">
      <c r="A973" s="16">
        <v>218190</v>
      </c>
      <c r="B973" s="12" t="s">
        <v>148</v>
      </c>
      <c r="C973" s="17">
        <v>300</v>
      </c>
      <c r="D973" s="17" t="s">
        <v>150</v>
      </c>
    </row>
    <row r="974" spans="1:26" s="17" customFormat="1" ht="12.75" x14ac:dyDescent="0.2">
      <c r="A974" s="16">
        <v>218300</v>
      </c>
      <c r="B974" s="12" t="s">
        <v>165</v>
      </c>
      <c r="C974" s="17">
        <v>50</v>
      </c>
      <c r="D974" s="17" t="s">
        <v>150</v>
      </c>
    </row>
    <row r="975" spans="1:26" s="17" customFormat="1" ht="12.75" x14ac:dyDescent="0.2">
      <c r="A975" s="16">
        <v>368110</v>
      </c>
      <c r="B975" s="12" t="s">
        <v>166</v>
      </c>
      <c r="C975" s="17">
        <v>800</v>
      </c>
      <c r="D975" s="17" t="s">
        <v>150</v>
      </c>
    </row>
    <row r="976" spans="1:26" s="17" customFormat="1" ht="12.75" x14ac:dyDescent="0.2">
      <c r="A976" s="16">
        <v>368120</v>
      </c>
      <c r="B976" s="12" t="s">
        <v>167</v>
      </c>
      <c r="C976" s="17">
        <v>800</v>
      </c>
      <c r="D976" s="17" t="s">
        <v>150</v>
      </c>
    </row>
    <row r="977" spans="1:5" s="17" customFormat="1" ht="12.75" x14ac:dyDescent="0.2">
      <c r="A977" s="16">
        <v>368130</v>
      </c>
      <c r="B977" s="12" t="s">
        <v>168</v>
      </c>
      <c r="C977" s="17">
        <v>800</v>
      </c>
      <c r="D977" s="17" t="s">
        <v>150</v>
      </c>
    </row>
    <row r="978" spans="1:5" s="17" customFormat="1" ht="12.75" x14ac:dyDescent="0.2">
      <c r="A978" s="16">
        <v>368140</v>
      </c>
      <c r="B978" s="12" t="s">
        <v>169</v>
      </c>
      <c r="C978" s="17">
        <v>800</v>
      </c>
      <c r="D978" s="17" t="s">
        <v>150</v>
      </c>
    </row>
    <row r="979" spans="1:5" s="17" customFormat="1" ht="12.75" x14ac:dyDescent="0.2">
      <c r="A979" s="16">
        <v>368150</v>
      </c>
      <c r="B979" s="12" t="s">
        <v>170</v>
      </c>
      <c r="C979" s="17">
        <v>800</v>
      </c>
      <c r="D979" s="17" t="s">
        <v>150</v>
      </c>
    </row>
    <row r="980" spans="1:5" s="17" customFormat="1" ht="12.75" x14ac:dyDescent="0.2">
      <c r="A980" s="16">
        <v>368160</v>
      </c>
      <c r="B980" s="12" t="s">
        <v>171</v>
      </c>
      <c r="C980" s="17">
        <v>700</v>
      </c>
      <c r="D980" s="17" t="s">
        <v>150</v>
      </c>
    </row>
    <row r="981" spans="1:5" s="17" customFormat="1" ht="12.75" x14ac:dyDescent="0.2">
      <c r="A981" s="16">
        <v>368170</v>
      </c>
      <c r="B981" s="12" t="s">
        <v>172</v>
      </c>
      <c r="C981" s="17">
        <v>700</v>
      </c>
      <c r="D981" s="17" t="s">
        <v>150</v>
      </c>
    </row>
    <row r="982" spans="1:5" s="17" customFormat="1" ht="12.75" x14ac:dyDescent="0.2">
      <c r="A982" s="16">
        <v>368180</v>
      </c>
      <c r="B982" s="12" t="s">
        <v>173</v>
      </c>
      <c r="C982" s="17">
        <v>700</v>
      </c>
      <c r="D982" s="17" t="s">
        <v>150</v>
      </c>
    </row>
    <row r="983" spans="1:5" s="17" customFormat="1" ht="12.75" x14ac:dyDescent="0.2">
      <c r="A983" s="16">
        <v>378120</v>
      </c>
      <c r="B983" s="12" t="s">
        <v>174</v>
      </c>
      <c r="C983" s="17">
        <v>200</v>
      </c>
      <c r="D983" s="17" t="s">
        <v>150</v>
      </c>
    </row>
    <row r="984" spans="1:5" s="17" customFormat="1" ht="12.75" x14ac:dyDescent="0.2">
      <c r="A984" s="16">
        <v>228350</v>
      </c>
      <c r="B984" s="12" t="s">
        <v>157</v>
      </c>
      <c r="C984" s="17">
        <v>60</v>
      </c>
      <c r="D984" s="17" t="s">
        <v>151</v>
      </c>
    </row>
    <row r="985" spans="1:5" s="17" customFormat="1" ht="12.75" x14ac:dyDescent="0.2">
      <c r="A985" s="16">
        <v>228370</v>
      </c>
      <c r="B985" s="12" t="s">
        <v>158</v>
      </c>
      <c r="C985" s="17">
        <v>30</v>
      </c>
      <c r="D985" s="17" t="s">
        <v>151</v>
      </c>
    </row>
    <row r="986" spans="1:5" s="17" customFormat="1" ht="12.75" x14ac:dyDescent="0.2">
      <c r="A986" s="16">
        <v>918180</v>
      </c>
      <c r="B986" s="12" t="s">
        <v>149</v>
      </c>
      <c r="C986" s="17">
        <v>4</v>
      </c>
      <c r="D986" s="17" t="s">
        <v>152</v>
      </c>
    </row>
    <row r="987" spans="1:5" s="17" customFormat="1" ht="12.75" x14ac:dyDescent="0.2">
      <c r="A987" s="16">
        <v>918190</v>
      </c>
      <c r="B987" s="16" t="s">
        <v>175</v>
      </c>
      <c r="C987" s="17">
        <v>4</v>
      </c>
      <c r="D987" s="17" t="s">
        <v>152</v>
      </c>
    </row>
    <row r="988" spans="1:5" s="17" customFormat="1" ht="12.75" x14ac:dyDescent="0.2">
      <c r="A988" s="16">
        <v>228130</v>
      </c>
      <c r="B988" s="17" t="s">
        <v>147</v>
      </c>
      <c r="C988" s="17">
        <v>10</v>
      </c>
      <c r="D988" s="17" t="s">
        <v>153</v>
      </c>
    </row>
    <row r="989" spans="1:5" s="17" customFormat="1" ht="12.75" x14ac:dyDescent="0.2">
      <c r="A989" s="16">
        <v>228140</v>
      </c>
      <c r="B989" s="12" t="s">
        <v>176</v>
      </c>
      <c r="C989" s="17">
        <v>25</v>
      </c>
      <c r="D989" s="17" t="s">
        <v>153</v>
      </c>
    </row>
    <row r="990" spans="1:5" s="17" customFormat="1" ht="13.5" customHeight="1" x14ac:dyDescent="0.2">
      <c r="A990" s="16">
        <v>438200</v>
      </c>
      <c r="B990" s="12" t="s">
        <v>161</v>
      </c>
      <c r="C990" s="17">
        <v>10</v>
      </c>
      <c r="D990" s="17" t="s">
        <v>151</v>
      </c>
    </row>
    <row r="991" spans="1:5" s="17" customFormat="1" ht="13.5" customHeight="1" x14ac:dyDescent="0.2">
      <c r="A991" s="19">
        <v>708580</v>
      </c>
      <c r="B991" s="20" t="s">
        <v>216</v>
      </c>
      <c r="C991" s="17">
        <v>1</v>
      </c>
      <c r="D991" s="17" t="s">
        <v>153</v>
      </c>
    </row>
    <row r="992" spans="1:5" s="17" customFormat="1" ht="13.5" customHeight="1" x14ac:dyDescent="0.2">
      <c r="A992" s="11">
        <v>109999</v>
      </c>
      <c r="B992" s="11" t="s">
        <v>223</v>
      </c>
      <c r="C992" s="17">
        <v>1</v>
      </c>
      <c r="D992" s="17" t="s">
        <v>151</v>
      </c>
      <c r="E992" s="17">
        <v>12000</v>
      </c>
    </row>
    <row r="993" spans="1:26" x14ac:dyDescent="0.2">
      <c r="A993" s="5" t="s">
        <v>198</v>
      </c>
      <c r="B993" s="5" t="s">
        <v>102</v>
      </c>
      <c r="C993">
        <v>1</v>
      </c>
      <c r="E993">
        <v>0</v>
      </c>
      <c r="G993">
        <v>0</v>
      </c>
      <c r="I993">
        <v>3</v>
      </c>
      <c r="Y993">
        <v>0</v>
      </c>
      <c r="Z993" t="str">
        <f t="shared" si="57"/>
        <v>ש"ח</v>
      </c>
    </row>
    <row r="994" spans="1:26" x14ac:dyDescent="0.2">
      <c r="A994" s="19" t="str">
        <f>"150011290"</f>
        <v>150011290</v>
      </c>
      <c r="B994" s="19" t="str">
        <f>"נורת ניאון אדומה 220"</f>
        <v>נורת ניאון אדומה 220</v>
      </c>
      <c r="C994" s="17">
        <v>8</v>
      </c>
      <c r="D994" s="17" t="s">
        <v>151</v>
      </c>
    </row>
    <row r="995" spans="1:26" x14ac:dyDescent="0.2">
      <c r="A995" s="19" t="str">
        <f>"150020002"</f>
        <v>150020002</v>
      </c>
      <c r="B995" s="19" t="str">
        <f>"שקע כח ישראלי NEVE-"</f>
        <v>שקע כח ישראלי NEVE-</v>
      </c>
      <c r="C995" s="17">
        <v>77</v>
      </c>
      <c r="D995" s="17" t="s">
        <v>151</v>
      </c>
    </row>
    <row r="996" spans="1:26" x14ac:dyDescent="0.2">
      <c r="A996" s="19" t="str">
        <f>"150020004"</f>
        <v>150020004</v>
      </c>
      <c r="B996" s="19" t="str">
        <f>"שקע טלפון NEVE-"</f>
        <v>שקע טלפון NEVE-</v>
      </c>
      <c r="C996" s="17">
        <v>14</v>
      </c>
      <c r="D996" s="17" t="s">
        <v>151</v>
      </c>
    </row>
    <row r="997" spans="1:26" x14ac:dyDescent="0.2">
      <c r="A997" s="19" t="str">
        <f>"150020014"</f>
        <v>150020014</v>
      </c>
      <c r="B997" s="19" t="str">
        <f>"דמי NEVE-"</f>
        <v>דמי NEVE-</v>
      </c>
      <c r="C997" s="17">
        <v>22</v>
      </c>
      <c r="D997" s="17" t="s">
        <v>151</v>
      </c>
    </row>
    <row r="998" spans="1:26" x14ac:dyDescent="0.2">
      <c r="A998" s="19" t="str">
        <f>"150020023"</f>
        <v>150020023</v>
      </c>
      <c r="B998" s="19" t="str">
        <f>"לחצן מואר NEVE-"</f>
        <v>לחצן מואר NEVE-</v>
      </c>
      <c r="C998" s="17">
        <v>4</v>
      </c>
      <c r="D998" s="17" t="s">
        <v>151</v>
      </c>
    </row>
    <row r="999" spans="1:26" x14ac:dyDescent="0.2">
      <c r="A999" s="19" t="str">
        <f>"150020024"</f>
        <v>150020024</v>
      </c>
      <c r="B999" s="19" t="str">
        <f>"לחצן רחב 2 .NEVE-"</f>
        <v>לחצן רחב 2 .NEVE-</v>
      </c>
      <c r="C999" s="17">
        <v>2</v>
      </c>
      <c r="D999" s="17" t="s">
        <v>151</v>
      </c>
    </row>
    <row r="1000" spans="1:26" x14ac:dyDescent="0.2">
      <c r="A1000" s="19" t="str">
        <f>"150020029"</f>
        <v>150020029</v>
      </c>
      <c r="B1000" s="19" t="str">
        <f>"מסגרת 1 מודול NEVE-"</f>
        <v>מסגרת 1 מודול NEVE-</v>
      </c>
      <c r="C1000" s="17">
        <v>33</v>
      </c>
      <c r="D1000" s="17" t="s">
        <v>151</v>
      </c>
    </row>
    <row r="1001" spans="1:26" x14ac:dyDescent="0.2">
      <c r="A1001" s="19" t="str">
        <f>"150020036"</f>
        <v>150020036</v>
      </c>
      <c r="B1001" s="19" t="str">
        <f>"מסגרת 2 מודול NEVE-"</f>
        <v>מסגרת 2 מודול NEVE-</v>
      </c>
      <c r="C1001" s="17">
        <v>22</v>
      </c>
      <c r="D1001" s="17" t="s">
        <v>151</v>
      </c>
    </row>
    <row r="1002" spans="1:26" x14ac:dyDescent="0.2">
      <c r="A1002" s="19" t="str">
        <f>"150020041"</f>
        <v>150020041</v>
      </c>
      <c r="B1002" s="19" t="str">
        <f>"מסגרת 3 מודול NEVE-"</f>
        <v>מסגרת 3 מודול NEVE-</v>
      </c>
      <c r="C1002" s="17">
        <v>13</v>
      </c>
      <c r="D1002" s="17" t="s">
        <v>151</v>
      </c>
    </row>
    <row r="1003" spans="1:26" x14ac:dyDescent="0.2">
      <c r="A1003" s="19" t="str">
        <f>"150020045"</f>
        <v>150020045</v>
      </c>
      <c r="B1003" s="19" t="str">
        <f>"מסגרת 4 מודול NEVE-"</f>
        <v>מסגרת 4 מודול NEVE-</v>
      </c>
      <c r="C1003" s="17">
        <v>28</v>
      </c>
      <c r="D1003" s="17" t="s">
        <v>151</v>
      </c>
    </row>
    <row r="1004" spans="1:26" x14ac:dyDescent="0.2">
      <c r="A1004" s="19" t="str">
        <f>"150020059"</f>
        <v>150020059</v>
      </c>
      <c r="B1004" s="19" t="str">
        <f>"מפסק יחיד NEVE-"</f>
        <v>מפסק יחיד NEVE-</v>
      </c>
      <c r="C1004" s="17">
        <v>30</v>
      </c>
      <c r="D1004" s="17" t="s">
        <v>151</v>
      </c>
    </row>
    <row r="1005" spans="1:26" x14ac:dyDescent="0.2">
      <c r="A1005" s="19" t="str">
        <f>"150020061"</f>
        <v>150020061</v>
      </c>
      <c r="B1005" s="19" t="str">
        <f>"מפסק חיולף NEVE-"</f>
        <v>מפסק חיולף NEVE-</v>
      </c>
      <c r="C1005" s="17">
        <v>25</v>
      </c>
      <c r="D1005" s="17" t="s">
        <v>151</v>
      </c>
    </row>
    <row r="1006" spans="1:26" x14ac:dyDescent="0.2">
      <c r="A1006" s="19" t="str">
        <f>"150020063"</f>
        <v>150020063</v>
      </c>
      <c r="B1006" s="19" t="str">
        <f>"מפסק צלב NEVE-"</f>
        <v>מפסק צלב NEVE-</v>
      </c>
      <c r="C1006" s="17">
        <v>3</v>
      </c>
      <c r="D1006" s="17" t="s">
        <v>151</v>
      </c>
    </row>
    <row r="1007" spans="1:26" x14ac:dyDescent="0.2">
      <c r="A1007" s="19" t="str">
        <f>"150020068"</f>
        <v>150020068</v>
      </c>
      <c r="B1007" s="19" t="str">
        <f>"מתאם 2 מודול NEVE-"</f>
        <v>מתאם 2 מודול NEVE-</v>
      </c>
      <c r="C1007" s="17">
        <v>22</v>
      </c>
      <c r="D1007" s="17" t="s">
        <v>151</v>
      </c>
    </row>
    <row r="1008" spans="1:26" x14ac:dyDescent="0.2">
      <c r="A1008" s="19" t="str">
        <f>"150020069"</f>
        <v>150020069</v>
      </c>
      <c r="B1008" s="19" t="str">
        <f>"מתאם 3 מודול NEVE-"</f>
        <v>מתאם 3 מודול NEVE-</v>
      </c>
      <c r="C1008" s="17">
        <v>46</v>
      </c>
      <c r="D1008" s="17" t="s">
        <v>151</v>
      </c>
    </row>
    <row r="1009" spans="1:26" x14ac:dyDescent="0.2">
      <c r="A1009" s="19" t="str">
        <f>"150020070"</f>
        <v>150020070</v>
      </c>
      <c r="B1009" s="19" t="str">
        <f>"מתאם 4 מודול NEVE-"</f>
        <v>מתאם 4 מודול NEVE-</v>
      </c>
      <c r="C1009" s="17">
        <v>28</v>
      </c>
      <c r="D1009" s="17" t="s">
        <v>151</v>
      </c>
    </row>
    <row r="1010" spans="1:26" x14ac:dyDescent="0.2">
      <c r="A1010" s="19" t="str">
        <f>"150020090"</f>
        <v>150020090</v>
      </c>
      <c r="B1010" s="19" t="str">
        <f>"מפסק דוד NEVE-"</f>
        <v>מפסק דוד NEVE-</v>
      </c>
      <c r="C1010" s="17">
        <v>4</v>
      </c>
      <c r="D1010" s="17" t="s">
        <v>151</v>
      </c>
    </row>
    <row r="1011" spans="1:26" x14ac:dyDescent="0.2">
      <c r="A1011" s="19">
        <v>938140</v>
      </c>
      <c r="B1011" s="21" t="s">
        <v>217</v>
      </c>
      <c r="C1011" s="17">
        <v>10</v>
      </c>
      <c r="D1011" s="17" t="s">
        <v>151</v>
      </c>
    </row>
    <row r="1012" spans="1:26" x14ac:dyDescent="0.2">
      <c r="A1012" s="19">
        <v>938150</v>
      </c>
      <c r="B1012" s="21" t="s">
        <v>218</v>
      </c>
      <c r="C1012" s="17">
        <v>1</v>
      </c>
      <c r="D1012" s="17" t="s">
        <v>152</v>
      </c>
    </row>
    <row r="1013" spans="1:26" x14ac:dyDescent="0.2">
      <c r="A1013" s="19">
        <v>708370</v>
      </c>
      <c r="B1013" s="21" t="s">
        <v>219</v>
      </c>
      <c r="C1013" s="17">
        <v>2</v>
      </c>
      <c r="D1013" s="17" t="s">
        <v>153</v>
      </c>
    </row>
    <row r="1014" spans="1:26" x14ac:dyDescent="0.2">
      <c r="A1014" s="19">
        <v>378160</v>
      </c>
      <c r="B1014" s="21" t="s">
        <v>220</v>
      </c>
      <c r="C1014" s="17">
        <v>200</v>
      </c>
      <c r="D1014" s="17" t="s">
        <v>150</v>
      </c>
    </row>
    <row r="1015" spans="1:26" x14ac:dyDescent="0.2">
      <c r="A1015" s="19">
        <v>708470</v>
      </c>
      <c r="B1015" s="21" t="s">
        <v>221</v>
      </c>
      <c r="C1015" s="17">
        <v>6</v>
      </c>
      <c r="D1015" s="17" t="s">
        <v>153</v>
      </c>
    </row>
    <row r="1016" spans="1:26" x14ac:dyDescent="0.2">
      <c r="A1016" s="19">
        <v>628160</v>
      </c>
      <c r="B1016" s="21" t="s">
        <v>222</v>
      </c>
      <c r="C1016" s="17">
        <v>50</v>
      </c>
      <c r="D1016" s="17" t="s">
        <v>151</v>
      </c>
    </row>
    <row r="1017" spans="1:26" x14ac:dyDescent="0.2">
      <c r="A1017" s="11">
        <v>109999</v>
      </c>
      <c r="B1017" s="11" t="s">
        <v>223</v>
      </c>
      <c r="C1017" s="17">
        <v>1</v>
      </c>
      <c r="D1017" s="17" t="s">
        <v>151</v>
      </c>
      <c r="E1017" s="17">
        <v>8000</v>
      </c>
    </row>
    <row r="1018" spans="1:26" x14ac:dyDescent="0.2">
      <c r="A1018" s="11">
        <v>640000</v>
      </c>
      <c r="B1018" s="22" t="s">
        <v>224</v>
      </c>
      <c r="C1018">
        <v>1</v>
      </c>
      <c r="D1018" t="s">
        <v>151</v>
      </c>
      <c r="E1018">
        <v>6800</v>
      </c>
    </row>
    <row r="1019" spans="1:26" x14ac:dyDescent="0.2">
      <c r="A1019" s="11">
        <v>999999</v>
      </c>
      <c r="B1019" s="22" t="s">
        <v>225</v>
      </c>
      <c r="C1019">
        <v>1</v>
      </c>
      <c r="D1019" t="s">
        <v>226</v>
      </c>
      <c r="E1019">
        <v>1800</v>
      </c>
    </row>
    <row r="1020" spans="1:26" x14ac:dyDescent="0.2">
      <c r="A1020" s="5" t="s">
        <v>199</v>
      </c>
      <c r="B1020" s="5" t="s">
        <v>103</v>
      </c>
      <c r="C1020">
        <v>1</v>
      </c>
      <c r="E1020">
        <v>0</v>
      </c>
      <c r="G1020">
        <v>0</v>
      </c>
      <c r="I1020">
        <v>3</v>
      </c>
      <c r="Y1020">
        <v>0</v>
      </c>
      <c r="Z1020" t="str">
        <f t="shared" si="57"/>
        <v>ש"ח</v>
      </c>
    </row>
    <row r="1021" spans="1:26" ht="15" x14ac:dyDescent="0.2">
      <c r="A1021" s="6">
        <v>10.18</v>
      </c>
      <c r="B1021" s="6" t="s">
        <v>192</v>
      </c>
      <c r="C1021">
        <v>1</v>
      </c>
      <c r="E1021">
        <v>0</v>
      </c>
      <c r="G1021">
        <v>100</v>
      </c>
      <c r="I1021">
        <v>2</v>
      </c>
      <c r="Y1021">
        <v>0</v>
      </c>
      <c r="Z1021" t="str">
        <f t="shared" si="57"/>
        <v>ש"ח</v>
      </c>
    </row>
    <row r="1022" spans="1:26" x14ac:dyDescent="0.2">
      <c r="A1022" s="5" t="s">
        <v>193</v>
      </c>
      <c r="B1022" s="5" t="s">
        <v>100</v>
      </c>
      <c r="C1022">
        <v>1</v>
      </c>
      <c r="E1022">
        <v>0</v>
      </c>
      <c r="G1022">
        <v>0</v>
      </c>
      <c r="I1022">
        <v>3</v>
      </c>
      <c r="Y1022">
        <v>0</v>
      </c>
      <c r="Z1022" t="str">
        <f t="shared" si="57"/>
        <v>ש"ח</v>
      </c>
    </row>
    <row r="1023" spans="1:26" s="18" customFormat="1" ht="15" customHeight="1" x14ac:dyDescent="0.2">
      <c r="A1023" s="16">
        <v>218260</v>
      </c>
      <c r="B1023" s="12" t="s">
        <v>154</v>
      </c>
      <c r="C1023" s="17">
        <v>500</v>
      </c>
      <c r="D1023" s="17" t="s">
        <v>150</v>
      </c>
      <c r="Y1023" s="18">
        <f>C1023*E1023</f>
        <v>0</v>
      </c>
    </row>
    <row r="1024" spans="1:26" s="18" customFormat="1" ht="12.75" x14ac:dyDescent="0.2">
      <c r="A1024" s="16">
        <v>218270</v>
      </c>
      <c r="B1024" s="12" t="s">
        <v>155</v>
      </c>
      <c r="C1024" s="17">
        <v>100</v>
      </c>
      <c r="D1024" s="17" t="s">
        <v>150</v>
      </c>
      <c r="Y1024" s="18">
        <f>C1024*E1024</f>
        <v>0</v>
      </c>
    </row>
    <row r="1025" spans="1:26" s="18" customFormat="1" ht="12.75" x14ac:dyDescent="0.2">
      <c r="A1025" s="16">
        <v>218140</v>
      </c>
      <c r="B1025" s="17" t="s">
        <v>156</v>
      </c>
      <c r="C1025" s="17">
        <v>50</v>
      </c>
      <c r="D1025" s="17" t="s">
        <v>150</v>
      </c>
      <c r="Y1025" s="18">
        <f>C1025*E1025</f>
        <v>0</v>
      </c>
    </row>
    <row r="1026" spans="1:26" s="18" customFormat="1" ht="12.75" x14ac:dyDescent="0.2">
      <c r="A1026" s="16">
        <v>228130</v>
      </c>
      <c r="B1026" s="17" t="s">
        <v>147</v>
      </c>
      <c r="C1026" s="17">
        <v>10</v>
      </c>
      <c r="D1026" s="17" t="s">
        <v>151</v>
      </c>
    </row>
    <row r="1027" spans="1:26" s="18" customFormat="1" ht="12.75" x14ac:dyDescent="0.2">
      <c r="A1027" s="16">
        <v>228350</v>
      </c>
      <c r="B1027" s="12" t="s">
        <v>157</v>
      </c>
      <c r="C1027" s="17">
        <v>25</v>
      </c>
      <c r="D1027" s="17" t="s">
        <v>151</v>
      </c>
    </row>
    <row r="1028" spans="1:26" s="18" customFormat="1" ht="12.75" x14ac:dyDescent="0.2">
      <c r="A1028" s="16">
        <v>228370</v>
      </c>
      <c r="B1028" s="12" t="s">
        <v>158</v>
      </c>
      <c r="C1028" s="17">
        <v>30</v>
      </c>
      <c r="D1028" s="17" t="s">
        <v>151</v>
      </c>
    </row>
    <row r="1029" spans="1:26" s="18" customFormat="1" ht="12.75" x14ac:dyDescent="0.2">
      <c r="A1029" s="16">
        <v>798200</v>
      </c>
      <c r="B1029" s="16" t="s">
        <v>159</v>
      </c>
      <c r="C1029" s="17">
        <v>1</v>
      </c>
      <c r="D1029" s="17" t="s">
        <v>151</v>
      </c>
    </row>
    <row r="1030" spans="1:26" s="18" customFormat="1" ht="12.75" x14ac:dyDescent="0.2">
      <c r="A1030" s="16">
        <v>918140</v>
      </c>
      <c r="B1030" s="16" t="s">
        <v>160</v>
      </c>
      <c r="C1030" s="17">
        <v>100</v>
      </c>
      <c r="D1030" s="17" t="s">
        <v>151</v>
      </c>
    </row>
    <row r="1031" spans="1:26" s="9" customFormat="1" x14ac:dyDescent="0.2">
      <c r="A1031" s="11">
        <v>438200</v>
      </c>
      <c r="B1031" s="12" t="s">
        <v>161</v>
      </c>
      <c r="C1031" s="13">
        <v>5</v>
      </c>
      <c r="D1031" s="13" t="s">
        <v>150</v>
      </c>
    </row>
    <row r="1032" spans="1:26" s="9" customFormat="1" x14ac:dyDescent="0.2">
      <c r="A1032" s="11"/>
      <c r="B1032" s="12" t="s">
        <v>223</v>
      </c>
      <c r="C1032" s="17">
        <v>1</v>
      </c>
      <c r="D1032" s="17" t="s">
        <v>226</v>
      </c>
      <c r="E1032" s="9">
        <v>3000</v>
      </c>
    </row>
    <row r="1033" spans="1:26" x14ac:dyDescent="0.2">
      <c r="A1033" s="5" t="s">
        <v>194</v>
      </c>
      <c r="B1033" s="5" t="s">
        <v>101</v>
      </c>
      <c r="C1033">
        <v>1</v>
      </c>
      <c r="E1033">
        <v>0</v>
      </c>
      <c r="G1033">
        <v>0</v>
      </c>
      <c r="I1033">
        <v>3</v>
      </c>
      <c r="Y1033">
        <v>0</v>
      </c>
      <c r="Z1033" t="str">
        <f t="shared" si="57"/>
        <v>ש"ח</v>
      </c>
    </row>
    <row r="1034" spans="1:26" s="17" customFormat="1" ht="15" customHeight="1" x14ac:dyDescent="0.2">
      <c r="A1034" s="16">
        <v>218260</v>
      </c>
      <c r="B1034" s="12" t="s">
        <v>154</v>
      </c>
      <c r="C1034" s="17">
        <v>700</v>
      </c>
      <c r="D1034" s="17" t="s">
        <v>150</v>
      </c>
    </row>
    <row r="1035" spans="1:26" s="17" customFormat="1" ht="12.75" x14ac:dyDescent="0.2">
      <c r="A1035" s="16">
        <v>218290</v>
      </c>
      <c r="B1035" s="12" t="s">
        <v>162</v>
      </c>
      <c r="C1035" s="17">
        <v>800</v>
      </c>
      <c r="D1035" s="17" t="s">
        <v>150</v>
      </c>
    </row>
    <row r="1036" spans="1:26" s="17" customFormat="1" ht="12.75" x14ac:dyDescent="0.2">
      <c r="A1036" s="16">
        <v>218370</v>
      </c>
      <c r="B1036" s="12" t="s">
        <v>163</v>
      </c>
      <c r="C1036" s="17">
        <v>150</v>
      </c>
      <c r="D1036" s="17" t="s">
        <v>150</v>
      </c>
    </row>
    <row r="1037" spans="1:26" s="17" customFormat="1" ht="12.75" x14ac:dyDescent="0.2">
      <c r="A1037" s="16">
        <v>218340</v>
      </c>
      <c r="B1037" s="12" t="s">
        <v>164</v>
      </c>
      <c r="C1037" s="17">
        <v>150</v>
      </c>
      <c r="D1037" s="17" t="s">
        <v>150</v>
      </c>
    </row>
    <row r="1038" spans="1:26" s="17" customFormat="1" ht="12.75" x14ac:dyDescent="0.2">
      <c r="A1038" s="16">
        <v>218190</v>
      </c>
      <c r="B1038" s="12" t="s">
        <v>148</v>
      </c>
      <c r="C1038" s="17">
        <v>300</v>
      </c>
      <c r="D1038" s="17" t="s">
        <v>150</v>
      </c>
    </row>
    <row r="1039" spans="1:26" s="17" customFormat="1" ht="12.75" x14ac:dyDescent="0.2">
      <c r="A1039" s="16">
        <v>218300</v>
      </c>
      <c r="B1039" s="12" t="s">
        <v>165</v>
      </c>
      <c r="C1039" s="17">
        <v>50</v>
      </c>
      <c r="D1039" s="17" t="s">
        <v>150</v>
      </c>
    </row>
    <row r="1040" spans="1:26" s="17" customFormat="1" ht="12.75" x14ac:dyDescent="0.2">
      <c r="A1040" s="16">
        <v>368110</v>
      </c>
      <c r="B1040" s="12" t="s">
        <v>166</v>
      </c>
      <c r="C1040" s="17">
        <v>800</v>
      </c>
      <c r="D1040" s="17" t="s">
        <v>150</v>
      </c>
    </row>
    <row r="1041" spans="1:4" s="17" customFormat="1" ht="12.75" x14ac:dyDescent="0.2">
      <c r="A1041" s="16">
        <v>368120</v>
      </c>
      <c r="B1041" s="12" t="s">
        <v>167</v>
      </c>
      <c r="C1041" s="17">
        <v>800</v>
      </c>
      <c r="D1041" s="17" t="s">
        <v>150</v>
      </c>
    </row>
    <row r="1042" spans="1:4" s="17" customFormat="1" ht="12.75" x14ac:dyDescent="0.2">
      <c r="A1042" s="16">
        <v>368130</v>
      </c>
      <c r="B1042" s="12" t="s">
        <v>168</v>
      </c>
      <c r="C1042" s="17">
        <v>800</v>
      </c>
      <c r="D1042" s="17" t="s">
        <v>150</v>
      </c>
    </row>
    <row r="1043" spans="1:4" s="17" customFormat="1" ht="12.75" x14ac:dyDescent="0.2">
      <c r="A1043" s="16">
        <v>368140</v>
      </c>
      <c r="B1043" s="12" t="s">
        <v>169</v>
      </c>
      <c r="C1043" s="17">
        <v>800</v>
      </c>
      <c r="D1043" s="17" t="s">
        <v>150</v>
      </c>
    </row>
    <row r="1044" spans="1:4" s="17" customFormat="1" ht="12.75" x14ac:dyDescent="0.2">
      <c r="A1044" s="16">
        <v>368150</v>
      </c>
      <c r="B1044" s="12" t="s">
        <v>170</v>
      </c>
      <c r="C1044" s="17">
        <v>800</v>
      </c>
      <c r="D1044" s="17" t="s">
        <v>150</v>
      </c>
    </row>
    <row r="1045" spans="1:4" s="17" customFormat="1" ht="12.75" x14ac:dyDescent="0.2">
      <c r="A1045" s="16">
        <v>368160</v>
      </c>
      <c r="B1045" s="12" t="s">
        <v>171</v>
      </c>
      <c r="C1045" s="17">
        <v>700</v>
      </c>
      <c r="D1045" s="17" t="s">
        <v>150</v>
      </c>
    </row>
    <row r="1046" spans="1:4" s="17" customFormat="1" ht="12.75" x14ac:dyDescent="0.2">
      <c r="A1046" s="16">
        <v>368170</v>
      </c>
      <c r="B1046" s="12" t="s">
        <v>172</v>
      </c>
      <c r="C1046" s="17">
        <v>700</v>
      </c>
      <c r="D1046" s="17" t="s">
        <v>150</v>
      </c>
    </row>
    <row r="1047" spans="1:4" s="17" customFormat="1" ht="12.75" x14ac:dyDescent="0.2">
      <c r="A1047" s="16">
        <v>368180</v>
      </c>
      <c r="B1047" s="12" t="s">
        <v>173</v>
      </c>
      <c r="C1047" s="17">
        <v>700</v>
      </c>
      <c r="D1047" s="17" t="s">
        <v>150</v>
      </c>
    </row>
    <row r="1048" spans="1:4" s="17" customFormat="1" ht="12.75" x14ac:dyDescent="0.2">
      <c r="A1048" s="16">
        <v>378120</v>
      </c>
      <c r="B1048" s="12" t="s">
        <v>174</v>
      </c>
      <c r="C1048" s="17">
        <v>200</v>
      </c>
      <c r="D1048" s="17" t="s">
        <v>150</v>
      </c>
    </row>
    <row r="1049" spans="1:4" s="17" customFormat="1" ht="12.75" x14ac:dyDescent="0.2">
      <c r="A1049" s="16">
        <v>228350</v>
      </c>
      <c r="B1049" s="12" t="s">
        <v>157</v>
      </c>
      <c r="C1049" s="17">
        <v>60</v>
      </c>
      <c r="D1049" s="17" t="s">
        <v>151</v>
      </c>
    </row>
    <row r="1050" spans="1:4" s="17" customFormat="1" ht="12.75" x14ac:dyDescent="0.2">
      <c r="A1050" s="16">
        <v>228370</v>
      </c>
      <c r="B1050" s="12" t="s">
        <v>158</v>
      </c>
      <c r="C1050" s="17">
        <v>30</v>
      </c>
      <c r="D1050" s="17" t="s">
        <v>151</v>
      </c>
    </row>
    <row r="1051" spans="1:4" s="17" customFormat="1" ht="12.75" x14ac:dyDescent="0.2">
      <c r="A1051" s="16">
        <v>918180</v>
      </c>
      <c r="B1051" s="12" t="s">
        <v>149</v>
      </c>
      <c r="C1051" s="17">
        <v>4</v>
      </c>
      <c r="D1051" s="17" t="s">
        <v>152</v>
      </c>
    </row>
    <row r="1052" spans="1:4" s="17" customFormat="1" ht="12.75" x14ac:dyDescent="0.2">
      <c r="A1052" s="16">
        <v>918190</v>
      </c>
      <c r="B1052" s="16" t="s">
        <v>175</v>
      </c>
      <c r="C1052" s="17">
        <v>4</v>
      </c>
      <c r="D1052" s="17" t="s">
        <v>152</v>
      </c>
    </row>
    <row r="1053" spans="1:4" s="17" customFormat="1" ht="12.75" x14ac:dyDescent="0.2">
      <c r="A1053" s="16">
        <v>228130</v>
      </c>
      <c r="B1053" s="17" t="s">
        <v>147</v>
      </c>
      <c r="C1053" s="17">
        <v>10</v>
      </c>
      <c r="D1053" s="17" t="s">
        <v>153</v>
      </c>
    </row>
    <row r="1054" spans="1:4" s="17" customFormat="1" ht="12.75" x14ac:dyDescent="0.2">
      <c r="A1054" s="16">
        <v>228140</v>
      </c>
      <c r="B1054" s="12" t="s">
        <v>176</v>
      </c>
      <c r="C1054" s="17">
        <v>25</v>
      </c>
      <c r="D1054" s="17" t="s">
        <v>153</v>
      </c>
    </row>
    <row r="1055" spans="1:4" s="17" customFormat="1" ht="13.5" customHeight="1" x14ac:dyDescent="0.2">
      <c r="A1055" s="16">
        <v>438200</v>
      </c>
      <c r="B1055" s="12" t="s">
        <v>161</v>
      </c>
      <c r="C1055" s="17">
        <v>10</v>
      </c>
      <c r="D1055" s="17" t="s">
        <v>151</v>
      </c>
    </row>
    <row r="1056" spans="1:4" s="17" customFormat="1" ht="13.5" customHeight="1" x14ac:dyDescent="0.2">
      <c r="A1056" s="19">
        <v>708580</v>
      </c>
      <c r="B1056" s="20" t="s">
        <v>216</v>
      </c>
      <c r="C1056" s="17">
        <v>1</v>
      </c>
      <c r="D1056" s="17" t="s">
        <v>153</v>
      </c>
    </row>
    <row r="1057" spans="1:26" s="17" customFormat="1" ht="13.5" customHeight="1" x14ac:dyDescent="0.2">
      <c r="A1057" s="11">
        <v>109999</v>
      </c>
      <c r="B1057" s="11" t="s">
        <v>223</v>
      </c>
      <c r="C1057" s="17">
        <v>1</v>
      </c>
      <c r="D1057" s="17" t="s">
        <v>151</v>
      </c>
      <c r="E1057" s="17">
        <v>12000</v>
      </c>
    </row>
    <row r="1058" spans="1:26" x14ac:dyDescent="0.2">
      <c r="A1058" s="5" t="s">
        <v>195</v>
      </c>
      <c r="B1058" s="5" t="s">
        <v>102</v>
      </c>
      <c r="C1058">
        <v>1</v>
      </c>
      <c r="E1058">
        <v>0</v>
      </c>
      <c r="G1058">
        <v>0</v>
      </c>
      <c r="I1058">
        <v>3</v>
      </c>
      <c r="Y1058">
        <v>0</v>
      </c>
      <c r="Z1058" t="str">
        <f t="shared" si="57"/>
        <v>ש"ח</v>
      </c>
    </row>
    <row r="1059" spans="1:26" x14ac:dyDescent="0.2">
      <c r="A1059" s="19" t="str">
        <f>"150011290"</f>
        <v>150011290</v>
      </c>
      <c r="B1059" s="19" t="str">
        <f>"נורת ניאון אדומה 220"</f>
        <v>נורת ניאון אדומה 220</v>
      </c>
      <c r="C1059" s="17">
        <v>8</v>
      </c>
      <c r="D1059" s="17" t="s">
        <v>151</v>
      </c>
    </row>
    <row r="1060" spans="1:26" x14ac:dyDescent="0.2">
      <c r="A1060" s="19" t="str">
        <f>"150020002"</f>
        <v>150020002</v>
      </c>
      <c r="B1060" s="19" t="str">
        <f>"שקע כח ישראלי NEVE-"</f>
        <v>שקע כח ישראלי NEVE-</v>
      </c>
      <c r="C1060" s="17">
        <v>77</v>
      </c>
      <c r="D1060" s="17" t="s">
        <v>151</v>
      </c>
    </row>
    <row r="1061" spans="1:26" x14ac:dyDescent="0.2">
      <c r="A1061" s="19" t="str">
        <f>"150020004"</f>
        <v>150020004</v>
      </c>
      <c r="B1061" s="19" t="str">
        <f>"שקע טלפון NEVE-"</f>
        <v>שקע טלפון NEVE-</v>
      </c>
      <c r="C1061" s="17">
        <v>14</v>
      </c>
      <c r="D1061" s="17" t="s">
        <v>151</v>
      </c>
    </row>
    <row r="1062" spans="1:26" x14ac:dyDescent="0.2">
      <c r="A1062" s="19" t="str">
        <f>"150020014"</f>
        <v>150020014</v>
      </c>
      <c r="B1062" s="19" t="str">
        <f>"דמי NEVE-"</f>
        <v>דמי NEVE-</v>
      </c>
      <c r="C1062" s="17">
        <v>22</v>
      </c>
      <c r="D1062" s="17" t="s">
        <v>151</v>
      </c>
    </row>
    <row r="1063" spans="1:26" x14ac:dyDescent="0.2">
      <c r="A1063" s="19" t="str">
        <f>"150020023"</f>
        <v>150020023</v>
      </c>
      <c r="B1063" s="19" t="str">
        <f>"לחצן מואר NEVE-"</f>
        <v>לחצן מואר NEVE-</v>
      </c>
      <c r="C1063" s="17">
        <v>4</v>
      </c>
      <c r="D1063" s="17" t="s">
        <v>151</v>
      </c>
    </row>
    <row r="1064" spans="1:26" x14ac:dyDescent="0.2">
      <c r="A1064" s="19" t="str">
        <f>"150020024"</f>
        <v>150020024</v>
      </c>
      <c r="B1064" s="19" t="str">
        <f>"לחצן רחב 2 .NEVE-"</f>
        <v>לחצן רחב 2 .NEVE-</v>
      </c>
      <c r="C1064" s="17">
        <v>2</v>
      </c>
      <c r="D1064" s="17" t="s">
        <v>151</v>
      </c>
    </row>
    <row r="1065" spans="1:26" x14ac:dyDescent="0.2">
      <c r="A1065" s="19" t="str">
        <f>"150020029"</f>
        <v>150020029</v>
      </c>
      <c r="B1065" s="19" t="str">
        <f>"מסגרת 1 מודול NEVE-"</f>
        <v>מסגרת 1 מודול NEVE-</v>
      </c>
      <c r="C1065" s="17">
        <v>33</v>
      </c>
      <c r="D1065" s="17" t="s">
        <v>151</v>
      </c>
    </row>
    <row r="1066" spans="1:26" x14ac:dyDescent="0.2">
      <c r="A1066" s="19" t="str">
        <f>"150020036"</f>
        <v>150020036</v>
      </c>
      <c r="B1066" s="19" t="str">
        <f>"מסגרת 2 מודול NEVE-"</f>
        <v>מסגרת 2 מודול NEVE-</v>
      </c>
      <c r="C1066" s="17">
        <v>22</v>
      </c>
      <c r="D1066" s="17" t="s">
        <v>151</v>
      </c>
    </row>
    <row r="1067" spans="1:26" x14ac:dyDescent="0.2">
      <c r="A1067" s="19" t="str">
        <f>"150020041"</f>
        <v>150020041</v>
      </c>
      <c r="B1067" s="19" t="str">
        <f>"מסגרת 3 מודול NEVE-"</f>
        <v>מסגרת 3 מודול NEVE-</v>
      </c>
      <c r="C1067" s="17">
        <v>13</v>
      </c>
      <c r="D1067" s="17" t="s">
        <v>151</v>
      </c>
    </row>
    <row r="1068" spans="1:26" x14ac:dyDescent="0.2">
      <c r="A1068" s="19" t="str">
        <f>"150020045"</f>
        <v>150020045</v>
      </c>
      <c r="B1068" s="19" t="str">
        <f>"מסגרת 4 מודול NEVE-"</f>
        <v>מסגרת 4 מודול NEVE-</v>
      </c>
      <c r="C1068" s="17">
        <v>28</v>
      </c>
      <c r="D1068" s="17" t="s">
        <v>151</v>
      </c>
    </row>
    <row r="1069" spans="1:26" x14ac:dyDescent="0.2">
      <c r="A1069" s="19" t="str">
        <f>"150020059"</f>
        <v>150020059</v>
      </c>
      <c r="B1069" s="19" t="str">
        <f>"מפסק יחיד NEVE-"</f>
        <v>מפסק יחיד NEVE-</v>
      </c>
      <c r="C1069" s="17">
        <v>30</v>
      </c>
      <c r="D1069" s="17" t="s">
        <v>151</v>
      </c>
    </row>
    <row r="1070" spans="1:26" x14ac:dyDescent="0.2">
      <c r="A1070" s="19" t="str">
        <f>"150020061"</f>
        <v>150020061</v>
      </c>
      <c r="B1070" s="19" t="str">
        <f>"מפסק חיולף NEVE-"</f>
        <v>מפסק חיולף NEVE-</v>
      </c>
      <c r="C1070" s="17">
        <v>25</v>
      </c>
      <c r="D1070" s="17" t="s">
        <v>151</v>
      </c>
    </row>
    <row r="1071" spans="1:26" x14ac:dyDescent="0.2">
      <c r="A1071" s="19" t="str">
        <f>"150020063"</f>
        <v>150020063</v>
      </c>
      <c r="B1071" s="19" t="str">
        <f>"מפסק צלב NEVE-"</f>
        <v>מפסק צלב NEVE-</v>
      </c>
      <c r="C1071" s="17">
        <v>3</v>
      </c>
      <c r="D1071" s="17" t="s">
        <v>151</v>
      </c>
    </row>
    <row r="1072" spans="1:26" x14ac:dyDescent="0.2">
      <c r="A1072" s="19" t="str">
        <f>"150020068"</f>
        <v>150020068</v>
      </c>
      <c r="B1072" s="19" t="str">
        <f>"מתאם 2 מודול NEVE-"</f>
        <v>מתאם 2 מודול NEVE-</v>
      </c>
      <c r="C1072" s="17">
        <v>22</v>
      </c>
      <c r="D1072" s="17" t="s">
        <v>151</v>
      </c>
    </row>
    <row r="1073" spans="1:26" x14ac:dyDescent="0.2">
      <c r="A1073" s="19" t="str">
        <f>"150020069"</f>
        <v>150020069</v>
      </c>
      <c r="B1073" s="19" t="str">
        <f>"מתאם 3 מודול NEVE-"</f>
        <v>מתאם 3 מודול NEVE-</v>
      </c>
      <c r="C1073" s="17">
        <v>46</v>
      </c>
      <c r="D1073" s="17" t="s">
        <v>151</v>
      </c>
    </row>
    <row r="1074" spans="1:26" x14ac:dyDescent="0.2">
      <c r="A1074" s="19" t="str">
        <f>"150020070"</f>
        <v>150020070</v>
      </c>
      <c r="B1074" s="19" t="str">
        <f>"מתאם 4 מודול NEVE-"</f>
        <v>מתאם 4 מודול NEVE-</v>
      </c>
      <c r="C1074" s="17">
        <v>28</v>
      </c>
      <c r="D1074" s="17" t="s">
        <v>151</v>
      </c>
    </row>
    <row r="1075" spans="1:26" x14ac:dyDescent="0.2">
      <c r="A1075" s="19" t="str">
        <f>"150020090"</f>
        <v>150020090</v>
      </c>
      <c r="B1075" s="19" t="str">
        <f>"מפסק דוד NEVE-"</f>
        <v>מפסק דוד NEVE-</v>
      </c>
      <c r="C1075" s="17">
        <v>4</v>
      </c>
      <c r="D1075" s="17" t="s">
        <v>151</v>
      </c>
    </row>
    <row r="1076" spans="1:26" x14ac:dyDescent="0.2">
      <c r="A1076" s="19">
        <v>938140</v>
      </c>
      <c r="B1076" s="21" t="s">
        <v>217</v>
      </c>
      <c r="C1076" s="17">
        <v>10</v>
      </c>
      <c r="D1076" s="17" t="s">
        <v>151</v>
      </c>
    </row>
    <row r="1077" spans="1:26" x14ac:dyDescent="0.2">
      <c r="A1077" s="19">
        <v>938150</v>
      </c>
      <c r="B1077" s="21" t="s">
        <v>218</v>
      </c>
      <c r="C1077" s="17">
        <v>1</v>
      </c>
      <c r="D1077" s="17" t="s">
        <v>152</v>
      </c>
    </row>
    <row r="1078" spans="1:26" x14ac:dyDescent="0.2">
      <c r="A1078" s="19">
        <v>708370</v>
      </c>
      <c r="B1078" s="21" t="s">
        <v>219</v>
      </c>
      <c r="C1078" s="17">
        <v>2</v>
      </c>
      <c r="D1078" s="17" t="s">
        <v>153</v>
      </c>
    </row>
    <row r="1079" spans="1:26" x14ac:dyDescent="0.2">
      <c r="A1079" s="19">
        <v>378160</v>
      </c>
      <c r="B1079" s="21" t="s">
        <v>220</v>
      </c>
      <c r="C1079" s="17">
        <v>200</v>
      </c>
      <c r="D1079" s="17" t="s">
        <v>150</v>
      </c>
    </row>
    <row r="1080" spans="1:26" x14ac:dyDescent="0.2">
      <c r="A1080" s="19">
        <v>708470</v>
      </c>
      <c r="B1080" s="21" t="s">
        <v>221</v>
      </c>
      <c r="C1080" s="17">
        <v>6</v>
      </c>
      <c r="D1080" s="17" t="s">
        <v>153</v>
      </c>
    </row>
    <row r="1081" spans="1:26" x14ac:dyDescent="0.2">
      <c r="A1081" s="19">
        <v>628160</v>
      </c>
      <c r="B1081" s="21" t="s">
        <v>222</v>
      </c>
      <c r="C1081" s="17">
        <v>50</v>
      </c>
      <c r="D1081" s="17" t="s">
        <v>151</v>
      </c>
    </row>
    <row r="1082" spans="1:26" x14ac:dyDescent="0.2">
      <c r="A1082" s="11">
        <v>109999</v>
      </c>
      <c r="B1082" s="11" t="s">
        <v>223</v>
      </c>
      <c r="C1082" s="17">
        <v>1</v>
      </c>
      <c r="D1082" s="17" t="s">
        <v>151</v>
      </c>
      <c r="E1082" s="17">
        <v>8000</v>
      </c>
    </row>
    <row r="1083" spans="1:26" x14ac:dyDescent="0.2">
      <c r="A1083" s="11">
        <v>640000</v>
      </c>
      <c r="B1083" s="22" t="s">
        <v>224</v>
      </c>
      <c r="C1083">
        <v>1</v>
      </c>
      <c r="D1083" t="s">
        <v>151</v>
      </c>
      <c r="E1083">
        <v>6800</v>
      </c>
    </row>
    <row r="1084" spans="1:26" x14ac:dyDescent="0.2">
      <c r="A1084" s="11">
        <v>999999</v>
      </c>
      <c r="B1084" s="22" t="s">
        <v>225</v>
      </c>
      <c r="C1084">
        <v>1</v>
      </c>
      <c r="D1084" t="s">
        <v>226</v>
      </c>
      <c r="E1084">
        <v>1800</v>
      </c>
    </row>
    <row r="1085" spans="1:26" x14ac:dyDescent="0.2">
      <c r="A1085" s="5" t="s">
        <v>196</v>
      </c>
      <c r="B1085" s="5" t="s">
        <v>103</v>
      </c>
      <c r="C1085">
        <v>1</v>
      </c>
      <c r="E1085">
        <v>0</v>
      </c>
      <c r="G1085">
        <v>0</v>
      </c>
      <c r="I1085">
        <v>3</v>
      </c>
      <c r="Y1085">
        <v>0</v>
      </c>
      <c r="Z1085" t="str">
        <f t="shared" si="57"/>
        <v>ש"ח</v>
      </c>
    </row>
    <row r="1086" spans="1:26" ht="15" x14ac:dyDescent="0.2">
      <c r="A1086" s="6">
        <v>10.19</v>
      </c>
      <c r="B1086" s="6" t="s">
        <v>200</v>
      </c>
      <c r="C1086">
        <v>1</v>
      </c>
      <c r="E1086">
        <v>0</v>
      </c>
      <c r="G1086">
        <v>100</v>
      </c>
      <c r="I1086">
        <v>2</v>
      </c>
      <c r="Y1086">
        <v>0</v>
      </c>
      <c r="Z1086" t="str">
        <f t="shared" si="57"/>
        <v>ש"ח</v>
      </c>
    </row>
    <row r="1087" spans="1:26" x14ac:dyDescent="0.2">
      <c r="A1087" s="5" t="s">
        <v>105</v>
      </c>
      <c r="B1087" s="5" t="s">
        <v>100</v>
      </c>
      <c r="C1087">
        <v>1</v>
      </c>
      <c r="E1087">
        <v>0</v>
      </c>
      <c r="G1087">
        <v>0</v>
      </c>
      <c r="I1087">
        <v>3</v>
      </c>
      <c r="Y1087">
        <v>0</v>
      </c>
      <c r="Z1087" t="str">
        <f t="shared" si="57"/>
        <v>ש"ח</v>
      </c>
    </row>
    <row r="1088" spans="1:26" s="18" customFormat="1" ht="15" customHeight="1" x14ac:dyDescent="0.2">
      <c r="A1088" s="16">
        <v>218260</v>
      </c>
      <c r="B1088" s="12" t="s">
        <v>154</v>
      </c>
      <c r="C1088" s="17">
        <v>500</v>
      </c>
      <c r="D1088" s="17" t="s">
        <v>150</v>
      </c>
      <c r="Y1088" s="18">
        <f>C1088*E1088</f>
        <v>0</v>
      </c>
    </row>
    <row r="1089" spans="1:26" s="18" customFormat="1" ht="12.75" x14ac:dyDescent="0.2">
      <c r="A1089" s="16">
        <v>218270</v>
      </c>
      <c r="B1089" s="12" t="s">
        <v>155</v>
      </c>
      <c r="C1089" s="17">
        <v>100</v>
      </c>
      <c r="D1089" s="17" t="s">
        <v>150</v>
      </c>
      <c r="Y1089" s="18">
        <f>C1089*E1089</f>
        <v>0</v>
      </c>
    </row>
    <row r="1090" spans="1:26" s="18" customFormat="1" ht="12.75" x14ac:dyDescent="0.2">
      <c r="A1090" s="16">
        <v>218140</v>
      </c>
      <c r="B1090" s="17" t="s">
        <v>156</v>
      </c>
      <c r="C1090" s="17">
        <v>50</v>
      </c>
      <c r="D1090" s="17" t="s">
        <v>150</v>
      </c>
      <c r="Y1090" s="18">
        <f>C1090*E1090</f>
        <v>0</v>
      </c>
    </row>
    <row r="1091" spans="1:26" s="18" customFormat="1" ht="12.75" x14ac:dyDescent="0.2">
      <c r="A1091" s="16">
        <v>228130</v>
      </c>
      <c r="B1091" s="17" t="s">
        <v>147</v>
      </c>
      <c r="C1091" s="17">
        <v>10</v>
      </c>
      <c r="D1091" s="17" t="s">
        <v>151</v>
      </c>
    </row>
    <row r="1092" spans="1:26" s="18" customFormat="1" ht="12.75" x14ac:dyDescent="0.2">
      <c r="A1092" s="16">
        <v>228350</v>
      </c>
      <c r="B1092" s="12" t="s">
        <v>157</v>
      </c>
      <c r="C1092" s="17">
        <v>25</v>
      </c>
      <c r="D1092" s="17" t="s">
        <v>151</v>
      </c>
    </row>
    <row r="1093" spans="1:26" s="18" customFormat="1" ht="12.75" x14ac:dyDescent="0.2">
      <c r="A1093" s="16">
        <v>228370</v>
      </c>
      <c r="B1093" s="12" t="s">
        <v>158</v>
      </c>
      <c r="C1093" s="17">
        <v>30</v>
      </c>
      <c r="D1093" s="17" t="s">
        <v>151</v>
      </c>
    </row>
    <row r="1094" spans="1:26" s="18" customFormat="1" ht="12.75" x14ac:dyDescent="0.2">
      <c r="A1094" s="16">
        <v>798200</v>
      </c>
      <c r="B1094" s="16" t="s">
        <v>159</v>
      </c>
      <c r="C1094" s="17">
        <v>1</v>
      </c>
      <c r="D1094" s="17" t="s">
        <v>151</v>
      </c>
    </row>
    <row r="1095" spans="1:26" s="18" customFormat="1" ht="12.75" x14ac:dyDescent="0.2">
      <c r="A1095" s="16">
        <v>918140</v>
      </c>
      <c r="B1095" s="16" t="s">
        <v>160</v>
      </c>
      <c r="C1095" s="17">
        <v>100</v>
      </c>
      <c r="D1095" s="17" t="s">
        <v>151</v>
      </c>
    </row>
    <row r="1096" spans="1:26" s="9" customFormat="1" x14ac:dyDescent="0.2">
      <c r="A1096" s="11">
        <v>438200</v>
      </c>
      <c r="B1096" s="12" t="s">
        <v>161</v>
      </c>
      <c r="C1096" s="13">
        <v>5</v>
      </c>
      <c r="D1096" s="13" t="s">
        <v>150</v>
      </c>
    </row>
    <row r="1097" spans="1:26" s="9" customFormat="1" x14ac:dyDescent="0.2">
      <c r="A1097" s="11"/>
      <c r="B1097" s="12" t="s">
        <v>223</v>
      </c>
      <c r="C1097" s="17">
        <v>1</v>
      </c>
      <c r="D1097" s="17" t="s">
        <v>226</v>
      </c>
      <c r="E1097" s="9">
        <v>3000</v>
      </c>
    </row>
    <row r="1098" spans="1:26" x14ac:dyDescent="0.2">
      <c r="A1098" s="5" t="s">
        <v>106</v>
      </c>
      <c r="B1098" s="5" t="s">
        <v>101</v>
      </c>
      <c r="C1098">
        <v>1</v>
      </c>
      <c r="E1098">
        <v>0</v>
      </c>
      <c r="G1098">
        <v>0</v>
      </c>
      <c r="I1098">
        <v>3</v>
      </c>
      <c r="Y1098">
        <v>0</v>
      </c>
      <c r="Z1098" t="str">
        <f t="shared" si="57"/>
        <v>ש"ח</v>
      </c>
    </row>
    <row r="1099" spans="1:26" s="17" customFormat="1" ht="15" customHeight="1" x14ac:dyDescent="0.2">
      <c r="A1099" s="16">
        <v>218260</v>
      </c>
      <c r="B1099" s="12" t="s">
        <v>154</v>
      </c>
      <c r="C1099" s="17">
        <v>700</v>
      </c>
      <c r="D1099" s="17" t="s">
        <v>150</v>
      </c>
    </row>
    <row r="1100" spans="1:26" s="17" customFormat="1" ht="12.75" x14ac:dyDescent="0.2">
      <c r="A1100" s="16">
        <v>218290</v>
      </c>
      <c r="B1100" s="12" t="s">
        <v>162</v>
      </c>
      <c r="C1100" s="17">
        <v>800</v>
      </c>
      <c r="D1100" s="17" t="s">
        <v>150</v>
      </c>
    </row>
    <row r="1101" spans="1:26" s="17" customFormat="1" ht="12.75" x14ac:dyDescent="0.2">
      <c r="A1101" s="16">
        <v>218370</v>
      </c>
      <c r="B1101" s="12" t="s">
        <v>163</v>
      </c>
      <c r="C1101" s="17">
        <v>150</v>
      </c>
      <c r="D1101" s="17" t="s">
        <v>150</v>
      </c>
    </row>
    <row r="1102" spans="1:26" s="17" customFormat="1" ht="12.75" x14ac:dyDescent="0.2">
      <c r="A1102" s="16">
        <v>218340</v>
      </c>
      <c r="B1102" s="12" t="s">
        <v>164</v>
      </c>
      <c r="C1102" s="17">
        <v>150</v>
      </c>
      <c r="D1102" s="17" t="s">
        <v>150</v>
      </c>
    </row>
    <row r="1103" spans="1:26" s="17" customFormat="1" ht="12.75" x14ac:dyDescent="0.2">
      <c r="A1103" s="16">
        <v>218190</v>
      </c>
      <c r="B1103" s="12" t="s">
        <v>148</v>
      </c>
      <c r="C1103" s="17">
        <v>300</v>
      </c>
      <c r="D1103" s="17" t="s">
        <v>150</v>
      </c>
    </row>
    <row r="1104" spans="1:26" s="17" customFormat="1" ht="12.75" x14ac:dyDescent="0.2">
      <c r="A1104" s="16">
        <v>218300</v>
      </c>
      <c r="B1104" s="12" t="s">
        <v>165</v>
      </c>
      <c r="C1104" s="17">
        <v>50</v>
      </c>
      <c r="D1104" s="17" t="s">
        <v>150</v>
      </c>
    </row>
    <row r="1105" spans="1:4" s="17" customFormat="1" ht="12.75" x14ac:dyDescent="0.2">
      <c r="A1105" s="16">
        <v>368110</v>
      </c>
      <c r="B1105" s="12" t="s">
        <v>166</v>
      </c>
      <c r="C1105" s="17">
        <v>800</v>
      </c>
      <c r="D1105" s="17" t="s">
        <v>150</v>
      </c>
    </row>
    <row r="1106" spans="1:4" s="17" customFormat="1" ht="12.75" x14ac:dyDescent="0.2">
      <c r="A1106" s="16">
        <v>368120</v>
      </c>
      <c r="B1106" s="12" t="s">
        <v>167</v>
      </c>
      <c r="C1106" s="17">
        <v>800</v>
      </c>
      <c r="D1106" s="17" t="s">
        <v>150</v>
      </c>
    </row>
    <row r="1107" spans="1:4" s="17" customFormat="1" ht="12.75" x14ac:dyDescent="0.2">
      <c r="A1107" s="16">
        <v>368130</v>
      </c>
      <c r="B1107" s="12" t="s">
        <v>168</v>
      </c>
      <c r="C1107" s="17">
        <v>800</v>
      </c>
      <c r="D1107" s="17" t="s">
        <v>150</v>
      </c>
    </row>
    <row r="1108" spans="1:4" s="17" customFormat="1" ht="12.75" x14ac:dyDescent="0.2">
      <c r="A1108" s="16">
        <v>368140</v>
      </c>
      <c r="B1108" s="12" t="s">
        <v>169</v>
      </c>
      <c r="C1108" s="17">
        <v>800</v>
      </c>
      <c r="D1108" s="17" t="s">
        <v>150</v>
      </c>
    </row>
    <row r="1109" spans="1:4" s="17" customFormat="1" ht="12.75" x14ac:dyDescent="0.2">
      <c r="A1109" s="16">
        <v>368150</v>
      </c>
      <c r="B1109" s="12" t="s">
        <v>170</v>
      </c>
      <c r="C1109" s="17">
        <v>800</v>
      </c>
      <c r="D1109" s="17" t="s">
        <v>150</v>
      </c>
    </row>
    <row r="1110" spans="1:4" s="17" customFormat="1" ht="12.75" x14ac:dyDescent="0.2">
      <c r="A1110" s="16">
        <v>368160</v>
      </c>
      <c r="B1110" s="12" t="s">
        <v>171</v>
      </c>
      <c r="C1110" s="17">
        <v>700</v>
      </c>
      <c r="D1110" s="17" t="s">
        <v>150</v>
      </c>
    </row>
    <row r="1111" spans="1:4" s="17" customFormat="1" ht="12.75" x14ac:dyDescent="0.2">
      <c r="A1111" s="16">
        <v>368170</v>
      </c>
      <c r="B1111" s="12" t="s">
        <v>172</v>
      </c>
      <c r="C1111" s="17">
        <v>700</v>
      </c>
      <c r="D1111" s="17" t="s">
        <v>150</v>
      </c>
    </row>
    <row r="1112" spans="1:4" s="17" customFormat="1" ht="12.75" x14ac:dyDescent="0.2">
      <c r="A1112" s="16">
        <v>368180</v>
      </c>
      <c r="B1112" s="12" t="s">
        <v>173</v>
      </c>
      <c r="C1112" s="17">
        <v>700</v>
      </c>
      <c r="D1112" s="17" t="s">
        <v>150</v>
      </c>
    </row>
    <row r="1113" spans="1:4" s="17" customFormat="1" ht="12.75" x14ac:dyDescent="0.2">
      <c r="A1113" s="16">
        <v>378120</v>
      </c>
      <c r="B1113" s="12" t="s">
        <v>174</v>
      </c>
      <c r="C1113" s="17">
        <v>200</v>
      </c>
      <c r="D1113" s="17" t="s">
        <v>150</v>
      </c>
    </row>
    <row r="1114" spans="1:4" s="17" customFormat="1" ht="12.75" x14ac:dyDescent="0.2">
      <c r="A1114" s="16">
        <v>228350</v>
      </c>
      <c r="B1114" s="12" t="s">
        <v>157</v>
      </c>
      <c r="C1114" s="17">
        <v>60</v>
      </c>
      <c r="D1114" s="17" t="s">
        <v>151</v>
      </c>
    </row>
    <row r="1115" spans="1:4" s="17" customFormat="1" ht="12.75" x14ac:dyDescent="0.2">
      <c r="A1115" s="16">
        <v>228370</v>
      </c>
      <c r="B1115" s="12" t="s">
        <v>158</v>
      </c>
      <c r="C1115" s="17">
        <v>30</v>
      </c>
      <c r="D1115" s="17" t="s">
        <v>151</v>
      </c>
    </row>
    <row r="1116" spans="1:4" s="17" customFormat="1" ht="12.75" x14ac:dyDescent="0.2">
      <c r="A1116" s="16">
        <v>918180</v>
      </c>
      <c r="B1116" s="12" t="s">
        <v>149</v>
      </c>
      <c r="C1116" s="17">
        <v>4</v>
      </c>
      <c r="D1116" s="17" t="s">
        <v>152</v>
      </c>
    </row>
    <row r="1117" spans="1:4" s="17" customFormat="1" ht="12.75" x14ac:dyDescent="0.2">
      <c r="A1117" s="16">
        <v>918190</v>
      </c>
      <c r="B1117" s="16" t="s">
        <v>175</v>
      </c>
      <c r="C1117" s="17">
        <v>4</v>
      </c>
      <c r="D1117" s="17" t="s">
        <v>152</v>
      </c>
    </row>
    <row r="1118" spans="1:4" s="17" customFormat="1" ht="12.75" x14ac:dyDescent="0.2">
      <c r="A1118" s="16">
        <v>228130</v>
      </c>
      <c r="B1118" s="17" t="s">
        <v>147</v>
      </c>
      <c r="C1118" s="17">
        <v>10</v>
      </c>
      <c r="D1118" s="17" t="s">
        <v>153</v>
      </c>
    </row>
    <row r="1119" spans="1:4" s="17" customFormat="1" ht="12.75" x14ac:dyDescent="0.2">
      <c r="A1119" s="16">
        <v>228140</v>
      </c>
      <c r="B1119" s="12" t="s">
        <v>176</v>
      </c>
      <c r="C1119" s="17">
        <v>25</v>
      </c>
      <c r="D1119" s="17" t="s">
        <v>153</v>
      </c>
    </row>
    <row r="1120" spans="1:4" s="17" customFormat="1" ht="13.5" customHeight="1" x14ac:dyDescent="0.2">
      <c r="A1120" s="16">
        <v>438200</v>
      </c>
      <c r="B1120" s="12" t="s">
        <v>161</v>
      </c>
      <c r="C1120" s="17">
        <v>10</v>
      </c>
      <c r="D1120" s="17" t="s">
        <v>151</v>
      </c>
    </row>
    <row r="1121" spans="1:26" s="17" customFormat="1" ht="13.5" customHeight="1" x14ac:dyDescent="0.2">
      <c r="A1121" s="19">
        <v>708580</v>
      </c>
      <c r="B1121" s="20" t="s">
        <v>216</v>
      </c>
      <c r="C1121" s="17">
        <v>1</v>
      </c>
      <c r="D1121" s="17" t="s">
        <v>153</v>
      </c>
    </row>
    <row r="1122" spans="1:26" s="17" customFormat="1" ht="13.5" customHeight="1" x14ac:dyDescent="0.2">
      <c r="A1122" s="11">
        <v>109999</v>
      </c>
      <c r="B1122" s="11" t="s">
        <v>223</v>
      </c>
      <c r="C1122" s="17">
        <v>1</v>
      </c>
      <c r="D1122" s="17" t="s">
        <v>151</v>
      </c>
      <c r="E1122" s="17">
        <v>12000</v>
      </c>
    </row>
    <row r="1123" spans="1:26" x14ac:dyDescent="0.2">
      <c r="A1123" s="5" t="s">
        <v>107</v>
      </c>
      <c r="B1123" s="5" t="s">
        <v>102</v>
      </c>
      <c r="C1123">
        <v>1</v>
      </c>
      <c r="E1123">
        <v>0</v>
      </c>
      <c r="G1123">
        <v>0</v>
      </c>
      <c r="I1123">
        <v>3</v>
      </c>
      <c r="Y1123">
        <v>0</v>
      </c>
      <c r="Z1123" t="str">
        <f t="shared" si="57"/>
        <v>ש"ח</v>
      </c>
    </row>
    <row r="1124" spans="1:26" x14ac:dyDescent="0.2">
      <c r="A1124" s="19" t="str">
        <f>"150011290"</f>
        <v>150011290</v>
      </c>
      <c r="B1124" s="19" t="str">
        <f>"נורת ניאון אדומה 220"</f>
        <v>נורת ניאון אדומה 220</v>
      </c>
      <c r="C1124" s="17">
        <v>8</v>
      </c>
      <c r="D1124" s="17" t="s">
        <v>151</v>
      </c>
    </row>
    <row r="1125" spans="1:26" x14ac:dyDescent="0.2">
      <c r="A1125" s="19" t="str">
        <f>"150020002"</f>
        <v>150020002</v>
      </c>
      <c r="B1125" s="19" t="str">
        <f>"שקע כח ישראלי NEVE-"</f>
        <v>שקע כח ישראלי NEVE-</v>
      </c>
      <c r="C1125" s="17">
        <v>77</v>
      </c>
      <c r="D1125" s="17" t="s">
        <v>151</v>
      </c>
    </row>
    <row r="1126" spans="1:26" x14ac:dyDescent="0.2">
      <c r="A1126" s="19" t="str">
        <f>"150020004"</f>
        <v>150020004</v>
      </c>
      <c r="B1126" s="19" t="str">
        <f>"שקע טלפון NEVE-"</f>
        <v>שקע טלפון NEVE-</v>
      </c>
      <c r="C1126" s="17">
        <v>14</v>
      </c>
      <c r="D1126" s="17" t="s">
        <v>151</v>
      </c>
    </row>
    <row r="1127" spans="1:26" x14ac:dyDescent="0.2">
      <c r="A1127" s="19" t="str">
        <f>"150020014"</f>
        <v>150020014</v>
      </c>
      <c r="B1127" s="19" t="str">
        <f>"דמי NEVE-"</f>
        <v>דמי NEVE-</v>
      </c>
      <c r="C1127" s="17">
        <v>22</v>
      </c>
      <c r="D1127" s="17" t="s">
        <v>151</v>
      </c>
    </row>
    <row r="1128" spans="1:26" x14ac:dyDescent="0.2">
      <c r="A1128" s="19" t="str">
        <f>"150020023"</f>
        <v>150020023</v>
      </c>
      <c r="B1128" s="19" t="str">
        <f>"לחצן מואר NEVE-"</f>
        <v>לחצן מואר NEVE-</v>
      </c>
      <c r="C1128" s="17">
        <v>4</v>
      </c>
      <c r="D1128" s="17" t="s">
        <v>151</v>
      </c>
    </row>
    <row r="1129" spans="1:26" x14ac:dyDescent="0.2">
      <c r="A1129" s="19" t="str">
        <f>"150020024"</f>
        <v>150020024</v>
      </c>
      <c r="B1129" s="19" t="str">
        <f>"לחצן רחב 2 .NEVE-"</f>
        <v>לחצן רחב 2 .NEVE-</v>
      </c>
      <c r="C1129" s="17">
        <v>2</v>
      </c>
      <c r="D1129" s="17" t="s">
        <v>151</v>
      </c>
    </row>
    <row r="1130" spans="1:26" x14ac:dyDescent="0.2">
      <c r="A1130" s="19" t="str">
        <f>"150020029"</f>
        <v>150020029</v>
      </c>
      <c r="B1130" s="19" t="str">
        <f>"מסגרת 1 מודול NEVE-"</f>
        <v>מסגרת 1 מודול NEVE-</v>
      </c>
      <c r="C1130" s="17">
        <v>33</v>
      </c>
      <c r="D1130" s="17" t="s">
        <v>151</v>
      </c>
    </row>
    <row r="1131" spans="1:26" x14ac:dyDescent="0.2">
      <c r="A1131" s="19" t="str">
        <f>"150020036"</f>
        <v>150020036</v>
      </c>
      <c r="B1131" s="19" t="str">
        <f>"מסגרת 2 מודול NEVE-"</f>
        <v>מסגרת 2 מודול NEVE-</v>
      </c>
      <c r="C1131" s="17">
        <v>22</v>
      </c>
      <c r="D1131" s="17" t="s">
        <v>151</v>
      </c>
    </row>
    <row r="1132" spans="1:26" x14ac:dyDescent="0.2">
      <c r="A1132" s="19" t="str">
        <f>"150020041"</f>
        <v>150020041</v>
      </c>
      <c r="B1132" s="19" t="str">
        <f>"מסגרת 3 מודול NEVE-"</f>
        <v>מסגרת 3 מודול NEVE-</v>
      </c>
      <c r="C1132" s="17">
        <v>13</v>
      </c>
      <c r="D1132" s="17" t="s">
        <v>151</v>
      </c>
    </row>
    <row r="1133" spans="1:26" x14ac:dyDescent="0.2">
      <c r="A1133" s="19" t="str">
        <f>"150020045"</f>
        <v>150020045</v>
      </c>
      <c r="B1133" s="19" t="str">
        <f>"מסגרת 4 מודול NEVE-"</f>
        <v>מסגרת 4 מודול NEVE-</v>
      </c>
      <c r="C1133" s="17">
        <v>28</v>
      </c>
      <c r="D1133" s="17" t="s">
        <v>151</v>
      </c>
    </row>
    <row r="1134" spans="1:26" x14ac:dyDescent="0.2">
      <c r="A1134" s="19" t="str">
        <f>"150020059"</f>
        <v>150020059</v>
      </c>
      <c r="B1134" s="19" t="str">
        <f>"מפסק יחיד NEVE-"</f>
        <v>מפסק יחיד NEVE-</v>
      </c>
      <c r="C1134" s="17">
        <v>30</v>
      </c>
      <c r="D1134" s="17" t="s">
        <v>151</v>
      </c>
    </row>
    <row r="1135" spans="1:26" x14ac:dyDescent="0.2">
      <c r="A1135" s="19" t="str">
        <f>"150020061"</f>
        <v>150020061</v>
      </c>
      <c r="B1135" s="19" t="str">
        <f>"מפסק חיולף NEVE-"</f>
        <v>מפסק חיולף NEVE-</v>
      </c>
      <c r="C1135" s="17">
        <v>25</v>
      </c>
      <c r="D1135" s="17" t="s">
        <v>151</v>
      </c>
    </row>
    <row r="1136" spans="1:26" x14ac:dyDescent="0.2">
      <c r="A1136" s="19" t="str">
        <f>"150020063"</f>
        <v>150020063</v>
      </c>
      <c r="B1136" s="19" t="str">
        <f>"מפסק צלב NEVE-"</f>
        <v>מפסק צלב NEVE-</v>
      </c>
      <c r="C1136" s="17">
        <v>3</v>
      </c>
      <c r="D1136" s="17" t="s">
        <v>151</v>
      </c>
    </row>
    <row r="1137" spans="1:26" x14ac:dyDescent="0.2">
      <c r="A1137" s="19" t="str">
        <f>"150020068"</f>
        <v>150020068</v>
      </c>
      <c r="B1137" s="19" t="str">
        <f>"מתאם 2 מודול NEVE-"</f>
        <v>מתאם 2 מודול NEVE-</v>
      </c>
      <c r="C1137" s="17">
        <v>22</v>
      </c>
      <c r="D1137" s="17" t="s">
        <v>151</v>
      </c>
    </row>
    <row r="1138" spans="1:26" x14ac:dyDescent="0.2">
      <c r="A1138" s="19" t="str">
        <f>"150020069"</f>
        <v>150020069</v>
      </c>
      <c r="B1138" s="19" t="str">
        <f>"מתאם 3 מודול NEVE-"</f>
        <v>מתאם 3 מודול NEVE-</v>
      </c>
      <c r="C1138" s="17">
        <v>46</v>
      </c>
      <c r="D1138" s="17" t="s">
        <v>151</v>
      </c>
    </row>
    <row r="1139" spans="1:26" x14ac:dyDescent="0.2">
      <c r="A1139" s="19" t="str">
        <f>"150020070"</f>
        <v>150020070</v>
      </c>
      <c r="B1139" s="19" t="str">
        <f>"מתאם 4 מודול NEVE-"</f>
        <v>מתאם 4 מודול NEVE-</v>
      </c>
      <c r="C1139" s="17">
        <v>28</v>
      </c>
      <c r="D1139" s="17" t="s">
        <v>151</v>
      </c>
    </row>
    <row r="1140" spans="1:26" x14ac:dyDescent="0.2">
      <c r="A1140" s="19" t="str">
        <f>"150020090"</f>
        <v>150020090</v>
      </c>
      <c r="B1140" s="19" t="str">
        <f>"מפסק דוד NEVE-"</f>
        <v>מפסק דוד NEVE-</v>
      </c>
      <c r="C1140" s="17">
        <v>4</v>
      </c>
      <c r="D1140" s="17" t="s">
        <v>151</v>
      </c>
    </row>
    <row r="1141" spans="1:26" x14ac:dyDescent="0.2">
      <c r="A1141" s="19">
        <v>938140</v>
      </c>
      <c r="B1141" s="21" t="s">
        <v>217</v>
      </c>
      <c r="C1141" s="17">
        <v>10</v>
      </c>
      <c r="D1141" s="17" t="s">
        <v>151</v>
      </c>
    </row>
    <row r="1142" spans="1:26" x14ac:dyDescent="0.2">
      <c r="A1142" s="19">
        <v>938150</v>
      </c>
      <c r="B1142" s="21" t="s">
        <v>218</v>
      </c>
      <c r="C1142" s="17">
        <v>1</v>
      </c>
      <c r="D1142" s="17" t="s">
        <v>152</v>
      </c>
    </row>
    <row r="1143" spans="1:26" x14ac:dyDescent="0.2">
      <c r="A1143" s="19">
        <v>708370</v>
      </c>
      <c r="B1143" s="21" t="s">
        <v>219</v>
      </c>
      <c r="C1143" s="17">
        <v>2</v>
      </c>
      <c r="D1143" s="17" t="s">
        <v>153</v>
      </c>
    </row>
    <row r="1144" spans="1:26" x14ac:dyDescent="0.2">
      <c r="A1144" s="19">
        <v>378160</v>
      </c>
      <c r="B1144" s="21" t="s">
        <v>220</v>
      </c>
      <c r="C1144" s="17">
        <v>200</v>
      </c>
      <c r="D1144" s="17" t="s">
        <v>150</v>
      </c>
    </row>
    <row r="1145" spans="1:26" x14ac:dyDescent="0.2">
      <c r="A1145" s="19">
        <v>708470</v>
      </c>
      <c r="B1145" s="21" t="s">
        <v>221</v>
      </c>
      <c r="C1145" s="17">
        <v>6</v>
      </c>
      <c r="D1145" s="17" t="s">
        <v>153</v>
      </c>
    </row>
    <row r="1146" spans="1:26" x14ac:dyDescent="0.2">
      <c r="A1146" s="19">
        <v>628160</v>
      </c>
      <c r="B1146" s="21" t="s">
        <v>222</v>
      </c>
      <c r="C1146" s="17">
        <v>50</v>
      </c>
      <c r="D1146" s="17" t="s">
        <v>151</v>
      </c>
    </row>
    <row r="1147" spans="1:26" x14ac:dyDescent="0.2">
      <c r="A1147" s="11">
        <v>109999</v>
      </c>
      <c r="B1147" s="11" t="s">
        <v>223</v>
      </c>
      <c r="C1147" s="17">
        <v>1</v>
      </c>
      <c r="D1147" s="17" t="s">
        <v>151</v>
      </c>
      <c r="E1147" s="17">
        <v>8000</v>
      </c>
    </row>
    <row r="1148" spans="1:26" x14ac:dyDescent="0.2">
      <c r="A1148" s="11">
        <v>640000</v>
      </c>
      <c r="B1148" s="22" t="s">
        <v>224</v>
      </c>
      <c r="C1148">
        <v>1</v>
      </c>
      <c r="D1148" t="s">
        <v>151</v>
      </c>
      <c r="E1148">
        <v>6800</v>
      </c>
    </row>
    <row r="1149" spans="1:26" x14ac:dyDescent="0.2">
      <c r="A1149" s="11">
        <v>999999</v>
      </c>
      <c r="B1149" s="22" t="s">
        <v>225</v>
      </c>
      <c r="C1149">
        <v>1</v>
      </c>
      <c r="D1149" t="s">
        <v>226</v>
      </c>
      <c r="E1149">
        <v>1800</v>
      </c>
    </row>
    <row r="1150" spans="1:26" x14ac:dyDescent="0.2">
      <c r="A1150" s="5" t="s">
        <v>108</v>
      </c>
      <c r="B1150" s="5" t="s">
        <v>103</v>
      </c>
      <c r="C1150">
        <v>1</v>
      </c>
      <c r="E1150">
        <v>0</v>
      </c>
      <c r="G1150">
        <v>0</v>
      </c>
      <c r="I1150">
        <v>3</v>
      </c>
      <c r="Y1150">
        <v>0</v>
      </c>
      <c r="Z1150" t="str">
        <f t="shared" si="57"/>
        <v>ש"ח</v>
      </c>
    </row>
    <row r="1151" spans="1:26" ht="15" x14ac:dyDescent="0.2">
      <c r="A1151" s="6">
        <v>10.199999999999999</v>
      </c>
      <c r="B1151" s="6" t="s">
        <v>25</v>
      </c>
      <c r="C1151">
        <v>1</v>
      </c>
      <c r="E1151">
        <v>0</v>
      </c>
      <c r="G1151">
        <v>100</v>
      </c>
      <c r="I1151">
        <v>2</v>
      </c>
      <c r="Y1151">
        <v>0</v>
      </c>
      <c r="Z1151" t="str">
        <f t="shared" si="57"/>
        <v>ש"ח</v>
      </c>
    </row>
    <row r="1152" spans="1:26" x14ac:dyDescent="0.2">
      <c r="A1152" s="5" t="s">
        <v>109</v>
      </c>
      <c r="B1152" s="5" t="s">
        <v>100</v>
      </c>
      <c r="C1152">
        <v>1</v>
      </c>
      <c r="E1152">
        <v>0</v>
      </c>
      <c r="G1152">
        <v>0</v>
      </c>
      <c r="I1152">
        <v>3</v>
      </c>
      <c r="Y1152">
        <v>0</v>
      </c>
      <c r="Z1152" t="str">
        <f t="shared" si="57"/>
        <v>ש"ח</v>
      </c>
    </row>
    <row r="1153" spans="1:26" s="18" customFormat="1" ht="15" customHeight="1" x14ac:dyDescent="0.2">
      <c r="A1153" s="16">
        <v>218260</v>
      </c>
      <c r="B1153" s="12" t="s">
        <v>154</v>
      </c>
      <c r="C1153" s="17">
        <v>500</v>
      </c>
      <c r="D1153" s="17" t="s">
        <v>150</v>
      </c>
      <c r="Y1153" s="18">
        <f>C1153*E1153</f>
        <v>0</v>
      </c>
    </row>
    <row r="1154" spans="1:26" s="18" customFormat="1" ht="12.75" x14ac:dyDescent="0.2">
      <c r="A1154" s="16">
        <v>218270</v>
      </c>
      <c r="B1154" s="12" t="s">
        <v>155</v>
      </c>
      <c r="C1154" s="17">
        <v>100</v>
      </c>
      <c r="D1154" s="17" t="s">
        <v>150</v>
      </c>
      <c r="Y1154" s="18">
        <f>C1154*E1154</f>
        <v>0</v>
      </c>
    </row>
    <row r="1155" spans="1:26" s="18" customFormat="1" ht="12.75" x14ac:dyDescent="0.2">
      <c r="A1155" s="16">
        <v>218140</v>
      </c>
      <c r="B1155" s="17" t="s">
        <v>156</v>
      </c>
      <c r="C1155" s="17">
        <v>50</v>
      </c>
      <c r="D1155" s="17" t="s">
        <v>150</v>
      </c>
      <c r="Y1155" s="18">
        <f>C1155*E1155</f>
        <v>0</v>
      </c>
    </row>
    <row r="1156" spans="1:26" s="18" customFormat="1" ht="12.75" x14ac:dyDescent="0.2">
      <c r="A1156" s="16">
        <v>228130</v>
      </c>
      <c r="B1156" s="17" t="s">
        <v>147</v>
      </c>
      <c r="C1156" s="17">
        <v>10</v>
      </c>
      <c r="D1156" s="17" t="s">
        <v>151</v>
      </c>
    </row>
    <row r="1157" spans="1:26" s="18" customFormat="1" ht="12.75" x14ac:dyDescent="0.2">
      <c r="A1157" s="16">
        <v>228350</v>
      </c>
      <c r="B1157" s="12" t="s">
        <v>157</v>
      </c>
      <c r="C1157" s="17">
        <v>25</v>
      </c>
      <c r="D1157" s="17" t="s">
        <v>151</v>
      </c>
    </row>
    <row r="1158" spans="1:26" s="18" customFormat="1" ht="12.75" x14ac:dyDescent="0.2">
      <c r="A1158" s="16">
        <v>228370</v>
      </c>
      <c r="B1158" s="12" t="s">
        <v>158</v>
      </c>
      <c r="C1158" s="17">
        <v>30</v>
      </c>
      <c r="D1158" s="17" t="s">
        <v>151</v>
      </c>
    </row>
    <row r="1159" spans="1:26" s="18" customFormat="1" ht="12.75" x14ac:dyDescent="0.2">
      <c r="A1159" s="16">
        <v>798200</v>
      </c>
      <c r="B1159" s="16" t="s">
        <v>159</v>
      </c>
      <c r="C1159" s="17">
        <v>1</v>
      </c>
      <c r="D1159" s="17" t="s">
        <v>151</v>
      </c>
    </row>
    <row r="1160" spans="1:26" s="18" customFormat="1" ht="12.75" x14ac:dyDescent="0.2">
      <c r="A1160" s="16">
        <v>918140</v>
      </c>
      <c r="B1160" s="16" t="s">
        <v>160</v>
      </c>
      <c r="C1160" s="17">
        <v>100</v>
      </c>
      <c r="D1160" s="17" t="s">
        <v>151</v>
      </c>
    </row>
    <row r="1161" spans="1:26" s="9" customFormat="1" x14ac:dyDescent="0.2">
      <c r="A1161" s="11">
        <v>438200</v>
      </c>
      <c r="B1161" s="12" t="s">
        <v>161</v>
      </c>
      <c r="C1161" s="13">
        <v>5</v>
      </c>
      <c r="D1161" s="13" t="s">
        <v>150</v>
      </c>
    </row>
    <row r="1162" spans="1:26" s="9" customFormat="1" x14ac:dyDescent="0.2">
      <c r="A1162" s="11"/>
      <c r="B1162" s="12" t="s">
        <v>223</v>
      </c>
      <c r="C1162" s="17">
        <v>1</v>
      </c>
      <c r="D1162" s="17" t="s">
        <v>226</v>
      </c>
      <c r="E1162" s="9">
        <v>3000</v>
      </c>
    </row>
    <row r="1163" spans="1:26" x14ac:dyDescent="0.2">
      <c r="A1163" s="5" t="s">
        <v>110</v>
      </c>
      <c r="B1163" s="5" t="s">
        <v>101</v>
      </c>
      <c r="C1163">
        <v>1</v>
      </c>
      <c r="E1163">
        <v>0</v>
      </c>
      <c r="G1163">
        <v>0</v>
      </c>
      <c r="I1163">
        <v>3</v>
      </c>
      <c r="Y1163">
        <v>0</v>
      </c>
      <c r="Z1163" t="str">
        <f t="shared" si="57"/>
        <v>ש"ח</v>
      </c>
    </row>
    <row r="1164" spans="1:26" s="17" customFormat="1" ht="15" customHeight="1" x14ac:dyDescent="0.2">
      <c r="A1164" s="16">
        <v>218260</v>
      </c>
      <c r="B1164" s="12" t="s">
        <v>154</v>
      </c>
      <c r="C1164" s="17">
        <v>700</v>
      </c>
      <c r="D1164" s="17" t="s">
        <v>150</v>
      </c>
    </row>
    <row r="1165" spans="1:26" s="17" customFormat="1" ht="12.75" x14ac:dyDescent="0.2">
      <c r="A1165" s="16">
        <v>218290</v>
      </c>
      <c r="B1165" s="12" t="s">
        <v>162</v>
      </c>
      <c r="C1165" s="17">
        <v>800</v>
      </c>
      <c r="D1165" s="17" t="s">
        <v>150</v>
      </c>
    </row>
    <row r="1166" spans="1:26" s="17" customFormat="1" ht="12.75" x14ac:dyDescent="0.2">
      <c r="A1166" s="16">
        <v>218370</v>
      </c>
      <c r="B1166" s="12" t="s">
        <v>163</v>
      </c>
      <c r="C1166" s="17">
        <v>150</v>
      </c>
      <c r="D1166" s="17" t="s">
        <v>150</v>
      </c>
    </row>
    <row r="1167" spans="1:26" s="17" customFormat="1" ht="12.75" x14ac:dyDescent="0.2">
      <c r="A1167" s="16">
        <v>218340</v>
      </c>
      <c r="B1167" s="12" t="s">
        <v>164</v>
      </c>
      <c r="C1167" s="17">
        <v>150</v>
      </c>
      <c r="D1167" s="17" t="s">
        <v>150</v>
      </c>
    </row>
    <row r="1168" spans="1:26" s="17" customFormat="1" ht="12.75" x14ac:dyDescent="0.2">
      <c r="A1168" s="16">
        <v>218190</v>
      </c>
      <c r="B1168" s="12" t="s">
        <v>148</v>
      </c>
      <c r="C1168" s="17">
        <v>300</v>
      </c>
      <c r="D1168" s="17" t="s">
        <v>150</v>
      </c>
    </row>
    <row r="1169" spans="1:4" s="17" customFormat="1" ht="12.75" x14ac:dyDescent="0.2">
      <c r="A1169" s="16">
        <v>218300</v>
      </c>
      <c r="B1169" s="12" t="s">
        <v>165</v>
      </c>
      <c r="C1169" s="17">
        <v>50</v>
      </c>
      <c r="D1169" s="17" t="s">
        <v>150</v>
      </c>
    </row>
    <row r="1170" spans="1:4" s="17" customFormat="1" ht="12.75" x14ac:dyDescent="0.2">
      <c r="A1170" s="16">
        <v>368110</v>
      </c>
      <c r="B1170" s="12" t="s">
        <v>166</v>
      </c>
      <c r="C1170" s="17">
        <v>800</v>
      </c>
      <c r="D1170" s="17" t="s">
        <v>150</v>
      </c>
    </row>
    <row r="1171" spans="1:4" s="17" customFormat="1" ht="12.75" x14ac:dyDescent="0.2">
      <c r="A1171" s="16">
        <v>368120</v>
      </c>
      <c r="B1171" s="12" t="s">
        <v>167</v>
      </c>
      <c r="C1171" s="17">
        <v>800</v>
      </c>
      <c r="D1171" s="17" t="s">
        <v>150</v>
      </c>
    </row>
    <row r="1172" spans="1:4" s="17" customFormat="1" ht="12.75" x14ac:dyDescent="0.2">
      <c r="A1172" s="16">
        <v>368130</v>
      </c>
      <c r="B1172" s="12" t="s">
        <v>168</v>
      </c>
      <c r="C1172" s="17">
        <v>800</v>
      </c>
      <c r="D1172" s="17" t="s">
        <v>150</v>
      </c>
    </row>
    <row r="1173" spans="1:4" s="17" customFormat="1" ht="12.75" x14ac:dyDescent="0.2">
      <c r="A1173" s="16">
        <v>368140</v>
      </c>
      <c r="B1173" s="12" t="s">
        <v>169</v>
      </c>
      <c r="C1173" s="17">
        <v>800</v>
      </c>
      <c r="D1173" s="17" t="s">
        <v>150</v>
      </c>
    </row>
    <row r="1174" spans="1:4" s="17" customFormat="1" ht="12.75" x14ac:dyDescent="0.2">
      <c r="A1174" s="16">
        <v>368150</v>
      </c>
      <c r="B1174" s="12" t="s">
        <v>170</v>
      </c>
      <c r="C1174" s="17">
        <v>800</v>
      </c>
      <c r="D1174" s="17" t="s">
        <v>150</v>
      </c>
    </row>
    <row r="1175" spans="1:4" s="17" customFormat="1" ht="12.75" x14ac:dyDescent="0.2">
      <c r="A1175" s="16">
        <v>368160</v>
      </c>
      <c r="B1175" s="12" t="s">
        <v>171</v>
      </c>
      <c r="C1175" s="17">
        <v>700</v>
      </c>
      <c r="D1175" s="17" t="s">
        <v>150</v>
      </c>
    </row>
    <row r="1176" spans="1:4" s="17" customFormat="1" ht="12.75" x14ac:dyDescent="0.2">
      <c r="A1176" s="16">
        <v>368170</v>
      </c>
      <c r="B1176" s="12" t="s">
        <v>172</v>
      </c>
      <c r="C1176" s="17">
        <v>700</v>
      </c>
      <c r="D1176" s="17" t="s">
        <v>150</v>
      </c>
    </row>
    <row r="1177" spans="1:4" s="17" customFormat="1" ht="12.75" x14ac:dyDescent="0.2">
      <c r="A1177" s="16">
        <v>368180</v>
      </c>
      <c r="B1177" s="12" t="s">
        <v>173</v>
      </c>
      <c r="C1177" s="17">
        <v>700</v>
      </c>
      <c r="D1177" s="17" t="s">
        <v>150</v>
      </c>
    </row>
    <row r="1178" spans="1:4" s="17" customFormat="1" ht="12.75" x14ac:dyDescent="0.2">
      <c r="A1178" s="16">
        <v>378120</v>
      </c>
      <c r="B1178" s="12" t="s">
        <v>174</v>
      </c>
      <c r="C1178" s="17">
        <v>200</v>
      </c>
      <c r="D1178" s="17" t="s">
        <v>150</v>
      </c>
    </row>
    <row r="1179" spans="1:4" s="17" customFormat="1" ht="12.75" x14ac:dyDescent="0.2">
      <c r="A1179" s="16">
        <v>228350</v>
      </c>
      <c r="B1179" s="12" t="s">
        <v>157</v>
      </c>
      <c r="C1179" s="17">
        <v>60</v>
      </c>
      <c r="D1179" s="17" t="s">
        <v>151</v>
      </c>
    </row>
    <row r="1180" spans="1:4" s="17" customFormat="1" ht="12.75" x14ac:dyDescent="0.2">
      <c r="A1180" s="16">
        <v>228370</v>
      </c>
      <c r="B1180" s="12" t="s">
        <v>158</v>
      </c>
      <c r="C1180" s="17">
        <v>30</v>
      </c>
      <c r="D1180" s="17" t="s">
        <v>151</v>
      </c>
    </row>
    <row r="1181" spans="1:4" s="17" customFormat="1" ht="12.75" x14ac:dyDescent="0.2">
      <c r="A1181" s="16">
        <v>918180</v>
      </c>
      <c r="B1181" s="12" t="s">
        <v>149</v>
      </c>
      <c r="C1181" s="17">
        <v>4</v>
      </c>
      <c r="D1181" s="17" t="s">
        <v>152</v>
      </c>
    </row>
    <row r="1182" spans="1:4" s="17" customFormat="1" ht="12.75" x14ac:dyDescent="0.2">
      <c r="A1182" s="16">
        <v>918190</v>
      </c>
      <c r="B1182" s="16" t="s">
        <v>175</v>
      </c>
      <c r="C1182" s="17">
        <v>4</v>
      </c>
      <c r="D1182" s="17" t="s">
        <v>152</v>
      </c>
    </row>
    <row r="1183" spans="1:4" s="17" customFormat="1" ht="12.75" x14ac:dyDescent="0.2">
      <c r="A1183" s="16">
        <v>228130</v>
      </c>
      <c r="B1183" s="17" t="s">
        <v>147</v>
      </c>
      <c r="C1183" s="17">
        <v>10</v>
      </c>
      <c r="D1183" s="17" t="s">
        <v>153</v>
      </c>
    </row>
    <row r="1184" spans="1:4" s="17" customFormat="1" ht="12.75" x14ac:dyDescent="0.2">
      <c r="A1184" s="16">
        <v>228140</v>
      </c>
      <c r="B1184" s="12" t="s">
        <v>176</v>
      </c>
      <c r="C1184" s="17">
        <v>25</v>
      </c>
      <c r="D1184" s="17" t="s">
        <v>153</v>
      </c>
    </row>
    <row r="1185" spans="1:26" s="17" customFormat="1" ht="13.5" customHeight="1" x14ac:dyDescent="0.2">
      <c r="A1185" s="16">
        <v>438200</v>
      </c>
      <c r="B1185" s="12" t="s">
        <v>161</v>
      </c>
      <c r="C1185" s="17">
        <v>10</v>
      </c>
      <c r="D1185" s="17" t="s">
        <v>151</v>
      </c>
    </row>
    <row r="1186" spans="1:26" s="17" customFormat="1" ht="13.5" customHeight="1" x14ac:dyDescent="0.2">
      <c r="A1186" s="19">
        <v>708580</v>
      </c>
      <c r="B1186" s="20" t="s">
        <v>216</v>
      </c>
      <c r="C1186" s="17">
        <v>1</v>
      </c>
      <c r="D1186" s="17" t="s">
        <v>153</v>
      </c>
    </row>
    <row r="1187" spans="1:26" s="17" customFormat="1" ht="13.5" customHeight="1" x14ac:dyDescent="0.2">
      <c r="A1187" s="11">
        <v>109999</v>
      </c>
      <c r="B1187" s="11" t="s">
        <v>223</v>
      </c>
      <c r="C1187" s="17">
        <v>1</v>
      </c>
      <c r="D1187" s="17" t="s">
        <v>151</v>
      </c>
      <c r="E1187" s="17">
        <v>12000</v>
      </c>
    </row>
    <row r="1188" spans="1:26" x14ac:dyDescent="0.2">
      <c r="A1188" s="5" t="s">
        <v>111</v>
      </c>
      <c r="B1188" s="5" t="s">
        <v>102</v>
      </c>
      <c r="C1188">
        <v>1</v>
      </c>
      <c r="E1188">
        <v>0</v>
      </c>
      <c r="G1188">
        <v>0</v>
      </c>
      <c r="I1188">
        <v>3</v>
      </c>
      <c r="Y1188">
        <v>0</v>
      </c>
      <c r="Z1188" t="str">
        <f t="shared" si="57"/>
        <v>ש"ח</v>
      </c>
    </row>
    <row r="1189" spans="1:26" x14ac:dyDescent="0.2">
      <c r="A1189" s="19" t="str">
        <f>"150011290"</f>
        <v>150011290</v>
      </c>
      <c r="B1189" s="19" t="str">
        <f>"נורת ניאון אדומה 220"</f>
        <v>נורת ניאון אדומה 220</v>
      </c>
      <c r="C1189" s="17">
        <v>8</v>
      </c>
      <c r="D1189" s="17" t="s">
        <v>151</v>
      </c>
    </row>
    <row r="1190" spans="1:26" x14ac:dyDescent="0.2">
      <c r="A1190" s="19" t="str">
        <f>"150020002"</f>
        <v>150020002</v>
      </c>
      <c r="B1190" s="19" t="str">
        <f>"שקע כח ישראלי NEVE-"</f>
        <v>שקע כח ישראלי NEVE-</v>
      </c>
      <c r="C1190" s="17">
        <v>77</v>
      </c>
      <c r="D1190" s="17" t="s">
        <v>151</v>
      </c>
    </row>
    <row r="1191" spans="1:26" x14ac:dyDescent="0.2">
      <c r="A1191" s="19" t="str">
        <f>"150020004"</f>
        <v>150020004</v>
      </c>
      <c r="B1191" s="19" t="str">
        <f>"שקע טלפון NEVE-"</f>
        <v>שקע טלפון NEVE-</v>
      </c>
      <c r="C1191" s="17">
        <v>14</v>
      </c>
      <c r="D1191" s="17" t="s">
        <v>151</v>
      </c>
    </row>
    <row r="1192" spans="1:26" x14ac:dyDescent="0.2">
      <c r="A1192" s="19" t="str">
        <f>"150020014"</f>
        <v>150020014</v>
      </c>
      <c r="B1192" s="19" t="str">
        <f>"דמי NEVE-"</f>
        <v>דמי NEVE-</v>
      </c>
      <c r="C1192" s="17">
        <v>22</v>
      </c>
      <c r="D1192" s="17" t="s">
        <v>151</v>
      </c>
    </row>
    <row r="1193" spans="1:26" x14ac:dyDescent="0.2">
      <c r="A1193" s="19" t="str">
        <f>"150020023"</f>
        <v>150020023</v>
      </c>
      <c r="B1193" s="19" t="str">
        <f>"לחצן מואר NEVE-"</f>
        <v>לחצן מואר NEVE-</v>
      </c>
      <c r="C1193" s="17">
        <v>4</v>
      </c>
      <c r="D1193" s="17" t="s">
        <v>151</v>
      </c>
    </row>
    <row r="1194" spans="1:26" x14ac:dyDescent="0.2">
      <c r="A1194" s="19" t="str">
        <f>"150020024"</f>
        <v>150020024</v>
      </c>
      <c r="B1194" s="19" t="str">
        <f>"לחצן רחב 2 .NEVE-"</f>
        <v>לחצן רחב 2 .NEVE-</v>
      </c>
      <c r="C1194" s="17">
        <v>2</v>
      </c>
      <c r="D1194" s="17" t="s">
        <v>151</v>
      </c>
    </row>
    <row r="1195" spans="1:26" x14ac:dyDescent="0.2">
      <c r="A1195" s="19" t="str">
        <f>"150020029"</f>
        <v>150020029</v>
      </c>
      <c r="B1195" s="19" t="str">
        <f>"מסגרת 1 מודול NEVE-"</f>
        <v>מסגרת 1 מודול NEVE-</v>
      </c>
      <c r="C1195" s="17">
        <v>33</v>
      </c>
      <c r="D1195" s="17" t="s">
        <v>151</v>
      </c>
    </row>
    <row r="1196" spans="1:26" x14ac:dyDescent="0.2">
      <c r="A1196" s="19" t="str">
        <f>"150020036"</f>
        <v>150020036</v>
      </c>
      <c r="B1196" s="19" t="str">
        <f>"מסגרת 2 מודול NEVE-"</f>
        <v>מסגרת 2 מודול NEVE-</v>
      </c>
      <c r="C1196" s="17">
        <v>22</v>
      </c>
      <c r="D1196" s="17" t="s">
        <v>151</v>
      </c>
    </row>
    <row r="1197" spans="1:26" x14ac:dyDescent="0.2">
      <c r="A1197" s="19" t="str">
        <f>"150020041"</f>
        <v>150020041</v>
      </c>
      <c r="B1197" s="19" t="str">
        <f>"מסגרת 3 מודול NEVE-"</f>
        <v>מסגרת 3 מודול NEVE-</v>
      </c>
      <c r="C1197" s="17">
        <v>13</v>
      </c>
      <c r="D1197" s="17" t="s">
        <v>151</v>
      </c>
    </row>
    <row r="1198" spans="1:26" x14ac:dyDescent="0.2">
      <c r="A1198" s="19" t="str">
        <f>"150020045"</f>
        <v>150020045</v>
      </c>
      <c r="B1198" s="19" t="str">
        <f>"מסגרת 4 מודול NEVE-"</f>
        <v>מסגרת 4 מודול NEVE-</v>
      </c>
      <c r="C1198" s="17">
        <v>28</v>
      </c>
      <c r="D1198" s="17" t="s">
        <v>151</v>
      </c>
    </row>
    <row r="1199" spans="1:26" x14ac:dyDescent="0.2">
      <c r="A1199" s="19" t="str">
        <f>"150020059"</f>
        <v>150020059</v>
      </c>
      <c r="B1199" s="19" t="str">
        <f>"מפסק יחיד NEVE-"</f>
        <v>מפסק יחיד NEVE-</v>
      </c>
      <c r="C1199" s="17">
        <v>30</v>
      </c>
      <c r="D1199" s="17" t="s">
        <v>151</v>
      </c>
    </row>
    <row r="1200" spans="1:26" x14ac:dyDescent="0.2">
      <c r="A1200" s="19" t="str">
        <f>"150020061"</f>
        <v>150020061</v>
      </c>
      <c r="B1200" s="19" t="str">
        <f>"מפסק חיולף NEVE-"</f>
        <v>מפסק חיולף NEVE-</v>
      </c>
      <c r="C1200" s="17">
        <v>25</v>
      </c>
      <c r="D1200" s="17" t="s">
        <v>151</v>
      </c>
    </row>
    <row r="1201" spans="1:26" x14ac:dyDescent="0.2">
      <c r="A1201" s="19" t="str">
        <f>"150020063"</f>
        <v>150020063</v>
      </c>
      <c r="B1201" s="19" t="str">
        <f>"מפסק צלב NEVE-"</f>
        <v>מפסק צלב NEVE-</v>
      </c>
      <c r="C1201" s="17">
        <v>3</v>
      </c>
      <c r="D1201" s="17" t="s">
        <v>151</v>
      </c>
    </row>
    <row r="1202" spans="1:26" x14ac:dyDescent="0.2">
      <c r="A1202" s="19" t="str">
        <f>"150020068"</f>
        <v>150020068</v>
      </c>
      <c r="B1202" s="19" t="str">
        <f>"מתאם 2 מודול NEVE-"</f>
        <v>מתאם 2 מודול NEVE-</v>
      </c>
      <c r="C1202" s="17">
        <v>22</v>
      </c>
      <c r="D1202" s="17" t="s">
        <v>151</v>
      </c>
    </row>
    <row r="1203" spans="1:26" x14ac:dyDescent="0.2">
      <c r="A1203" s="19" t="str">
        <f>"150020069"</f>
        <v>150020069</v>
      </c>
      <c r="B1203" s="19" t="str">
        <f>"מתאם 3 מודול NEVE-"</f>
        <v>מתאם 3 מודול NEVE-</v>
      </c>
      <c r="C1203" s="17">
        <v>46</v>
      </c>
      <c r="D1203" s="17" t="s">
        <v>151</v>
      </c>
    </row>
    <row r="1204" spans="1:26" x14ac:dyDescent="0.2">
      <c r="A1204" s="19" t="str">
        <f>"150020070"</f>
        <v>150020070</v>
      </c>
      <c r="B1204" s="19" t="str">
        <f>"מתאם 4 מודול NEVE-"</f>
        <v>מתאם 4 מודול NEVE-</v>
      </c>
      <c r="C1204" s="17">
        <v>28</v>
      </c>
      <c r="D1204" s="17" t="s">
        <v>151</v>
      </c>
    </row>
    <row r="1205" spans="1:26" x14ac:dyDescent="0.2">
      <c r="A1205" s="19" t="str">
        <f>"150020090"</f>
        <v>150020090</v>
      </c>
      <c r="B1205" s="19" t="str">
        <f>"מפסק דוד NEVE-"</f>
        <v>מפסק דוד NEVE-</v>
      </c>
      <c r="C1205" s="17">
        <v>4</v>
      </c>
      <c r="D1205" s="17" t="s">
        <v>151</v>
      </c>
    </row>
    <row r="1206" spans="1:26" x14ac:dyDescent="0.2">
      <c r="A1206" s="19">
        <v>938140</v>
      </c>
      <c r="B1206" s="21" t="s">
        <v>217</v>
      </c>
      <c r="C1206" s="17">
        <v>10</v>
      </c>
      <c r="D1206" s="17" t="s">
        <v>151</v>
      </c>
    </row>
    <row r="1207" spans="1:26" x14ac:dyDescent="0.2">
      <c r="A1207" s="19">
        <v>938150</v>
      </c>
      <c r="B1207" s="21" t="s">
        <v>218</v>
      </c>
      <c r="C1207" s="17">
        <v>1</v>
      </c>
      <c r="D1207" s="17" t="s">
        <v>152</v>
      </c>
    </row>
    <row r="1208" spans="1:26" x14ac:dyDescent="0.2">
      <c r="A1208" s="19">
        <v>708370</v>
      </c>
      <c r="B1208" s="21" t="s">
        <v>219</v>
      </c>
      <c r="C1208" s="17">
        <v>2</v>
      </c>
      <c r="D1208" s="17" t="s">
        <v>153</v>
      </c>
    </row>
    <row r="1209" spans="1:26" x14ac:dyDescent="0.2">
      <c r="A1209" s="19">
        <v>378160</v>
      </c>
      <c r="B1209" s="21" t="s">
        <v>220</v>
      </c>
      <c r="C1209" s="17">
        <v>200</v>
      </c>
      <c r="D1209" s="17" t="s">
        <v>150</v>
      </c>
    </row>
    <row r="1210" spans="1:26" x14ac:dyDescent="0.2">
      <c r="A1210" s="19">
        <v>708470</v>
      </c>
      <c r="B1210" s="21" t="s">
        <v>221</v>
      </c>
      <c r="C1210" s="17">
        <v>6</v>
      </c>
      <c r="D1210" s="17" t="s">
        <v>153</v>
      </c>
    </row>
    <row r="1211" spans="1:26" x14ac:dyDescent="0.2">
      <c r="A1211" s="19">
        <v>628160</v>
      </c>
      <c r="B1211" s="21" t="s">
        <v>222</v>
      </c>
      <c r="C1211" s="17">
        <v>50</v>
      </c>
      <c r="D1211" s="17" t="s">
        <v>151</v>
      </c>
    </row>
    <row r="1212" spans="1:26" x14ac:dyDescent="0.2">
      <c r="A1212" s="11">
        <v>109999</v>
      </c>
      <c r="B1212" s="11" t="s">
        <v>223</v>
      </c>
      <c r="C1212" s="17">
        <v>1</v>
      </c>
      <c r="D1212" s="17" t="s">
        <v>151</v>
      </c>
      <c r="E1212" s="17">
        <v>8000</v>
      </c>
    </row>
    <row r="1213" spans="1:26" x14ac:dyDescent="0.2">
      <c r="A1213" s="11">
        <v>640000</v>
      </c>
      <c r="B1213" s="22" t="s">
        <v>224</v>
      </c>
      <c r="C1213">
        <v>1</v>
      </c>
      <c r="D1213" t="s">
        <v>151</v>
      </c>
      <c r="E1213">
        <v>6800</v>
      </c>
    </row>
    <row r="1214" spans="1:26" x14ac:dyDescent="0.2">
      <c r="A1214" s="11">
        <v>999999</v>
      </c>
      <c r="B1214" s="22" t="s">
        <v>225</v>
      </c>
      <c r="C1214">
        <v>1</v>
      </c>
      <c r="D1214" t="s">
        <v>226</v>
      </c>
      <c r="E1214">
        <v>1800</v>
      </c>
    </row>
    <row r="1215" spans="1:26" x14ac:dyDescent="0.2">
      <c r="A1215" s="5" t="s">
        <v>112</v>
      </c>
      <c r="B1215" s="5" t="s">
        <v>103</v>
      </c>
      <c r="C1215">
        <v>1</v>
      </c>
      <c r="E1215">
        <v>0</v>
      </c>
      <c r="G1215">
        <v>0</v>
      </c>
      <c r="I1215">
        <v>3</v>
      </c>
      <c r="Y1215">
        <v>0</v>
      </c>
      <c r="Z1215" t="str">
        <f t="shared" si="57"/>
        <v>ש"ח</v>
      </c>
    </row>
    <row r="1216" spans="1:26" ht="15" x14ac:dyDescent="0.2">
      <c r="A1216" s="6">
        <v>10.210000000000001</v>
      </c>
      <c r="B1216" s="6" t="s">
        <v>26</v>
      </c>
      <c r="C1216">
        <v>1</v>
      </c>
      <c r="E1216">
        <v>0</v>
      </c>
      <c r="G1216">
        <v>100</v>
      </c>
      <c r="I1216">
        <v>2</v>
      </c>
      <c r="Y1216">
        <v>0</v>
      </c>
      <c r="Z1216" t="str">
        <f t="shared" si="57"/>
        <v>ש"ח</v>
      </c>
    </row>
    <row r="1217" spans="1:26" x14ac:dyDescent="0.2">
      <c r="A1217" s="5" t="s">
        <v>113</v>
      </c>
      <c r="B1217" s="5" t="s">
        <v>100</v>
      </c>
      <c r="C1217">
        <v>1</v>
      </c>
      <c r="E1217">
        <v>0</v>
      </c>
      <c r="G1217">
        <v>0</v>
      </c>
      <c r="I1217">
        <v>3</v>
      </c>
      <c r="Y1217">
        <v>0</v>
      </c>
      <c r="Z1217" t="str">
        <f t="shared" si="57"/>
        <v>ש"ח</v>
      </c>
    </row>
    <row r="1218" spans="1:26" s="18" customFormat="1" ht="15" customHeight="1" x14ac:dyDescent="0.2">
      <c r="A1218" s="16">
        <v>218260</v>
      </c>
      <c r="B1218" s="12" t="s">
        <v>154</v>
      </c>
      <c r="C1218" s="17">
        <v>500</v>
      </c>
      <c r="D1218" s="17" t="s">
        <v>150</v>
      </c>
      <c r="Y1218" s="18">
        <f>C1218*E1218</f>
        <v>0</v>
      </c>
    </row>
    <row r="1219" spans="1:26" s="18" customFormat="1" ht="12.75" x14ac:dyDescent="0.2">
      <c r="A1219" s="16">
        <v>218270</v>
      </c>
      <c r="B1219" s="12" t="s">
        <v>155</v>
      </c>
      <c r="C1219" s="17">
        <v>100</v>
      </c>
      <c r="D1219" s="17" t="s">
        <v>150</v>
      </c>
      <c r="Y1219" s="18">
        <f>C1219*E1219</f>
        <v>0</v>
      </c>
    </row>
    <row r="1220" spans="1:26" s="18" customFormat="1" ht="12.75" x14ac:dyDescent="0.2">
      <c r="A1220" s="16">
        <v>218140</v>
      </c>
      <c r="B1220" s="17" t="s">
        <v>156</v>
      </c>
      <c r="C1220" s="17">
        <v>50</v>
      </c>
      <c r="D1220" s="17" t="s">
        <v>150</v>
      </c>
      <c r="Y1220" s="18">
        <f>C1220*E1220</f>
        <v>0</v>
      </c>
    </row>
    <row r="1221" spans="1:26" s="18" customFormat="1" ht="12.75" x14ac:dyDescent="0.2">
      <c r="A1221" s="16">
        <v>228130</v>
      </c>
      <c r="B1221" s="17" t="s">
        <v>147</v>
      </c>
      <c r="C1221" s="17">
        <v>10</v>
      </c>
      <c r="D1221" s="17" t="s">
        <v>151</v>
      </c>
    </row>
    <row r="1222" spans="1:26" s="18" customFormat="1" ht="12.75" x14ac:dyDescent="0.2">
      <c r="A1222" s="16">
        <v>228350</v>
      </c>
      <c r="B1222" s="12" t="s">
        <v>157</v>
      </c>
      <c r="C1222" s="17">
        <v>25</v>
      </c>
      <c r="D1222" s="17" t="s">
        <v>151</v>
      </c>
    </row>
    <row r="1223" spans="1:26" s="18" customFormat="1" ht="12.75" x14ac:dyDescent="0.2">
      <c r="A1223" s="16">
        <v>228370</v>
      </c>
      <c r="B1223" s="12" t="s">
        <v>158</v>
      </c>
      <c r="C1223" s="17">
        <v>30</v>
      </c>
      <c r="D1223" s="17" t="s">
        <v>151</v>
      </c>
    </row>
    <row r="1224" spans="1:26" s="18" customFormat="1" ht="12.75" x14ac:dyDescent="0.2">
      <c r="A1224" s="16">
        <v>798200</v>
      </c>
      <c r="B1224" s="16" t="s">
        <v>159</v>
      </c>
      <c r="C1224" s="17">
        <v>1</v>
      </c>
      <c r="D1224" s="17" t="s">
        <v>151</v>
      </c>
    </row>
    <row r="1225" spans="1:26" s="18" customFormat="1" ht="12.75" x14ac:dyDescent="0.2">
      <c r="A1225" s="16">
        <v>918140</v>
      </c>
      <c r="B1225" s="16" t="s">
        <v>160</v>
      </c>
      <c r="C1225" s="17">
        <v>100</v>
      </c>
      <c r="D1225" s="17" t="s">
        <v>151</v>
      </c>
    </row>
    <row r="1226" spans="1:26" s="9" customFormat="1" x14ac:dyDescent="0.2">
      <c r="A1226" s="11">
        <v>438200</v>
      </c>
      <c r="B1226" s="12" t="s">
        <v>161</v>
      </c>
      <c r="C1226" s="13">
        <v>5</v>
      </c>
      <c r="D1226" s="13" t="s">
        <v>150</v>
      </c>
    </row>
    <row r="1227" spans="1:26" s="9" customFormat="1" x14ac:dyDescent="0.2">
      <c r="A1227" s="11"/>
      <c r="B1227" s="12" t="s">
        <v>223</v>
      </c>
      <c r="C1227" s="17">
        <v>1</v>
      </c>
      <c r="D1227" s="17" t="s">
        <v>226</v>
      </c>
      <c r="E1227" s="9">
        <v>3000</v>
      </c>
    </row>
    <row r="1228" spans="1:26" x14ac:dyDescent="0.2">
      <c r="A1228" s="5" t="s">
        <v>114</v>
      </c>
      <c r="B1228" s="5" t="s">
        <v>101</v>
      </c>
      <c r="C1228">
        <v>1</v>
      </c>
      <c r="E1228">
        <v>0</v>
      </c>
      <c r="G1228">
        <v>0</v>
      </c>
      <c r="I1228">
        <v>3</v>
      </c>
      <c r="Y1228">
        <v>0</v>
      </c>
      <c r="Z1228" t="str">
        <f t="shared" si="57"/>
        <v>ש"ח</v>
      </c>
    </row>
    <row r="1229" spans="1:26" s="17" customFormat="1" ht="15" customHeight="1" x14ac:dyDescent="0.2">
      <c r="A1229" s="16">
        <v>218260</v>
      </c>
      <c r="B1229" s="12" t="s">
        <v>154</v>
      </c>
      <c r="C1229" s="17">
        <v>700</v>
      </c>
      <c r="D1229" s="17" t="s">
        <v>150</v>
      </c>
    </row>
    <row r="1230" spans="1:26" s="17" customFormat="1" ht="12.75" x14ac:dyDescent="0.2">
      <c r="A1230" s="16">
        <v>218290</v>
      </c>
      <c r="B1230" s="12" t="s">
        <v>162</v>
      </c>
      <c r="C1230" s="17">
        <v>800</v>
      </c>
      <c r="D1230" s="17" t="s">
        <v>150</v>
      </c>
    </row>
    <row r="1231" spans="1:26" s="17" customFormat="1" ht="12.75" x14ac:dyDescent="0.2">
      <c r="A1231" s="16">
        <v>218370</v>
      </c>
      <c r="B1231" s="12" t="s">
        <v>163</v>
      </c>
      <c r="C1231" s="17">
        <v>150</v>
      </c>
      <c r="D1231" s="17" t="s">
        <v>150</v>
      </c>
    </row>
    <row r="1232" spans="1:26" s="17" customFormat="1" ht="12.75" x14ac:dyDescent="0.2">
      <c r="A1232" s="16">
        <v>218340</v>
      </c>
      <c r="B1232" s="12" t="s">
        <v>164</v>
      </c>
      <c r="C1232" s="17">
        <v>150</v>
      </c>
      <c r="D1232" s="17" t="s">
        <v>150</v>
      </c>
    </row>
    <row r="1233" spans="1:4" s="17" customFormat="1" ht="12.75" x14ac:dyDescent="0.2">
      <c r="A1233" s="16">
        <v>218190</v>
      </c>
      <c r="B1233" s="12" t="s">
        <v>148</v>
      </c>
      <c r="C1233" s="17">
        <v>300</v>
      </c>
      <c r="D1233" s="17" t="s">
        <v>150</v>
      </c>
    </row>
    <row r="1234" spans="1:4" s="17" customFormat="1" ht="12.75" x14ac:dyDescent="0.2">
      <c r="A1234" s="16">
        <v>218300</v>
      </c>
      <c r="B1234" s="12" t="s">
        <v>165</v>
      </c>
      <c r="C1234" s="17">
        <v>50</v>
      </c>
      <c r="D1234" s="17" t="s">
        <v>150</v>
      </c>
    </row>
    <row r="1235" spans="1:4" s="17" customFormat="1" ht="12.75" x14ac:dyDescent="0.2">
      <c r="A1235" s="16">
        <v>368110</v>
      </c>
      <c r="B1235" s="12" t="s">
        <v>166</v>
      </c>
      <c r="C1235" s="17">
        <v>800</v>
      </c>
      <c r="D1235" s="17" t="s">
        <v>150</v>
      </c>
    </row>
    <row r="1236" spans="1:4" s="17" customFormat="1" ht="12.75" x14ac:dyDescent="0.2">
      <c r="A1236" s="16">
        <v>368120</v>
      </c>
      <c r="B1236" s="12" t="s">
        <v>167</v>
      </c>
      <c r="C1236" s="17">
        <v>800</v>
      </c>
      <c r="D1236" s="17" t="s">
        <v>150</v>
      </c>
    </row>
    <row r="1237" spans="1:4" s="17" customFormat="1" ht="12.75" x14ac:dyDescent="0.2">
      <c r="A1237" s="16">
        <v>368130</v>
      </c>
      <c r="B1237" s="12" t="s">
        <v>168</v>
      </c>
      <c r="C1237" s="17">
        <v>800</v>
      </c>
      <c r="D1237" s="17" t="s">
        <v>150</v>
      </c>
    </row>
    <row r="1238" spans="1:4" s="17" customFormat="1" ht="12.75" x14ac:dyDescent="0.2">
      <c r="A1238" s="16">
        <v>368140</v>
      </c>
      <c r="B1238" s="12" t="s">
        <v>169</v>
      </c>
      <c r="C1238" s="17">
        <v>800</v>
      </c>
      <c r="D1238" s="17" t="s">
        <v>150</v>
      </c>
    </row>
    <row r="1239" spans="1:4" s="17" customFormat="1" ht="12.75" x14ac:dyDescent="0.2">
      <c r="A1239" s="16">
        <v>368150</v>
      </c>
      <c r="B1239" s="12" t="s">
        <v>170</v>
      </c>
      <c r="C1239" s="17">
        <v>800</v>
      </c>
      <c r="D1239" s="17" t="s">
        <v>150</v>
      </c>
    </row>
    <row r="1240" spans="1:4" s="17" customFormat="1" ht="12.75" x14ac:dyDescent="0.2">
      <c r="A1240" s="16">
        <v>368160</v>
      </c>
      <c r="B1240" s="12" t="s">
        <v>171</v>
      </c>
      <c r="C1240" s="17">
        <v>700</v>
      </c>
      <c r="D1240" s="17" t="s">
        <v>150</v>
      </c>
    </row>
    <row r="1241" spans="1:4" s="17" customFormat="1" ht="12.75" x14ac:dyDescent="0.2">
      <c r="A1241" s="16">
        <v>368170</v>
      </c>
      <c r="B1241" s="12" t="s">
        <v>172</v>
      </c>
      <c r="C1241" s="17">
        <v>700</v>
      </c>
      <c r="D1241" s="17" t="s">
        <v>150</v>
      </c>
    </row>
    <row r="1242" spans="1:4" s="17" customFormat="1" ht="12.75" x14ac:dyDescent="0.2">
      <c r="A1242" s="16">
        <v>368180</v>
      </c>
      <c r="B1242" s="12" t="s">
        <v>173</v>
      </c>
      <c r="C1242" s="17">
        <v>700</v>
      </c>
      <c r="D1242" s="17" t="s">
        <v>150</v>
      </c>
    </row>
    <row r="1243" spans="1:4" s="17" customFormat="1" ht="12.75" x14ac:dyDescent="0.2">
      <c r="A1243" s="16">
        <v>378120</v>
      </c>
      <c r="B1243" s="12" t="s">
        <v>174</v>
      </c>
      <c r="C1243" s="17">
        <v>200</v>
      </c>
      <c r="D1243" s="17" t="s">
        <v>150</v>
      </c>
    </row>
    <row r="1244" spans="1:4" s="17" customFormat="1" ht="12.75" x14ac:dyDescent="0.2">
      <c r="A1244" s="16">
        <v>228350</v>
      </c>
      <c r="B1244" s="12" t="s">
        <v>157</v>
      </c>
      <c r="C1244" s="17">
        <v>60</v>
      </c>
      <c r="D1244" s="17" t="s">
        <v>151</v>
      </c>
    </row>
    <row r="1245" spans="1:4" s="17" customFormat="1" ht="12.75" x14ac:dyDescent="0.2">
      <c r="A1245" s="16">
        <v>228370</v>
      </c>
      <c r="B1245" s="12" t="s">
        <v>158</v>
      </c>
      <c r="C1245" s="17">
        <v>30</v>
      </c>
      <c r="D1245" s="17" t="s">
        <v>151</v>
      </c>
    </row>
    <row r="1246" spans="1:4" s="17" customFormat="1" ht="12.75" x14ac:dyDescent="0.2">
      <c r="A1246" s="16">
        <v>918180</v>
      </c>
      <c r="B1246" s="12" t="s">
        <v>149</v>
      </c>
      <c r="C1246" s="17">
        <v>4</v>
      </c>
      <c r="D1246" s="17" t="s">
        <v>152</v>
      </c>
    </row>
    <row r="1247" spans="1:4" s="17" customFormat="1" ht="12.75" x14ac:dyDescent="0.2">
      <c r="A1247" s="16">
        <v>918190</v>
      </c>
      <c r="B1247" s="16" t="s">
        <v>175</v>
      </c>
      <c r="C1247" s="17">
        <v>4</v>
      </c>
      <c r="D1247" s="17" t="s">
        <v>152</v>
      </c>
    </row>
    <row r="1248" spans="1:4" s="17" customFormat="1" ht="12.75" x14ac:dyDescent="0.2">
      <c r="A1248" s="16">
        <v>228130</v>
      </c>
      <c r="B1248" s="17" t="s">
        <v>147</v>
      </c>
      <c r="C1248" s="17">
        <v>10</v>
      </c>
      <c r="D1248" s="17" t="s">
        <v>153</v>
      </c>
    </row>
    <row r="1249" spans="1:26" s="17" customFormat="1" ht="12.75" x14ac:dyDescent="0.2">
      <c r="A1249" s="16">
        <v>228140</v>
      </c>
      <c r="B1249" s="12" t="s">
        <v>176</v>
      </c>
      <c r="C1249" s="17">
        <v>25</v>
      </c>
      <c r="D1249" s="17" t="s">
        <v>153</v>
      </c>
    </row>
    <row r="1250" spans="1:26" s="17" customFormat="1" ht="13.5" customHeight="1" x14ac:dyDescent="0.2">
      <c r="A1250" s="16">
        <v>438200</v>
      </c>
      <c r="B1250" s="12" t="s">
        <v>161</v>
      </c>
      <c r="C1250" s="17">
        <v>10</v>
      </c>
      <c r="D1250" s="17" t="s">
        <v>151</v>
      </c>
    </row>
    <row r="1251" spans="1:26" s="17" customFormat="1" ht="13.5" customHeight="1" x14ac:dyDescent="0.2">
      <c r="A1251" s="19">
        <v>708580</v>
      </c>
      <c r="B1251" s="20" t="s">
        <v>216</v>
      </c>
      <c r="C1251" s="17">
        <v>1</v>
      </c>
      <c r="D1251" s="17" t="s">
        <v>153</v>
      </c>
    </row>
    <row r="1252" spans="1:26" s="17" customFormat="1" ht="13.5" customHeight="1" x14ac:dyDescent="0.2">
      <c r="A1252" s="11">
        <v>109999</v>
      </c>
      <c r="B1252" s="11" t="s">
        <v>223</v>
      </c>
      <c r="C1252" s="17">
        <v>1</v>
      </c>
      <c r="D1252" s="17" t="s">
        <v>151</v>
      </c>
      <c r="E1252" s="17">
        <v>12000</v>
      </c>
    </row>
    <row r="1253" spans="1:26" x14ac:dyDescent="0.2">
      <c r="A1253" s="5" t="s">
        <v>115</v>
      </c>
      <c r="B1253" s="5" t="s">
        <v>102</v>
      </c>
      <c r="C1253">
        <v>1</v>
      </c>
      <c r="E1253">
        <v>0</v>
      </c>
      <c r="G1253">
        <v>0</v>
      </c>
      <c r="I1253">
        <v>3</v>
      </c>
      <c r="Y1253">
        <v>0</v>
      </c>
      <c r="Z1253" t="str">
        <f t="shared" si="57"/>
        <v>ש"ח</v>
      </c>
    </row>
    <row r="1254" spans="1:26" x14ac:dyDescent="0.2">
      <c r="A1254" s="19" t="str">
        <f>"150011290"</f>
        <v>150011290</v>
      </c>
      <c r="B1254" s="19" t="str">
        <f>"נורת ניאון אדומה 220"</f>
        <v>נורת ניאון אדומה 220</v>
      </c>
      <c r="C1254" s="17">
        <v>8</v>
      </c>
      <c r="D1254" s="17" t="s">
        <v>151</v>
      </c>
    </row>
    <row r="1255" spans="1:26" x14ac:dyDescent="0.2">
      <c r="A1255" s="19" t="str">
        <f>"150020002"</f>
        <v>150020002</v>
      </c>
      <c r="B1255" s="19" t="str">
        <f>"שקע כח ישראלי NEVE-"</f>
        <v>שקע כח ישראלי NEVE-</v>
      </c>
      <c r="C1255" s="17">
        <v>77</v>
      </c>
      <c r="D1255" s="17" t="s">
        <v>151</v>
      </c>
    </row>
    <row r="1256" spans="1:26" x14ac:dyDescent="0.2">
      <c r="A1256" s="19" t="str">
        <f>"150020004"</f>
        <v>150020004</v>
      </c>
      <c r="B1256" s="19" t="str">
        <f>"שקע טלפון NEVE-"</f>
        <v>שקע טלפון NEVE-</v>
      </c>
      <c r="C1256" s="17">
        <v>14</v>
      </c>
      <c r="D1256" s="17" t="s">
        <v>151</v>
      </c>
    </row>
    <row r="1257" spans="1:26" x14ac:dyDescent="0.2">
      <c r="A1257" s="19" t="str">
        <f>"150020014"</f>
        <v>150020014</v>
      </c>
      <c r="B1257" s="19" t="str">
        <f>"דמי NEVE-"</f>
        <v>דמי NEVE-</v>
      </c>
      <c r="C1257" s="17">
        <v>22</v>
      </c>
      <c r="D1257" s="17" t="s">
        <v>151</v>
      </c>
    </row>
    <row r="1258" spans="1:26" x14ac:dyDescent="0.2">
      <c r="A1258" s="19" t="str">
        <f>"150020023"</f>
        <v>150020023</v>
      </c>
      <c r="B1258" s="19" t="str">
        <f>"לחצן מואר NEVE-"</f>
        <v>לחצן מואר NEVE-</v>
      </c>
      <c r="C1258" s="17">
        <v>4</v>
      </c>
      <c r="D1258" s="17" t="s">
        <v>151</v>
      </c>
    </row>
    <row r="1259" spans="1:26" x14ac:dyDescent="0.2">
      <c r="A1259" s="19" t="str">
        <f>"150020024"</f>
        <v>150020024</v>
      </c>
      <c r="B1259" s="19" t="str">
        <f>"לחצן רחב 2 .NEVE-"</f>
        <v>לחצן רחב 2 .NEVE-</v>
      </c>
      <c r="C1259" s="17">
        <v>2</v>
      </c>
      <c r="D1259" s="17" t="s">
        <v>151</v>
      </c>
    </row>
    <row r="1260" spans="1:26" x14ac:dyDescent="0.2">
      <c r="A1260" s="19" t="str">
        <f>"150020029"</f>
        <v>150020029</v>
      </c>
      <c r="B1260" s="19" t="str">
        <f>"מסגרת 1 מודול NEVE-"</f>
        <v>מסגרת 1 מודול NEVE-</v>
      </c>
      <c r="C1260" s="17">
        <v>33</v>
      </c>
      <c r="D1260" s="17" t="s">
        <v>151</v>
      </c>
    </row>
    <row r="1261" spans="1:26" x14ac:dyDescent="0.2">
      <c r="A1261" s="19" t="str">
        <f>"150020036"</f>
        <v>150020036</v>
      </c>
      <c r="B1261" s="19" t="str">
        <f>"מסגרת 2 מודול NEVE-"</f>
        <v>מסגרת 2 מודול NEVE-</v>
      </c>
      <c r="C1261" s="17">
        <v>22</v>
      </c>
      <c r="D1261" s="17" t="s">
        <v>151</v>
      </c>
    </row>
    <row r="1262" spans="1:26" x14ac:dyDescent="0.2">
      <c r="A1262" s="19" t="str">
        <f>"150020041"</f>
        <v>150020041</v>
      </c>
      <c r="B1262" s="19" t="str">
        <f>"מסגרת 3 מודול NEVE-"</f>
        <v>מסגרת 3 מודול NEVE-</v>
      </c>
      <c r="C1262" s="17">
        <v>13</v>
      </c>
      <c r="D1262" s="17" t="s">
        <v>151</v>
      </c>
    </row>
    <row r="1263" spans="1:26" x14ac:dyDescent="0.2">
      <c r="A1263" s="19" t="str">
        <f>"150020045"</f>
        <v>150020045</v>
      </c>
      <c r="B1263" s="19" t="str">
        <f>"מסגרת 4 מודול NEVE-"</f>
        <v>מסגרת 4 מודול NEVE-</v>
      </c>
      <c r="C1263" s="17">
        <v>28</v>
      </c>
      <c r="D1263" s="17" t="s">
        <v>151</v>
      </c>
    </row>
    <row r="1264" spans="1:26" x14ac:dyDescent="0.2">
      <c r="A1264" s="19" t="str">
        <f>"150020059"</f>
        <v>150020059</v>
      </c>
      <c r="B1264" s="19" t="str">
        <f>"מפסק יחיד NEVE-"</f>
        <v>מפסק יחיד NEVE-</v>
      </c>
      <c r="C1264" s="17">
        <v>30</v>
      </c>
      <c r="D1264" s="17" t="s">
        <v>151</v>
      </c>
    </row>
    <row r="1265" spans="1:26" x14ac:dyDescent="0.2">
      <c r="A1265" s="19" t="str">
        <f>"150020061"</f>
        <v>150020061</v>
      </c>
      <c r="B1265" s="19" t="str">
        <f>"מפסק חיולף NEVE-"</f>
        <v>מפסק חיולף NEVE-</v>
      </c>
      <c r="C1265" s="17">
        <v>25</v>
      </c>
      <c r="D1265" s="17" t="s">
        <v>151</v>
      </c>
    </row>
    <row r="1266" spans="1:26" x14ac:dyDescent="0.2">
      <c r="A1266" s="19" t="str">
        <f>"150020063"</f>
        <v>150020063</v>
      </c>
      <c r="B1266" s="19" t="str">
        <f>"מפסק צלב NEVE-"</f>
        <v>מפסק צלב NEVE-</v>
      </c>
      <c r="C1266" s="17">
        <v>3</v>
      </c>
      <c r="D1266" s="17" t="s">
        <v>151</v>
      </c>
    </row>
    <row r="1267" spans="1:26" x14ac:dyDescent="0.2">
      <c r="A1267" s="19" t="str">
        <f>"150020068"</f>
        <v>150020068</v>
      </c>
      <c r="B1267" s="19" t="str">
        <f>"מתאם 2 מודול NEVE-"</f>
        <v>מתאם 2 מודול NEVE-</v>
      </c>
      <c r="C1267" s="17">
        <v>22</v>
      </c>
      <c r="D1267" s="17" t="s">
        <v>151</v>
      </c>
    </row>
    <row r="1268" spans="1:26" x14ac:dyDescent="0.2">
      <c r="A1268" s="19" t="str">
        <f>"150020069"</f>
        <v>150020069</v>
      </c>
      <c r="B1268" s="19" t="str">
        <f>"מתאם 3 מודול NEVE-"</f>
        <v>מתאם 3 מודול NEVE-</v>
      </c>
      <c r="C1268" s="17">
        <v>46</v>
      </c>
      <c r="D1268" s="17" t="s">
        <v>151</v>
      </c>
    </row>
    <row r="1269" spans="1:26" x14ac:dyDescent="0.2">
      <c r="A1269" s="19" t="str">
        <f>"150020070"</f>
        <v>150020070</v>
      </c>
      <c r="B1269" s="19" t="str">
        <f>"מתאם 4 מודול NEVE-"</f>
        <v>מתאם 4 מודול NEVE-</v>
      </c>
      <c r="C1269" s="17">
        <v>28</v>
      </c>
      <c r="D1269" s="17" t="s">
        <v>151</v>
      </c>
    </row>
    <row r="1270" spans="1:26" x14ac:dyDescent="0.2">
      <c r="A1270" s="19" t="str">
        <f>"150020090"</f>
        <v>150020090</v>
      </c>
      <c r="B1270" s="19" t="str">
        <f>"מפסק דוד NEVE-"</f>
        <v>מפסק דוד NEVE-</v>
      </c>
      <c r="C1270" s="17">
        <v>4</v>
      </c>
      <c r="D1270" s="17" t="s">
        <v>151</v>
      </c>
    </row>
    <row r="1271" spans="1:26" x14ac:dyDescent="0.2">
      <c r="A1271" s="19">
        <v>938140</v>
      </c>
      <c r="B1271" s="21" t="s">
        <v>217</v>
      </c>
      <c r="C1271" s="17">
        <v>10</v>
      </c>
      <c r="D1271" s="17" t="s">
        <v>151</v>
      </c>
    </row>
    <row r="1272" spans="1:26" x14ac:dyDescent="0.2">
      <c r="A1272" s="19">
        <v>938150</v>
      </c>
      <c r="B1272" s="21" t="s">
        <v>218</v>
      </c>
      <c r="C1272" s="17">
        <v>1</v>
      </c>
      <c r="D1272" s="17" t="s">
        <v>152</v>
      </c>
    </row>
    <row r="1273" spans="1:26" x14ac:dyDescent="0.2">
      <c r="A1273" s="19">
        <v>708370</v>
      </c>
      <c r="B1273" s="21" t="s">
        <v>219</v>
      </c>
      <c r="C1273" s="17">
        <v>2</v>
      </c>
      <c r="D1273" s="17" t="s">
        <v>153</v>
      </c>
    </row>
    <row r="1274" spans="1:26" x14ac:dyDescent="0.2">
      <c r="A1274" s="19">
        <v>378160</v>
      </c>
      <c r="B1274" s="21" t="s">
        <v>220</v>
      </c>
      <c r="C1274" s="17">
        <v>200</v>
      </c>
      <c r="D1274" s="17" t="s">
        <v>150</v>
      </c>
    </row>
    <row r="1275" spans="1:26" x14ac:dyDescent="0.2">
      <c r="A1275" s="19">
        <v>708470</v>
      </c>
      <c r="B1275" s="21" t="s">
        <v>221</v>
      </c>
      <c r="C1275" s="17">
        <v>6</v>
      </c>
      <c r="D1275" s="17" t="s">
        <v>153</v>
      </c>
    </row>
    <row r="1276" spans="1:26" x14ac:dyDescent="0.2">
      <c r="A1276" s="19">
        <v>628160</v>
      </c>
      <c r="B1276" s="21" t="s">
        <v>222</v>
      </c>
      <c r="C1276" s="17">
        <v>50</v>
      </c>
      <c r="D1276" s="17" t="s">
        <v>151</v>
      </c>
    </row>
    <row r="1277" spans="1:26" x14ac:dyDescent="0.2">
      <c r="A1277" s="11">
        <v>109999</v>
      </c>
      <c r="B1277" s="11" t="s">
        <v>223</v>
      </c>
      <c r="C1277" s="17">
        <v>1</v>
      </c>
      <c r="D1277" s="17" t="s">
        <v>151</v>
      </c>
      <c r="E1277" s="17">
        <v>8000</v>
      </c>
    </row>
    <row r="1278" spans="1:26" x14ac:dyDescent="0.2">
      <c r="A1278" s="11">
        <v>640000</v>
      </c>
      <c r="B1278" s="22" t="s">
        <v>224</v>
      </c>
      <c r="C1278">
        <v>1</v>
      </c>
      <c r="D1278" t="s">
        <v>151</v>
      </c>
      <c r="E1278">
        <v>6800</v>
      </c>
    </row>
    <row r="1279" spans="1:26" x14ac:dyDescent="0.2">
      <c r="A1279" s="11">
        <v>999999</v>
      </c>
      <c r="B1279" s="22" t="s">
        <v>225</v>
      </c>
      <c r="C1279">
        <v>1</v>
      </c>
      <c r="D1279" t="s">
        <v>226</v>
      </c>
      <c r="E1279">
        <v>1800</v>
      </c>
    </row>
    <row r="1280" spans="1:26" x14ac:dyDescent="0.2">
      <c r="A1280" s="5" t="s">
        <v>116</v>
      </c>
      <c r="B1280" s="5" t="s">
        <v>103</v>
      </c>
      <c r="C1280">
        <v>1</v>
      </c>
      <c r="E1280">
        <v>0</v>
      </c>
      <c r="G1280">
        <v>0</v>
      </c>
      <c r="I1280">
        <v>3</v>
      </c>
      <c r="Y1280">
        <v>0</v>
      </c>
      <c r="Z1280" t="str">
        <f t="shared" si="57"/>
        <v>ש"ח</v>
      </c>
    </row>
    <row r="1281" spans="1:26" ht="15" x14ac:dyDescent="0.2">
      <c r="A1281" s="6">
        <v>10.220000000000001</v>
      </c>
      <c r="B1281" s="6" t="s">
        <v>201</v>
      </c>
      <c r="C1281">
        <v>1</v>
      </c>
      <c r="E1281">
        <v>0</v>
      </c>
      <c r="G1281">
        <v>100</v>
      </c>
      <c r="I1281">
        <v>2</v>
      </c>
      <c r="Y1281">
        <v>0</v>
      </c>
      <c r="Z1281" t="str">
        <f t="shared" si="57"/>
        <v>ש"ח</v>
      </c>
    </row>
    <row r="1282" spans="1:26" x14ac:dyDescent="0.2">
      <c r="A1282" s="5" t="s">
        <v>202</v>
      </c>
      <c r="B1282" s="5" t="s">
        <v>100</v>
      </c>
      <c r="C1282">
        <v>1</v>
      </c>
      <c r="E1282">
        <v>0</v>
      </c>
      <c r="G1282">
        <v>0</v>
      </c>
      <c r="I1282">
        <v>3</v>
      </c>
      <c r="Y1282">
        <v>0</v>
      </c>
      <c r="Z1282" t="str">
        <f t="shared" si="57"/>
        <v>ש"ח</v>
      </c>
    </row>
    <row r="1283" spans="1:26" s="18" customFormat="1" ht="15" customHeight="1" x14ac:dyDescent="0.2">
      <c r="A1283" s="16">
        <v>218260</v>
      </c>
      <c r="B1283" s="12" t="s">
        <v>154</v>
      </c>
      <c r="C1283" s="17">
        <v>500</v>
      </c>
      <c r="D1283" s="17" t="s">
        <v>150</v>
      </c>
      <c r="Y1283" s="18">
        <f>C1283*E1283</f>
        <v>0</v>
      </c>
    </row>
    <row r="1284" spans="1:26" s="18" customFormat="1" ht="12.75" x14ac:dyDescent="0.2">
      <c r="A1284" s="16">
        <v>218270</v>
      </c>
      <c r="B1284" s="12" t="s">
        <v>155</v>
      </c>
      <c r="C1284" s="17">
        <v>100</v>
      </c>
      <c r="D1284" s="17" t="s">
        <v>150</v>
      </c>
      <c r="Y1284" s="18">
        <f>C1284*E1284</f>
        <v>0</v>
      </c>
    </row>
    <row r="1285" spans="1:26" s="18" customFormat="1" ht="12.75" x14ac:dyDescent="0.2">
      <c r="A1285" s="16">
        <v>218140</v>
      </c>
      <c r="B1285" s="17" t="s">
        <v>156</v>
      </c>
      <c r="C1285" s="17">
        <v>50</v>
      </c>
      <c r="D1285" s="17" t="s">
        <v>150</v>
      </c>
      <c r="Y1285" s="18">
        <f>C1285*E1285</f>
        <v>0</v>
      </c>
    </row>
    <row r="1286" spans="1:26" s="18" customFormat="1" ht="12.75" x14ac:dyDescent="0.2">
      <c r="A1286" s="16">
        <v>228130</v>
      </c>
      <c r="B1286" s="17" t="s">
        <v>147</v>
      </c>
      <c r="C1286" s="17">
        <v>10</v>
      </c>
      <c r="D1286" s="17" t="s">
        <v>151</v>
      </c>
    </row>
    <row r="1287" spans="1:26" s="18" customFormat="1" ht="12.75" x14ac:dyDescent="0.2">
      <c r="A1287" s="16">
        <v>228350</v>
      </c>
      <c r="B1287" s="12" t="s">
        <v>157</v>
      </c>
      <c r="C1287" s="17">
        <v>25</v>
      </c>
      <c r="D1287" s="17" t="s">
        <v>151</v>
      </c>
    </row>
    <row r="1288" spans="1:26" s="18" customFormat="1" ht="12.75" x14ac:dyDescent="0.2">
      <c r="A1288" s="16">
        <v>228370</v>
      </c>
      <c r="B1288" s="12" t="s">
        <v>158</v>
      </c>
      <c r="C1288" s="17">
        <v>30</v>
      </c>
      <c r="D1288" s="17" t="s">
        <v>151</v>
      </c>
    </row>
    <row r="1289" spans="1:26" s="18" customFormat="1" ht="12.75" x14ac:dyDescent="0.2">
      <c r="A1289" s="16">
        <v>798200</v>
      </c>
      <c r="B1289" s="16" t="s">
        <v>159</v>
      </c>
      <c r="C1289" s="17">
        <v>1</v>
      </c>
      <c r="D1289" s="17" t="s">
        <v>151</v>
      </c>
    </row>
    <row r="1290" spans="1:26" s="18" customFormat="1" ht="12.75" x14ac:dyDescent="0.2">
      <c r="A1290" s="16">
        <v>918140</v>
      </c>
      <c r="B1290" s="16" t="s">
        <v>160</v>
      </c>
      <c r="C1290" s="17">
        <v>100</v>
      </c>
      <c r="D1290" s="17" t="s">
        <v>151</v>
      </c>
    </row>
    <row r="1291" spans="1:26" s="9" customFormat="1" x14ac:dyDescent="0.2">
      <c r="A1291" s="11">
        <v>438200</v>
      </c>
      <c r="B1291" s="12" t="s">
        <v>161</v>
      </c>
      <c r="C1291" s="13">
        <v>5</v>
      </c>
      <c r="D1291" s="13" t="s">
        <v>150</v>
      </c>
    </row>
    <row r="1292" spans="1:26" s="9" customFormat="1" x14ac:dyDescent="0.2">
      <c r="A1292" s="11"/>
      <c r="B1292" s="12" t="s">
        <v>223</v>
      </c>
      <c r="C1292" s="17">
        <v>1</v>
      </c>
      <c r="D1292" s="17" t="s">
        <v>226</v>
      </c>
      <c r="E1292" s="9">
        <v>3000</v>
      </c>
    </row>
    <row r="1293" spans="1:26" x14ac:dyDescent="0.2">
      <c r="A1293" s="5" t="s">
        <v>203</v>
      </c>
      <c r="B1293" s="5" t="s">
        <v>101</v>
      </c>
      <c r="C1293">
        <v>1</v>
      </c>
      <c r="E1293">
        <v>0</v>
      </c>
      <c r="G1293">
        <v>0</v>
      </c>
      <c r="I1293">
        <v>3</v>
      </c>
      <c r="Y1293">
        <v>0</v>
      </c>
      <c r="Z1293" t="str">
        <f t="shared" si="57"/>
        <v>ש"ח</v>
      </c>
    </row>
    <row r="1294" spans="1:26" s="17" customFormat="1" ht="15" customHeight="1" x14ac:dyDescent="0.2">
      <c r="A1294" s="16">
        <v>218260</v>
      </c>
      <c r="B1294" s="12" t="s">
        <v>154</v>
      </c>
      <c r="C1294" s="17">
        <v>700</v>
      </c>
      <c r="D1294" s="17" t="s">
        <v>150</v>
      </c>
    </row>
    <row r="1295" spans="1:26" s="17" customFormat="1" ht="12.75" x14ac:dyDescent="0.2">
      <c r="A1295" s="16">
        <v>218290</v>
      </c>
      <c r="B1295" s="12" t="s">
        <v>162</v>
      </c>
      <c r="C1295" s="17">
        <v>800</v>
      </c>
      <c r="D1295" s="17" t="s">
        <v>150</v>
      </c>
    </row>
    <row r="1296" spans="1:26" s="17" customFormat="1" ht="12.75" x14ac:dyDescent="0.2">
      <c r="A1296" s="16">
        <v>218370</v>
      </c>
      <c r="B1296" s="12" t="s">
        <v>163</v>
      </c>
      <c r="C1296" s="17">
        <v>150</v>
      </c>
      <c r="D1296" s="17" t="s">
        <v>150</v>
      </c>
    </row>
    <row r="1297" spans="1:4" s="17" customFormat="1" ht="12.75" x14ac:dyDescent="0.2">
      <c r="A1297" s="16">
        <v>218340</v>
      </c>
      <c r="B1297" s="12" t="s">
        <v>164</v>
      </c>
      <c r="C1297" s="17">
        <v>150</v>
      </c>
      <c r="D1297" s="17" t="s">
        <v>150</v>
      </c>
    </row>
    <row r="1298" spans="1:4" s="17" customFormat="1" ht="12.75" x14ac:dyDescent="0.2">
      <c r="A1298" s="16">
        <v>218190</v>
      </c>
      <c r="B1298" s="12" t="s">
        <v>148</v>
      </c>
      <c r="C1298" s="17">
        <v>300</v>
      </c>
      <c r="D1298" s="17" t="s">
        <v>150</v>
      </c>
    </row>
    <row r="1299" spans="1:4" s="17" customFormat="1" ht="12.75" x14ac:dyDescent="0.2">
      <c r="A1299" s="16">
        <v>218300</v>
      </c>
      <c r="B1299" s="12" t="s">
        <v>165</v>
      </c>
      <c r="C1299" s="17">
        <v>50</v>
      </c>
      <c r="D1299" s="17" t="s">
        <v>150</v>
      </c>
    </row>
    <row r="1300" spans="1:4" s="17" customFormat="1" ht="12.75" x14ac:dyDescent="0.2">
      <c r="A1300" s="16">
        <v>368110</v>
      </c>
      <c r="B1300" s="12" t="s">
        <v>166</v>
      </c>
      <c r="C1300" s="17">
        <v>800</v>
      </c>
      <c r="D1300" s="17" t="s">
        <v>150</v>
      </c>
    </row>
    <row r="1301" spans="1:4" s="17" customFormat="1" ht="12.75" x14ac:dyDescent="0.2">
      <c r="A1301" s="16">
        <v>368120</v>
      </c>
      <c r="B1301" s="12" t="s">
        <v>167</v>
      </c>
      <c r="C1301" s="17">
        <v>800</v>
      </c>
      <c r="D1301" s="17" t="s">
        <v>150</v>
      </c>
    </row>
    <row r="1302" spans="1:4" s="17" customFormat="1" ht="12.75" x14ac:dyDescent="0.2">
      <c r="A1302" s="16">
        <v>368130</v>
      </c>
      <c r="B1302" s="12" t="s">
        <v>168</v>
      </c>
      <c r="C1302" s="17">
        <v>800</v>
      </c>
      <c r="D1302" s="17" t="s">
        <v>150</v>
      </c>
    </row>
    <row r="1303" spans="1:4" s="17" customFormat="1" ht="12.75" x14ac:dyDescent="0.2">
      <c r="A1303" s="16">
        <v>368140</v>
      </c>
      <c r="B1303" s="12" t="s">
        <v>169</v>
      </c>
      <c r="C1303" s="17">
        <v>800</v>
      </c>
      <c r="D1303" s="17" t="s">
        <v>150</v>
      </c>
    </row>
    <row r="1304" spans="1:4" s="17" customFormat="1" ht="12.75" x14ac:dyDescent="0.2">
      <c r="A1304" s="16">
        <v>368150</v>
      </c>
      <c r="B1304" s="12" t="s">
        <v>170</v>
      </c>
      <c r="C1304" s="17">
        <v>800</v>
      </c>
      <c r="D1304" s="17" t="s">
        <v>150</v>
      </c>
    </row>
    <row r="1305" spans="1:4" s="17" customFormat="1" ht="12.75" x14ac:dyDescent="0.2">
      <c r="A1305" s="16">
        <v>368160</v>
      </c>
      <c r="B1305" s="12" t="s">
        <v>171</v>
      </c>
      <c r="C1305" s="17">
        <v>700</v>
      </c>
      <c r="D1305" s="17" t="s">
        <v>150</v>
      </c>
    </row>
    <row r="1306" spans="1:4" s="17" customFormat="1" ht="12.75" x14ac:dyDescent="0.2">
      <c r="A1306" s="16">
        <v>368170</v>
      </c>
      <c r="B1306" s="12" t="s">
        <v>172</v>
      </c>
      <c r="C1306" s="17">
        <v>700</v>
      </c>
      <c r="D1306" s="17" t="s">
        <v>150</v>
      </c>
    </row>
    <row r="1307" spans="1:4" s="17" customFormat="1" ht="12.75" x14ac:dyDescent="0.2">
      <c r="A1307" s="16">
        <v>368180</v>
      </c>
      <c r="B1307" s="12" t="s">
        <v>173</v>
      </c>
      <c r="C1307" s="17">
        <v>700</v>
      </c>
      <c r="D1307" s="17" t="s">
        <v>150</v>
      </c>
    </row>
    <row r="1308" spans="1:4" s="17" customFormat="1" ht="12.75" x14ac:dyDescent="0.2">
      <c r="A1308" s="16">
        <v>378120</v>
      </c>
      <c r="B1308" s="12" t="s">
        <v>174</v>
      </c>
      <c r="C1308" s="17">
        <v>200</v>
      </c>
      <c r="D1308" s="17" t="s">
        <v>150</v>
      </c>
    </row>
    <row r="1309" spans="1:4" s="17" customFormat="1" ht="12.75" x14ac:dyDescent="0.2">
      <c r="A1309" s="16">
        <v>228350</v>
      </c>
      <c r="B1309" s="12" t="s">
        <v>157</v>
      </c>
      <c r="C1309" s="17">
        <v>60</v>
      </c>
      <c r="D1309" s="17" t="s">
        <v>151</v>
      </c>
    </row>
    <row r="1310" spans="1:4" s="17" customFormat="1" ht="12.75" x14ac:dyDescent="0.2">
      <c r="A1310" s="16">
        <v>228370</v>
      </c>
      <c r="B1310" s="12" t="s">
        <v>158</v>
      </c>
      <c r="C1310" s="17">
        <v>30</v>
      </c>
      <c r="D1310" s="17" t="s">
        <v>151</v>
      </c>
    </row>
    <row r="1311" spans="1:4" s="17" customFormat="1" ht="12.75" x14ac:dyDescent="0.2">
      <c r="A1311" s="16">
        <v>918180</v>
      </c>
      <c r="B1311" s="12" t="s">
        <v>149</v>
      </c>
      <c r="C1311" s="17">
        <v>4</v>
      </c>
      <c r="D1311" s="17" t="s">
        <v>152</v>
      </c>
    </row>
    <row r="1312" spans="1:4" s="17" customFormat="1" ht="12.75" x14ac:dyDescent="0.2">
      <c r="A1312" s="16">
        <v>918190</v>
      </c>
      <c r="B1312" s="16" t="s">
        <v>175</v>
      </c>
      <c r="C1312" s="17">
        <v>4</v>
      </c>
      <c r="D1312" s="17" t="s">
        <v>152</v>
      </c>
    </row>
    <row r="1313" spans="1:26" s="17" customFormat="1" ht="12.75" x14ac:dyDescent="0.2">
      <c r="A1313" s="16">
        <v>228130</v>
      </c>
      <c r="B1313" s="17" t="s">
        <v>147</v>
      </c>
      <c r="C1313" s="17">
        <v>10</v>
      </c>
      <c r="D1313" s="17" t="s">
        <v>153</v>
      </c>
    </row>
    <row r="1314" spans="1:26" s="17" customFormat="1" ht="12.75" x14ac:dyDescent="0.2">
      <c r="A1314" s="16">
        <v>228140</v>
      </c>
      <c r="B1314" s="12" t="s">
        <v>176</v>
      </c>
      <c r="C1314" s="17">
        <v>25</v>
      </c>
      <c r="D1314" s="17" t="s">
        <v>153</v>
      </c>
    </row>
    <row r="1315" spans="1:26" s="17" customFormat="1" ht="13.5" customHeight="1" x14ac:dyDescent="0.2">
      <c r="A1315" s="16">
        <v>438200</v>
      </c>
      <c r="B1315" s="12" t="s">
        <v>161</v>
      </c>
      <c r="C1315" s="17">
        <v>10</v>
      </c>
      <c r="D1315" s="17" t="s">
        <v>151</v>
      </c>
    </row>
    <row r="1316" spans="1:26" s="17" customFormat="1" ht="13.5" customHeight="1" x14ac:dyDescent="0.2">
      <c r="A1316" s="19">
        <v>708580</v>
      </c>
      <c r="B1316" s="20" t="s">
        <v>216</v>
      </c>
      <c r="C1316" s="17">
        <v>1</v>
      </c>
      <c r="D1316" s="17" t="s">
        <v>153</v>
      </c>
    </row>
    <row r="1317" spans="1:26" s="17" customFormat="1" ht="13.5" customHeight="1" x14ac:dyDescent="0.2">
      <c r="A1317" s="11">
        <v>109999</v>
      </c>
      <c r="B1317" s="11" t="s">
        <v>223</v>
      </c>
      <c r="C1317" s="17">
        <v>1</v>
      </c>
      <c r="D1317" s="17" t="s">
        <v>151</v>
      </c>
      <c r="E1317" s="17">
        <v>12000</v>
      </c>
    </row>
    <row r="1318" spans="1:26" x14ac:dyDescent="0.2">
      <c r="A1318" s="5" t="s">
        <v>204</v>
      </c>
      <c r="B1318" s="5" t="s">
        <v>102</v>
      </c>
      <c r="C1318">
        <v>1</v>
      </c>
      <c r="E1318">
        <v>0</v>
      </c>
      <c r="G1318">
        <v>0</v>
      </c>
      <c r="I1318">
        <v>3</v>
      </c>
      <c r="Y1318">
        <v>0</v>
      </c>
      <c r="Z1318" t="str">
        <f t="shared" si="57"/>
        <v>ש"ח</v>
      </c>
    </row>
    <row r="1319" spans="1:26" x14ac:dyDescent="0.2">
      <c r="A1319" s="19" t="str">
        <f>"150011290"</f>
        <v>150011290</v>
      </c>
      <c r="B1319" s="19" t="str">
        <f>"נורת ניאון אדומה 220"</f>
        <v>נורת ניאון אדומה 220</v>
      </c>
      <c r="C1319" s="17">
        <v>8</v>
      </c>
      <c r="D1319" s="17" t="s">
        <v>151</v>
      </c>
    </row>
    <row r="1320" spans="1:26" x14ac:dyDescent="0.2">
      <c r="A1320" s="19" t="str">
        <f>"150020002"</f>
        <v>150020002</v>
      </c>
      <c r="B1320" s="19" t="str">
        <f>"שקע כח ישראלי NEVE-"</f>
        <v>שקע כח ישראלי NEVE-</v>
      </c>
      <c r="C1320" s="17">
        <v>77</v>
      </c>
      <c r="D1320" s="17" t="s">
        <v>151</v>
      </c>
    </row>
    <row r="1321" spans="1:26" x14ac:dyDescent="0.2">
      <c r="A1321" s="19" t="str">
        <f>"150020004"</f>
        <v>150020004</v>
      </c>
      <c r="B1321" s="19" t="str">
        <f>"שקע טלפון NEVE-"</f>
        <v>שקע טלפון NEVE-</v>
      </c>
      <c r="C1321" s="17">
        <v>14</v>
      </c>
      <c r="D1321" s="17" t="s">
        <v>151</v>
      </c>
    </row>
    <row r="1322" spans="1:26" x14ac:dyDescent="0.2">
      <c r="A1322" s="19" t="str">
        <f>"150020014"</f>
        <v>150020014</v>
      </c>
      <c r="B1322" s="19" t="str">
        <f>"דמי NEVE-"</f>
        <v>דמי NEVE-</v>
      </c>
      <c r="C1322" s="17">
        <v>22</v>
      </c>
      <c r="D1322" s="17" t="s">
        <v>151</v>
      </c>
    </row>
    <row r="1323" spans="1:26" x14ac:dyDescent="0.2">
      <c r="A1323" s="19" t="str">
        <f>"150020023"</f>
        <v>150020023</v>
      </c>
      <c r="B1323" s="19" t="str">
        <f>"לחצן מואר NEVE-"</f>
        <v>לחצן מואר NEVE-</v>
      </c>
      <c r="C1323" s="17">
        <v>4</v>
      </c>
      <c r="D1323" s="17" t="s">
        <v>151</v>
      </c>
    </row>
    <row r="1324" spans="1:26" x14ac:dyDescent="0.2">
      <c r="A1324" s="19" t="str">
        <f>"150020024"</f>
        <v>150020024</v>
      </c>
      <c r="B1324" s="19" t="str">
        <f>"לחצן רחב 2 .NEVE-"</f>
        <v>לחצן רחב 2 .NEVE-</v>
      </c>
      <c r="C1324" s="17">
        <v>2</v>
      </c>
      <c r="D1324" s="17" t="s">
        <v>151</v>
      </c>
    </row>
    <row r="1325" spans="1:26" x14ac:dyDescent="0.2">
      <c r="A1325" s="19" t="str">
        <f>"150020029"</f>
        <v>150020029</v>
      </c>
      <c r="B1325" s="19" t="str">
        <f>"מסגרת 1 מודול NEVE-"</f>
        <v>מסגרת 1 מודול NEVE-</v>
      </c>
      <c r="C1325" s="17">
        <v>33</v>
      </c>
      <c r="D1325" s="17" t="s">
        <v>151</v>
      </c>
    </row>
    <row r="1326" spans="1:26" x14ac:dyDescent="0.2">
      <c r="A1326" s="19" t="str">
        <f>"150020036"</f>
        <v>150020036</v>
      </c>
      <c r="B1326" s="19" t="str">
        <f>"מסגרת 2 מודול NEVE-"</f>
        <v>מסגרת 2 מודול NEVE-</v>
      </c>
      <c r="C1326" s="17">
        <v>22</v>
      </c>
      <c r="D1326" s="17" t="s">
        <v>151</v>
      </c>
    </row>
    <row r="1327" spans="1:26" x14ac:dyDescent="0.2">
      <c r="A1327" s="19" t="str">
        <f>"150020041"</f>
        <v>150020041</v>
      </c>
      <c r="B1327" s="19" t="str">
        <f>"מסגרת 3 מודול NEVE-"</f>
        <v>מסגרת 3 מודול NEVE-</v>
      </c>
      <c r="C1327" s="17">
        <v>13</v>
      </c>
      <c r="D1327" s="17" t="s">
        <v>151</v>
      </c>
    </row>
    <row r="1328" spans="1:26" x14ac:dyDescent="0.2">
      <c r="A1328" s="19" t="str">
        <f>"150020045"</f>
        <v>150020045</v>
      </c>
      <c r="B1328" s="19" t="str">
        <f>"מסגרת 4 מודול NEVE-"</f>
        <v>מסגרת 4 מודול NEVE-</v>
      </c>
      <c r="C1328" s="17">
        <v>28</v>
      </c>
      <c r="D1328" s="17" t="s">
        <v>151</v>
      </c>
    </row>
    <row r="1329" spans="1:5" x14ac:dyDescent="0.2">
      <c r="A1329" s="19" t="str">
        <f>"150020059"</f>
        <v>150020059</v>
      </c>
      <c r="B1329" s="19" t="str">
        <f>"מפסק יחיד NEVE-"</f>
        <v>מפסק יחיד NEVE-</v>
      </c>
      <c r="C1329" s="17">
        <v>30</v>
      </c>
      <c r="D1329" s="17" t="s">
        <v>151</v>
      </c>
    </row>
    <row r="1330" spans="1:5" x14ac:dyDescent="0.2">
      <c r="A1330" s="19" t="str">
        <f>"150020061"</f>
        <v>150020061</v>
      </c>
      <c r="B1330" s="19" t="str">
        <f>"מפסק חיולף NEVE-"</f>
        <v>מפסק חיולף NEVE-</v>
      </c>
      <c r="C1330" s="17">
        <v>25</v>
      </c>
      <c r="D1330" s="17" t="s">
        <v>151</v>
      </c>
    </row>
    <row r="1331" spans="1:5" x14ac:dyDescent="0.2">
      <c r="A1331" s="19" t="str">
        <f>"150020063"</f>
        <v>150020063</v>
      </c>
      <c r="B1331" s="19" t="str">
        <f>"מפסק צלב NEVE-"</f>
        <v>מפסק צלב NEVE-</v>
      </c>
      <c r="C1331" s="17">
        <v>3</v>
      </c>
      <c r="D1331" s="17" t="s">
        <v>151</v>
      </c>
    </row>
    <row r="1332" spans="1:5" x14ac:dyDescent="0.2">
      <c r="A1332" s="19" t="str">
        <f>"150020068"</f>
        <v>150020068</v>
      </c>
      <c r="B1332" s="19" t="str">
        <f>"מתאם 2 מודול NEVE-"</f>
        <v>מתאם 2 מודול NEVE-</v>
      </c>
      <c r="C1332" s="17">
        <v>22</v>
      </c>
      <c r="D1332" s="17" t="s">
        <v>151</v>
      </c>
    </row>
    <row r="1333" spans="1:5" x14ac:dyDescent="0.2">
      <c r="A1333" s="19" t="str">
        <f>"150020069"</f>
        <v>150020069</v>
      </c>
      <c r="B1333" s="19" t="str">
        <f>"מתאם 3 מודול NEVE-"</f>
        <v>מתאם 3 מודול NEVE-</v>
      </c>
      <c r="C1333" s="17">
        <v>46</v>
      </c>
      <c r="D1333" s="17" t="s">
        <v>151</v>
      </c>
    </row>
    <row r="1334" spans="1:5" x14ac:dyDescent="0.2">
      <c r="A1334" s="19" t="str">
        <f>"150020070"</f>
        <v>150020070</v>
      </c>
      <c r="B1334" s="19" t="str">
        <f>"מתאם 4 מודול NEVE-"</f>
        <v>מתאם 4 מודול NEVE-</v>
      </c>
      <c r="C1334" s="17">
        <v>28</v>
      </c>
      <c r="D1334" s="17" t="s">
        <v>151</v>
      </c>
    </row>
    <row r="1335" spans="1:5" x14ac:dyDescent="0.2">
      <c r="A1335" s="19" t="str">
        <f>"150020090"</f>
        <v>150020090</v>
      </c>
      <c r="B1335" s="19" t="str">
        <f>"מפסק דוד NEVE-"</f>
        <v>מפסק דוד NEVE-</v>
      </c>
      <c r="C1335" s="17">
        <v>4</v>
      </c>
      <c r="D1335" s="17" t="s">
        <v>151</v>
      </c>
    </row>
    <row r="1336" spans="1:5" x14ac:dyDescent="0.2">
      <c r="A1336" s="19">
        <v>938140</v>
      </c>
      <c r="B1336" s="21" t="s">
        <v>217</v>
      </c>
      <c r="C1336" s="17">
        <v>10</v>
      </c>
      <c r="D1336" s="17" t="s">
        <v>151</v>
      </c>
    </row>
    <row r="1337" spans="1:5" x14ac:dyDescent="0.2">
      <c r="A1337" s="19">
        <v>938150</v>
      </c>
      <c r="B1337" s="21" t="s">
        <v>218</v>
      </c>
      <c r="C1337" s="17">
        <v>1</v>
      </c>
      <c r="D1337" s="17" t="s">
        <v>152</v>
      </c>
    </row>
    <row r="1338" spans="1:5" x14ac:dyDescent="0.2">
      <c r="A1338" s="19">
        <v>708370</v>
      </c>
      <c r="B1338" s="21" t="s">
        <v>219</v>
      </c>
      <c r="C1338" s="17">
        <v>2</v>
      </c>
      <c r="D1338" s="17" t="s">
        <v>153</v>
      </c>
    </row>
    <row r="1339" spans="1:5" x14ac:dyDescent="0.2">
      <c r="A1339" s="19">
        <v>378160</v>
      </c>
      <c r="B1339" s="21" t="s">
        <v>220</v>
      </c>
      <c r="C1339" s="17">
        <v>200</v>
      </c>
      <c r="D1339" s="17" t="s">
        <v>150</v>
      </c>
    </row>
    <row r="1340" spans="1:5" x14ac:dyDescent="0.2">
      <c r="A1340" s="19">
        <v>708470</v>
      </c>
      <c r="B1340" s="21" t="s">
        <v>221</v>
      </c>
      <c r="C1340" s="17">
        <v>6</v>
      </c>
      <c r="D1340" s="17" t="s">
        <v>153</v>
      </c>
    </row>
    <row r="1341" spans="1:5" x14ac:dyDescent="0.2">
      <c r="A1341" s="19">
        <v>628160</v>
      </c>
      <c r="B1341" s="21" t="s">
        <v>222</v>
      </c>
      <c r="C1341" s="17">
        <v>50</v>
      </c>
      <c r="D1341" s="17" t="s">
        <v>151</v>
      </c>
    </row>
    <row r="1342" spans="1:5" x14ac:dyDescent="0.2">
      <c r="A1342" s="11">
        <v>109999</v>
      </c>
      <c r="B1342" s="11" t="s">
        <v>223</v>
      </c>
      <c r="C1342" s="17">
        <v>1</v>
      </c>
      <c r="D1342" s="17" t="s">
        <v>151</v>
      </c>
      <c r="E1342" s="17">
        <v>8000</v>
      </c>
    </row>
    <row r="1343" spans="1:5" x14ac:dyDescent="0.2">
      <c r="A1343" s="11">
        <v>640000</v>
      </c>
      <c r="B1343" s="22" t="s">
        <v>224</v>
      </c>
      <c r="C1343">
        <v>1</v>
      </c>
      <c r="D1343" t="s">
        <v>151</v>
      </c>
      <c r="E1343">
        <v>6800</v>
      </c>
    </row>
    <row r="1344" spans="1:5" x14ac:dyDescent="0.2">
      <c r="A1344" s="11">
        <v>999999</v>
      </c>
      <c r="B1344" s="22" t="s">
        <v>225</v>
      </c>
      <c r="C1344">
        <v>1</v>
      </c>
      <c r="D1344" t="s">
        <v>226</v>
      </c>
      <c r="E1344">
        <v>1800</v>
      </c>
    </row>
    <row r="1345" spans="1:26" x14ac:dyDescent="0.2">
      <c r="A1345" s="5" t="s">
        <v>205</v>
      </c>
      <c r="B1345" s="5" t="s">
        <v>103</v>
      </c>
      <c r="C1345">
        <v>1</v>
      </c>
      <c r="E1345">
        <v>0</v>
      </c>
      <c r="G1345">
        <v>0</v>
      </c>
      <c r="I1345">
        <v>3</v>
      </c>
      <c r="Y1345">
        <v>0</v>
      </c>
      <c r="Z1345" t="str">
        <f t="shared" si="57"/>
        <v>ש"ח</v>
      </c>
    </row>
    <row r="1346" spans="1:26" ht="15" x14ac:dyDescent="0.2">
      <c r="A1346" s="6">
        <v>10.23</v>
      </c>
      <c r="B1346" s="6" t="s">
        <v>206</v>
      </c>
      <c r="C1346">
        <v>1</v>
      </c>
      <c r="E1346">
        <v>0</v>
      </c>
      <c r="G1346">
        <v>100</v>
      </c>
      <c r="I1346">
        <v>2</v>
      </c>
      <c r="Y1346">
        <v>0</v>
      </c>
      <c r="Z1346" t="str">
        <f t="shared" si="57"/>
        <v>ש"ח</v>
      </c>
    </row>
    <row r="1347" spans="1:26" x14ac:dyDescent="0.2">
      <c r="A1347" s="5" t="s">
        <v>113</v>
      </c>
      <c r="B1347" s="5" t="s">
        <v>100</v>
      </c>
      <c r="C1347">
        <v>1</v>
      </c>
      <c r="E1347">
        <v>0</v>
      </c>
      <c r="G1347">
        <v>0</v>
      </c>
      <c r="I1347">
        <v>3</v>
      </c>
      <c r="Y1347">
        <v>0</v>
      </c>
      <c r="Z1347" t="str">
        <f t="shared" si="57"/>
        <v>ש"ח</v>
      </c>
    </row>
    <row r="1348" spans="1:26" s="18" customFormat="1" ht="15" customHeight="1" x14ac:dyDescent="0.2">
      <c r="A1348" s="16">
        <v>218260</v>
      </c>
      <c r="B1348" s="12" t="s">
        <v>154</v>
      </c>
      <c r="C1348" s="17">
        <v>500</v>
      </c>
      <c r="D1348" s="17" t="s">
        <v>150</v>
      </c>
      <c r="Y1348" s="18">
        <f>C1348*E1348</f>
        <v>0</v>
      </c>
    </row>
    <row r="1349" spans="1:26" s="18" customFormat="1" ht="12.75" x14ac:dyDescent="0.2">
      <c r="A1349" s="16">
        <v>218270</v>
      </c>
      <c r="B1349" s="12" t="s">
        <v>155</v>
      </c>
      <c r="C1349" s="17">
        <v>100</v>
      </c>
      <c r="D1349" s="17" t="s">
        <v>150</v>
      </c>
      <c r="Y1349" s="18">
        <f>C1349*E1349</f>
        <v>0</v>
      </c>
    </row>
    <row r="1350" spans="1:26" s="18" customFormat="1" ht="12.75" x14ac:dyDescent="0.2">
      <c r="A1350" s="16">
        <v>218140</v>
      </c>
      <c r="B1350" s="17" t="s">
        <v>156</v>
      </c>
      <c r="C1350" s="17">
        <v>50</v>
      </c>
      <c r="D1350" s="17" t="s">
        <v>150</v>
      </c>
      <c r="Y1350" s="18">
        <f>C1350*E1350</f>
        <v>0</v>
      </c>
    </row>
    <row r="1351" spans="1:26" s="18" customFormat="1" ht="12.75" x14ac:dyDescent="0.2">
      <c r="A1351" s="16">
        <v>228130</v>
      </c>
      <c r="B1351" s="17" t="s">
        <v>147</v>
      </c>
      <c r="C1351" s="17">
        <v>10</v>
      </c>
      <c r="D1351" s="17" t="s">
        <v>151</v>
      </c>
    </row>
    <row r="1352" spans="1:26" s="18" customFormat="1" ht="12.75" x14ac:dyDescent="0.2">
      <c r="A1352" s="16">
        <v>228350</v>
      </c>
      <c r="B1352" s="12" t="s">
        <v>157</v>
      </c>
      <c r="C1352" s="17">
        <v>25</v>
      </c>
      <c r="D1352" s="17" t="s">
        <v>151</v>
      </c>
    </row>
    <row r="1353" spans="1:26" s="18" customFormat="1" ht="12.75" x14ac:dyDescent="0.2">
      <c r="A1353" s="16">
        <v>228370</v>
      </c>
      <c r="B1353" s="12" t="s">
        <v>158</v>
      </c>
      <c r="C1353" s="17">
        <v>30</v>
      </c>
      <c r="D1353" s="17" t="s">
        <v>151</v>
      </c>
    </row>
    <row r="1354" spans="1:26" s="18" customFormat="1" ht="12.75" x14ac:dyDescent="0.2">
      <c r="A1354" s="16">
        <v>798200</v>
      </c>
      <c r="B1354" s="16" t="s">
        <v>159</v>
      </c>
      <c r="C1354" s="17">
        <v>1</v>
      </c>
      <c r="D1354" s="17" t="s">
        <v>151</v>
      </c>
    </row>
    <row r="1355" spans="1:26" s="18" customFormat="1" ht="12.75" x14ac:dyDescent="0.2">
      <c r="A1355" s="16">
        <v>918140</v>
      </c>
      <c r="B1355" s="16" t="s">
        <v>160</v>
      </c>
      <c r="C1355" s="17">
        <v>100</v>
      </c>
      <c r="D1355" s="17" t="s">
        <v>151</v>
      </c>
    </row>
    <row r="1356" spans="1:26" s="9" customFormat="1" x14ac:dyDescent="0.2">
      <c r="A1356" s="11">
        <v>438200</v>
      </c>
      <c r="B1356" s="12" t="s">
        <v>161</v>
      </c>
      <c r="C1356" s="13">
        <v>5</v>
      </c>
      <c r="D1356" s="13" t="s">
        <v>150</v>
      </c>
    </row>
    <row r="1357" spans="1:26" s="9" customFormat="1" x14ac:dyDescent="0.2">
      <c r="A1357" s="11"/>
      <c r="B1357" s="12" t="s">
        <v>223</v>
      </c>
      <c r="C1357" s="17">
        <v>1</v>
      </c>
      <c r="D1357" s="17" t="s">
        <v>226</v>
      </c>
      <c r="E1357" s="9">
        <v>3000</v>
      </c>
    </row>
    <row r="1358" spans="1:26" x14ac:dyDescent="0.2">
      <c r="A1358" s="5" t="s">
        <v>114</v>
      </c>
      <c r="B1358" s="5" t="s">
        <v>101</v>
      </c>
      <c r="C1358">
        <v>1</v>
      </c>
      <c r="E1358">
        <v>0</v>
      </c>
      <c r="G1358">
        <v>0</v>
      </c>
      <c r="I1358">
        <v>3</v>
      </c>
      <c r="Y1358">
        <v>0</v>
      </c>
      <c r="Z1358" t="str">
        <f t="shared" si="57"/>
        <v>ש"ח</v>
      </c>
    </row>
    <row r="1359" spans="1:26" s="17" customFormat="1" ht="15" customHeight="1" x14ac:dyDescent="0.2">
      <c r="A1359" s="16">
        <v>218260</v>
      </c>
      <c r="B1359" s="12" t="s">
        <v>154</v>
      </c>
      <c r="C1359" s="17">
        <v>700</v>
      </c>
      <c r="D1359" s="17" t="s">
        <v>150</v>
      </c>
    </row>
    <row r="1360" spans="1:26" s="17" customFormat="1" ht="12.75" x14ac:dyDescent="0.2">
      <c r="A1360" s="16">
        <v>218290</v>
      </c>
      <c r="B1360" s="12" t="s">
        <v>162</v>
      </c>
      <c r="C1360" s="17">
        <v>800</v>
      </c>
      <c r="D1360" s="17" t="s">
        <v>150</v>
      </c>
    </row>
    <row r="1361" spans="1:4" s="17" customFormat="1" ht="12.75" x14ac:dyDescent="0.2">
      <c r="A1361" s="16">
        <v>218370</v>
      </c>
      <c r="B1361" s="12" t="s">
        <v>163</v>
      </c>
      <c r="C1361" s="17">
        <v>150</v>
      </c>
      <c r="D1361" s="17" t="s">
        <v>150</v>
      </c>
    </row>
    <row r="1362" spans="1:4" s="17" customFormat="1" ht="12.75" x14ac:dyDescent="0.2">
      <c r="A1362" s="16">
        <v>218340</v>
      </c>
      <c r="B1362" s="12" t="s">
        <v>164</v>
      </c>
      <c r="C1362" s="17">
        <v>150</v>
      </c>
      <c r="D1362" s="17" t="s">
        <v>150</v>
      </c>
    </row>
    <row r="1363" spans="1:4" s="17" customFormat="1" ht="12.75" x14ac:dyDescent="0.2">
      <c r="A1363" s="16">
        <v>218190</v>
      </c>
      <c r="B1363" s="12" t="s">
        <v>148</v>
      </c>
      <c r="C1363" s="17">
        <v>300</v>
      </c>
      <c r="D1363" s="17" t="s">
        <v>150</v>
      </c>
    </row>
    <row r="1364" spans="1:4" s="17" customFormat="1" ht="12.75" x14ac:dyDescent="0.2">
      <c r="A1364" s="16">
        <v>218300</v>
      </c>
      <c r="B1364" s="12" t="s">
        <v>165</v>
      </c>
      <c r="C1364" s="17">
        <v>50</v>
      </c>
      <c r="D1364" s="17" t="s">
        <v>150</v>
      </c>
    </row>
    <row r="1365" spans="1:4" s="17" customFormat="1" ht="12.75" x14ac:dyDescent="0.2">
      <c r="A1365" s="16">
        <v>368110</v>
      </c>
      <c r="B1365" s="12" t="s">
        <v>166</v>
      </c>
      <c r="C1365" s="17">
        <v>800</v>
      </c>
      <c r="D1365" s="17" t="s">
        <v>150</v>
      </c>
    </row>
    <row r="1366" spans="1:4" s="17" customFormat="1" ht="12.75" x14ac:dyDescent="0.2">
      <c r="A1366" s="16">
        <v>368120</v>
      </c>
      <c r="B1366" s="12" t="s">
        <v>167</v>
      </c>
      <c r="C1366" s="17">
        <v>800</v>
      </c>
      <c r="D1366" s="17" t="s">
        <v>150</v>
      </c>
    </row>
    <row r="1367" spans="1:4" s="17" customFormat="1" ht="12.75" x14ac:dyDescent="0.2">
      <c r="A1367" s="16">
        <v>368130</v>
      </c>
      <c r="B1367" s="12" t="s">
        <v>168</v>
      </c>
      <c r="C1367" s="17">
        <v>800</v>
      </c>
      <c r="D1367" s="17" t="s">
        <v>150</v>
      </c>
    </row>
    <row r="1368" spans="1:4" s="17" customFormat="1" ht="12.75" x14ac:dyDescent="0.2">
      <c r="A1368" s="16">
        <v>368140</v>
      </c>
      <c r="B1368" s="12" t="s">
        <v>169</v>
      </c>
      <c r="C1368" s="17">
        <v>800</v>
      </c>
      <c r="D1368" s="17" t="s">
        <v>150</v>
      </c>
    </row>
    <row r="1369" spans="1:4" s="17" customFormat="1" ht="12.75" x14ac:dyDescent="0.2">
      <c r="A1369" s="16">
        <v>368150</v>
      </c>
      <c r="B1369" s="12" t="s">
        <v>170</v>
      </c>
      <c r="C1369" s="17">
        <v>800</v>
      </c>
      <c r="D1369" s="17" t="s">
        <v>150</v>
      </c>
    </row>
    <row r="1370" spans="1:4" s="17" customFormat="1" ht="12.75" x14ac:dyDescent="0.2">
      <c r="A1370" s="16">
        <v>368160</v>
      </c>
      <c r="B1370" s="12" t="s">
        <v>171</v>
      </c>
      <c r="C1370" s="17">
        <v>700</v>
      </c>
      <c r="D1370" s="17" t="s">
        <v>150</v>
      </c>
    </row>
    <row r="1371" spans="1:4" s="17" customFormat="1" ht="12.75" x14ac:dyDescent="0.2">
      <c r="A1371" s="16">
        <v>368170</v>
      </c>
      <c r="B1371" s="12" t="s">
        <v>172</v>
      </c>
      <c r="C1371" s="17">
        <v>700</v>
      </c>
      <c r="D1371" s="17" t="s">
        <v>150</v>
      </c>
    </row>
    <row r="1372" spans="1:4" s="17" customFormat="1" ht="12.75" x14ac:dyDescent="0.2">
      <c r="A1372" s="16">
        <v>368180</v>
      </c>
      <c r="B1372" s="12" t="s">
        <v>173</v>
      </c>
      <c r="C1372" s="17">
        <v>700</v>
      </c>
      <c r="D1372" s="17" t="s">
        <v>150</v>
      </c>
    </row>
    <row r="1373" spans="1:4" s="17" customFormat="1" ht="12.75" x14ac:dyDescent="0.2">
      <c r="A1373" s="16">
        <v>378120</v>
      </c>
      <c r="B1373" s="12" t="s">
        <v>174</v>
      </c>
      <c r="C1373" s="17">
        <v>200</v>
      </c>
      <c r="D1373" s="17" t="s">
        <v>150</v>
      </c>
    </row>
    <row r="1374" spans="1:4" s="17" customFormat="1" ht="12.75" x14ac:dyDescent="0.2">
      <c r="A1374" s="16">
        <v>228350</v>
      </c>
      <c r="B1374" s="12" t="s">
        <v>157</v>
      </c>
      <c r="C1374" s="17">
        <v>60</v>
      </c>
      <c r="D1374" s="17" t="s">
        <v>151</v>
      </c>
    </row>
    <row r="1375" spans="1:4" s="17" customFormat="1" ht="12.75" x14ac:dyDescent="0.2">
      <c r="A1375" s="16">
        <v>228370</v>
      </c>
      <c r="B1375" s="12" t="s">
        <v>158</v>
      </c>
      <c r="C1375" s="17">
        <v>30</v>
      </c>
      <c r="D1375" s="17" t="s">
        <v>151</v>
      </c>
    </row>
    <row r="1376" spans="1:4" s="17" customFormat="1" ht="12.75" x14ac:dyDescent="0.2">
      <c r="A1376" s="16">
        <v>918180</v>
      </c>
      <c r="B1376" s="12" t="s">
        <v>149</v>
      </c>
      <c r="C1376" s="17">
        <v>4</v>
      </c>
      <c r="D1376" s="17" t="s">
        <v>152</v>
      </c>
    </row>
    <row r="1377" spans="1:26" s="17" customFormat="1" ht="12.75" x14ac:dyDescent="0.2">
      <c r="A1377" s="16">
        <v>918190</v>
      </c>
      <c r="B1377" s="16" t="s">
        <v>175</v>
      </c>
      <c r="C1377" s="17">
        <v>4</v>
      </c>
      <c r="D1377" s="17" t="s">
        <v>152</v>
      </c>
    </row>
    <row r="1378" spans="1:26" s="17" customFormat="1" ht="12.75" x14ac:dyDescent="0.2">
      <c r="A1378" s="16">
        <v>228130</v>
      </c>
      <c r="B1378" s="17" t="s">
        <v>147</v>
      </c>
      <c r="C1378" s="17">
        <v>10</v>
      </c>
      <c r="D1378" s="17" t="s">
        <v>153</v>
      </c>
    </row>
    <row r="1379" spans="1:26" s="17" customFormat="1" ht="12.75" x14ac:dyDescent="0.2">
      <c r="A1379" s="16">
        <v>228140</v>
      </c>
      <c r="B1379" s="12" t="s">
        <v>176</v>
      </c>
      <c r="C1379" s="17">
        <v>25</v>
      </c>
      <c r="D1379" s="17" t="s">
        <v>153</v>
      </c>
    </row>
    <row r="1380" spans="1:26" s="17" customFormat="1" ht="13.5" customHeight="1" x14ac:dyDescent="0.2">
      <c r="A1380" s="16">
        <v>438200</v>
      </c>
      <c r="B1380" s="12" t="s">
        <v>161</v>
      </c>
      <c r="C1380" s="17">
        <v>10</v>
      </c>
      <c r="D1380" s="17" t="s">
        <v>151</v>
      </c>
    </row>
    <row r="1381" spans="1:26" s="17" customFormat="1" ht="13.5" customHeight="1" x14ac:dyDescent="0.2">
      <c r="A1381" s="19">
        <v>708580</v>
      </c>
      <c r="B1381" s="20" t="s">
        <v>216</v>
      </c>
      <c r="C1381" s="17">
        <v>1</v>
      </c>
      <c r="D1381" s="17" t="s">
        <v>153</v>
      </c>
    </row>
    <row r="1382" spans="1:26" s="17" customFormat="1" ht="13.5" customHeight="1" x14ac:dyDescent="0.2">
      <c r="A1382" s="11">
        <v>109999</v>
      </c>
      <c r="B1382" s="11" t="s">
        <v>223</v>
      </c>
      <c r="C1382" s="17">
        <v>1</v>
      </c>
      <c r="D1382" s="17" t="s">
        <v>151</v>
      </c>
      <c r="E1382" s="17">
        <v>12000</v>
      </c>
    </row>
    <row r="1383" spans="1:26" x14ac:dyDescent="0.2">
      <c r="A1383" s="5" t="s">
        <v>115</v>
      </c>
      <c r="B1383" s="5" t="s">
        <v>102</v>
      </c>
      <c r="C1383">
        <v>1</v>
      </c>
      <c r="E1383">
        <v>0</v>
      </c>
      <c r="G1383">
        <v>0</v>
      </c>
      <c r="I1383">
        <v>3</v>
      </c>
      <c r="Y1383">
        <v>0</v>
      </c>
      <c r="Z1383" t="str">
        <f t="shared" si="57"/>
        <v>ש"ח</v>
      </c>
    </row>
    <row r="1384" spans="1:26" x14ac:dyDescent="0.2">
      <c r="A1384" s="19" t="str">
        <f>"150011290"</f>
        <v>150011290</v>
      </c>
      <c r="B1384" s="19" t="str">
        <f>"נורת ניאון אדומה 220"</f>
        <v>נורת ניאון אדומה 220</v>
      </c>
      <c r="C1384" s="17">
        <v>8</v>
      </c>
      <c r="D1384" s="17" t="s">
        <v>151</v>
      </c>
    </row>
    <row r="1385" spans="1:26" x14ac:dyDescent="0.2">
      <c r="A1385" s="19" t="str">
        <f>"150020002"</f>
        <v>150020002</v>
      </c>
      <c r="B1385" s="19" t="str">
        <f>"שקע כח ישראלי NEVE-"</f>
        <v>שקע כח ישראלי NEVE-</v>
      </c>
      <c r="C1385" s="17">
        <v>77</v>
      </c>
      <c r="D1385" s="17" t="s">
        <v>151</v>
      </c>
    </row>
    <row r="1386" spans="1:26" x14ac:dyDescent="0.2">
      <c r="A1386" s="19" t="str">
        <f>"150020004"</f>
        <v>150020004</v>
      </c>
      <c r="B1386" s="19" t="str">
        <f>"שקע טלפון NEVE-"</f>
        <v>שקע טלפון NEVE-</v>
      </c>
      <c r="C1386" s="17">
        <v>14</v>
      </c>
      <c r="D1386" s="17" t="s">
        <v>151</v>
      </c>
    </row>
    <row r="1387" spans="1:26" x14ac:dyDescent="0.2">
      <c r="A1387" s="19" t="str">
        <f>"150020014"</f>
        <v>150020014</v>
      </c>
      <c r="B1387" s="19" t="str">
        <f>"דמי NEVE-"</f>
        <v>דמי NEVE-</v>
      </c>
      <c r="C1387" s="17">
        <v>22</v>
      </c>
      <c r="D1387" s="17" t="s">
        <v>151</v>
      </c>
    </row>
    <row r="1388" spans="1:26" x14ac:dyDescent="0.2">
      <c r="A1388" s="19" t="str">
        <f>"150020023"</f>
        <v>150020023</v>
      </c>
      <c r="B1388" s="19" t="str">
        <f>"לחצן מואר NEVE-"</f>
        <v>לחצן מואר NEVE-</v>
      </c>
      <c r="C1388" s="17">
        <v>4</v>
      </c>
      <c r="D1388" s="17" t="s">
        <v>151</v>
      </c>
    </row>
    <row r="1389" spans="1:26" x14ac:dyDescent="0.2">
      <c r="A1389" s="19" t="str">
        <f>"150020024"</f>
        <v>150020024</v>
      </c>
      <c r="B1389" s="19" t="str">
        <f>"לחצן רחב 2 .NEVE-"</f>
        <v>לחצן רחב 2 .NEVE-</v>
      </c>
      <c r="C1389" s="17">
        <v>2</v>
      </c>
      <c r="D1389" s="17" t="s">
        <v>151</v>
      </c>
    </row>
    <row r="1390" spans="1:26" x14ac:dyDescent="0.2">
      <c r="A1390" s="19" t="str">
        <f>"150020029"</f>
        <v>150020029</v>
      </c>
      <c r="B1390" s="19" t="str">
        <f>"מסגרת 1 מודול NEVE-"</f>
        <v>מסגרת 1 מודול NEVE-</v>
      </c>
      <c r="C1390" s="17">
        <v>33</v>
      </c>
      <c r="D1390" s="17" t="s">
        <v>151</v>
      </c>
    </row>
    <row r="1391" spans="1:26" x14ac:dyDescent="0.2">
      <c r="A1391" s="19" t="str">
        <f>"150020036"</f>
        <v>150020036</v>
      </c>
      <c r="B1391" s="19" t="str">
        <f>"מסגרת 2 מודול NEVE-"</f>
        <v>מסגרת 2 מודול NEVE-</v>
      </c>
      <c r="C1391" s="17">
        <v>22</v>
      </c>
      <c r="D1391" s="17" t="s">
        <v>151</v>
      </c>
    </row>
    <row r="1392" spans="1:26" x14ac:dyDescent="0.2">
      <c r="A1392" s="19" t="str">
        <f>"150020041"</f>
        <v>150020041</v>
      </c>
      <c r="B1392" s="19" t="str">
        <f>"מסגרת 3 מודול NEVE-"</f>
        <v>מסגרת 3 מודול NEVE-</v>
      </c>
      <c r="C1392" s="17">
        <v>13</v>
      </c>
      <c r="D1392" s="17" t="s">
        <v>151</v>
      </c>
    </row>
    <row r="1393" spans="1:5" x14ac:dyDescent="0.2">
      <c r="A1393" s="19" t="str">
        <f>"150020045"</f>
        <v>150020045</v>
      </c>
      <c r="B1393" s="19" t="str">
        <f>"מסגרת 4 מודול NEVE-"</f>
        <v>מסגרת 4 מודול NEVE-</v>
      </c>
      <c r="C1393" s="17">
        <v>28</v>
      </c>
      <c r="D1393" s="17" t="s">
        <v>151</v>
      </c>
    </row>
    <row r="1394" spans="1:5" x14ac:dyDescent="0.2">
      <c r="A1394" s="19" t="str">
        <f>"150020059"</f>
        <v>150020059</v>
      </c>
      <c r="B1394" s="19" t="str">
        <f>"מפסק יחיד NEVE-"</f>
        <v>מפסק יחיד NEVE-</v>
      </c>
      <c r="C1394" s="17">
        <v>30</v>
      </c>
      <c r="D1394" s="17" t="s">
        <v>151</v>
      </c>
    </row>
    <row r="1395" spans="1:5" x14ac:dyDescent="0.2">
      <c r="A1395" s="19" t="str">
        <f>"150020061"</f>
        <v>150020061</v>
      </c>
      <c r="B1395" s="19" t="str">
        <f>"מפסק חיולף NEVE-"</f>
        <v>מפסק חיולף NEVE-</v>
      </c>
      <c r="C1395" s="17">
        <v>25</v>
      </c>
      <c r="D1395" s="17" t="s">
        <v>151</v>
      </c>
    </row>
    <row r="1396" spans="1:5" x14ac:dyDescent="0.2">
      <c r="A1396" s="19" t="str">
        <f>"150020063"</f>
        <v>150020063</v>
      </c>
      <c r="B1396" s="19" t="str">
        <f>"מפסק צלב NEVE-"</f>
        <v>מפסק צלב NEVE-</v>
      </c>
      <c r="C1396" s="17">
        <v>3</v>
      </c>
      <c r="D1396" s="17" t="s">
        <v>151</v>
      </c>
    </row>
    <row r="1397" spans="1:5" x14ac:dyDescent="0.2">
      <c r="A1397" s="19" t="str">
        <f>"150020068"</f>
        <v>150020068</v>
      </c>
      <c r="B1397" s="19" t="str">
        <f>"מתאם 2 מודול NEVE-"</f>
        <v>מתאם 2 מודול NEVE-</v>
      </c>
      <c r="C1397" s="17">
        <v>22</v>
      </c>
      <c r="D1397" s="17" t="s">
        <v>151</v>
      </c>
    </row>
    <row r="1398" spans="1:5" x14ac:dyDescent="0.2">
      <c r="A1398" s="19" t="str">
        <f>"150020069"</f>
        <v>150020069</v>
      </c>
      <c r="B1398" s="19" t="str">
        <f>"מתאם 3 מודול NEVE-"</f>
        <v>מתאם 3 מודול NEVE-</v>
      </c>
      <c r="C1398" s="17">
        <v>46</v>
      </c>
      <c r="D1398" s="17" t="s">
        <v>151</v>
      </c>
    </row>
    <row r="1399" spans="1:5" x14ac:dyDescent="0.2">
      <c r="A1399" s="19" t="str">
        <f>"150020070"</f>
        <v>150020070</v>
      </c>
      <c r="B1399" s="19" t="str">
        <f>"מתאם 4 מודול NEVE-"</f>
        <v>מתאם 4 מודול NEVE-</v>
      </c>
      <c r="C1399" s="17">
        <v>28</v>
      </c>
      <c r="D1399" s="17" t="s">
        <v>151</v>
      </c>
    </row>
    <row r="1400" spans="1:5" x14ac:dyDescent="0.2">
      <c r="A1400" s="19" t="str">
        <f>"150020090"</f>
        <v>150020090</v>
      </c>
      <c r="B1400" s="19" t="str">
        <f>"מפסק דוד NEVE-"</f>
        <v>מפסק דוד NEVE-</v>
      </c>
      <c r="C1400" s="17">
        <v>4</v>
      </c>
      <c r="D1400" s="17" t="s">
        <v>151</v>
      </c>
    </row>
    <row r="1401" spans="1:5" x14ac:dyDescent="0.2">
      <c r="A1401" s="19">
        <v>938140</v>
      </c>
      <c r="B1401" s="21" t="s">
        <v>217</v>
      </c>
      <c r="C1401" s="17">
        <v>10</v>
      </c>
      <c r="D1401" s="17" t="s">
        <v>151</v>
      </c>
    </row>
    <row r="1402" spans="1:5" x14ac:dyDescent="0.2">
      <c r="A1402" s="19">
        <v>938150</v>
      </c>
      <c r="B1402" s="21" t="s">
        <v>218</v>
      </c>
      <c r="C1402" s="17">
        <v>1</v>
      </c>
      <c r="D1402" s="17" t="s">
        <v>152</v>
      </c>
    </row>
    <row r="1403" spans="1:5" x14ac:dyDescent="0.2">
      <c r="A1403" s="19">
        <v>708370</v>
      </c>
      <c r="B1403" s="21" t="s">
        <v>219</v>
      </c>
      <c r="C1403" s="17">
        <v>2</v>
      </c>
      <c r="D1403" s="17" t="s">
        <v>153</v>
      </c>
    </row>
    <row r="1404" spans="1:5" x14ac:dyDescent="0.2">
      <c r="A1404" s="19">
        <v>378160</v>
      </c>
      <c r="B1404" s="21" t="s">
        <v>220</v>
      </c>
      <c r="C1404" s="17">
        <v>200</v>
      </c>
      <c r="D1404" s="17" t="s">
        <v>150</v>
      </c>
    </row>
    <row r="1405" spans="1:5" x14ac:dyDescent="0.2">
      <c r="A1405" s="19">
        <v>708470</v>
      </c>
      <c r="B1405" s="21" t="s">
        <v>221</v>
      </c>
      <c r="C1405" s="17">
        <v>6</v>
      </c>
      <c r="D1405" s="17" t="s">
        <v>153</v>
      </c>
    </row>
    <row r="1406" spans="1:5" x14ac:dyDescent="0.2">
      <c r="A1406" s="19">
        <v>628160</v>
      </c>
      <c r="B1406" s="21" t="s">
        <v>222</v>
      </c>
      <c r="C1406" s="17">
        <v>50</v>
      </c>
      <c r="D1406" s="17" t="s">
        <v>151</v>
      </c>
    </row>
    <row r="1407" spans="1:5" x14ac:dyDescent="0.2">
      <c r="A1407" s="11">
        <v>109999</v>
      </c>
      <c r="B1407" s="11" t="s">
        <v>223</v>
      </c>
      <c r="C1407" s="17">
        <v>1</v>
      </c>
      <c r="D1407" s="17" t="s">
        <v>151</v>
      </c>
      <c r="E1407" s="17">
        <v>8000</v>
      </c>
    </row>
    <row r="1408" spans="1:5" x14ac:dyDescent="0.2">
      <c r="A1408" s="11">
        <v>640000</v>
      </c>
      <c r="B1408" s="22" t="s">
        <v>224</v>
      </c>
      <c r="C1408">
        <v>1</v>
      </c>
      <c r="D1408" t="s">
        <v>151</v>
      </c>
      <c r="E1408">
        <v>6800</v>
      </c>
    </row>
    <row r="1409" spans="1:26" x14ac:dyDescent="0.2">
      <c r="A1409" s="11">
        <v>999999</v>
      </c>
      <c r="B1409" s="22" t="s">
        <v>225</v>
      </c>
      <c r="C1409">
        <v>1</v>
      </c>
      <c r="D1409" t="s">
        <v>226</v>
      </c>
      <c r="E1409">
        <v>1800</v>
      </c>
    </row>
    <row r="1410" spans="1:26" x14ac:dyDescent="0.2">
      <c r="A1410" s="5" t="s">
        <v>116</v>
      </c>
      <c r="B1410" s="5" t="s">
        <v>103</v>
      </c>
      <c r="C1410">
        <v>1</v>
      </c>
      <c r="E1410">
        <v>0</v>
      </c>
      <c r="G1410">
        <v>0</v>
      </c>
      <c r="I1410">
        <v>3</v>
      </c>
      <c r="Y1410">
        <v>0</v>
      </c>
      <c r="Z1410" t="str">
        <f t="shared" si="57"/>
        <v>ש"ח</v>
      </c>
    </row>
    <row r="1411" spans="1:26" ht="15" x14ac:dyDescent="0.2">
      <c r="A1411" s="6">
        <v>10.24</v>
      </c>
      <c r="B1411" s="6" t="s">
        <v>27</v>
      </c>
      <c r="C1411">
        <v>1</v>
      </c>
      <c r="E1411">
        <v>0</v>
      </c>
      <c r="G1411">
        <v>100</v>
      </c>
      <c r="I1411">
        <v>2</v>
      </c>
      <c r="Y1411">
        <v>0</v>
      </c>
      <c r="Z1411" t="str">
        <f t="shared" si="57"/>
        <v>ש"ח</v>
      </c>
    </row>
    <row r="1412" spans="1:26" x14ac:dyDescent="0.2">
      <c r="A1412" s="5" t="s">
        <v>117</v>
      </c>
      <c r="B1412" s="5" t="s">
        <v>100</v>
      </c>
      <c r="C1412">
        <v>1</v>
      </c>
      <c r="E1412">
        <v>0</v>
      </c>
      <c r="G1412">
        <v>0</v>
      </c>
      <c r="I1412">
        <v>3</v>
      </c>
      <c r="Y1412">
        <v>0</v>
      </c>
      <c r="Z1412" t="str">
        <f t="shared" si="57"/>
        <v>ש"ח</v>
      </c>
    </row>
    <row r="1413" spans="1:26" s="18" customFormat="1" ht="15" customHeight="1" x14ac:dyDescent="0.2">
      <c r="A1413" s="16">
        <v>218260</v>
      </c>
      <c r="B1413" s="12" t="s">
        <v>154</v>
      </c>
      <c r="C1413" s="17">
        <v>500</v>
      </c>
      <c r="D1413" s="17" t="s">
        <v>150</v>
      </c>
      <c r="Y1413" s="18">
        <f>C1413*E1413</f>
        <v>0</v>
      </c>
    </row>
    <row r="1414" spans="1:26" s="18" customFormat="1" ht="12.75" x14ac:dyDescent="0.2">
      <c r="A1414" s="16">
        <v>218270</v>
      </c>
      <c r="B1414" s="12" t="s">
        <v>155</v>
      </c>
      <c r="C1414" s="17">
        <v>100</v>
      </c>
      <c r="D1414" s="17" t="s">
        <v>150</v>
      </c>
      <c r="Y1414" s="18">
        <f>C1414*E1414</f>
        <v>0</v>
      </c>
    </row>
    <row r="1415" spans="1:26" s="18" customFormat="1" ht="12.75" x14ac:dyDescent="0.2">
      <c r="A1415" s="16">
        <v>218140</v>
      </c>
      <c r="B1415" s="17" t="s">
        <v>156</v>
      </c>
      <c r="C1415" s="17">
        <v>50</v>
      </c>
      <c r="D1415" s="17" t="s">
        <v>150</v>
      </c>
      <c r="Y1415" s="18">
        <f>C1415*E1415</f>
        <v>0</v>
      </c>
    </row>
    <row r="1416" spans="1:26" s="18" customFormat="1" ht="12.75" x14ac:dyDescent="0.2">
      <c r="A1416" s="16">
        <v>228130</v>
      </c>
      <c r="B1416" s="17" t="s">
        <v>147</v>
      </c>
      <c r="C1416" s="17">
        <v>10</v>
      </c>
      <c r="D1416" s="17" t="s">
        <v>151</v>
      </c>
    </row>
    <row r="1417" spans="1:26" s="18" customFormat="1" ht="12.75" x14ac:dyDescent="0.2">
      <c r="A1417" s="16">
        <v>228350</v>
      </c>
      <c r="B1417" s="12" t="s">
        <v>157</v>
      </c>
      <c r="C1417" s="17">
        <v>25</v>
      </c>
      <c r="D1417" s="17" t="s">
        <v>151</v>
      </c>
    </row>
    <row r="1418" spans="1:26" s="18" customFormat="1" ht="12.75" x14ac:dyDescent="0.2">
      <c r="A1418" s="16">
        <v>228370</v>
      </c>
      <c r="B1418" s="12" t="s">
        <v>158</v>
      </c>
      <c r="C1418" s="17">
        <v>30</v>
      </c>
      <c r="D1418" s="17" t="s">
        <v>151</v>
      </c>
    </row>
    <row r="1419" spans="1:26" s="18" customFormat="1" ht="12.75" x14ac:dyDescent="0.2">
      <c r="A1419" s="16">
        <v>798200</v>
      </c>
      <c r="B1419" s="16" t="s">
        <v>159</v>
      </c>
      <c r="C1419" s="17">
        <v>1</v>
      </c>
      <c r="D1419" s="17" t="s">
        <v>151</v>
      </c>
    </row>
    <row r="1420" spans="1:26" s="18" customFormat="1" ht="12.75" x14ac:dyDescent="0.2">
      <c r="A1420" s="16">
        <v>918140</v>
      </c>
      <c r="B1420" s="16" t="s">
        <v>160</v>
      </c>
      <c r="C1420" s="17">
        <v>100</v>
      </c>
      <c r="D1420" s="17" t="s">
        <v>151</v>
      </c>
    </row>
    <row r="1421" spans="1:26" s="9" customFormat="1" x14ac:dyDescent="0.2">
      <c r="A1421" s="11">
        <v>438200</v>
      </c>
      <c r="B1421" s="12" t="s">
        <v>161</v>
      </c>
      <c r="C1421" s="13">
        <v>5</v>
      </c>
      <c r="D1421" s="13" t="s">
        <v>150</v>
      </c>
    </row>
    <row r="1422" spans="1:26" s="9" customFormat="1" x14ac:dyDescent="0.2">
      <c r="A1422" s="11"/>
      <c r="B1422" s="12" t="s">
        <v>223</v>
      </c>
      <c r="C1422" s="17">
        <v>1</v>
      </c>
      <c r="D1422" s="17" t="s">
        <v>226</v>
      </c>
      <c r="E1422" s="9">
        <v>3000</v>
      </c>
    </row>
    <row r="1423" spans="1:26" x14ac:dyDescent="0.2">
      <c r="A1423" s="5" t="s">
        <v>212</v>
      </c>
      <c r="B1423" s="5" t="s">
        <v>101</v>
      </c>
      <c r="C1423">
        <v>1</v>
      </c>
      <c r="E1423">
        <v>0</v>
      </c>
      <c r="G1423">
        <v>0</v>
      </c>
      <c r="I1423">
        <v>3</v>
      </c>
      <c r="Y1423">
        <v>0</v>
      </c>
      <c r="Z1423" t="str">
        <f t="shared" si="57"/>
        <v>ש"ח</v>
      </c>
    </row>
    <row r="1424" spans="1:26" s="17" customFormat="1" ht="15" customHeight="1" x14ac:dyDescent="0.2">
      <c r="A1424" s="16">
        <v>218260</v>
      </c>
      <c r="B1424" s="12" t="s">
        <v>154</v>
      </c>
      <c r="C1424" s="17">
        <v>700</v>
      </c>
      <c r="D1424" s="17" t="s">
        <v>150</v>
      </c>
    </row>
    <row r="1425" spans="1:4" s="17" customFormat="1" ht="12.75" x14ac:dyDescent="0.2">
      <c r="A1425" s="16">
        <v>218290</v>
      </c>
      <c r="B1425" s="12" t="s">
        <v>162</v>
      </c>
      <c r="C1425" s="17">
        <v>800</v>
      </c>
      <c r="D1425" s="17" t="s">
        <v>150</v>
      </c>
    </row>
    <row r="1426" spans="1:4" s="17" customFormat="1" ht="12.75" x14ac:dyDescent="0.2">
      <c r="A1426" s="16">
        <v>218370</v>
      </c>
      <c r="B1426" s="12" t="s">
        <v>163</v>
      </c>
      <c r="C1426" s="17">
        <v>150</v>
      </c>
      <c r="D1426" s="17" t="s">
        <v>150</v>
      </c>
    </row>
    <row r="1427" spans="1:4" s="17" customFormat="1" ht="12.75" x14ac:dyDescent="0.2">
      <c r="A1427" s="16">
        <v>218340</v>
      </c>
      <c r="B1427" s="12" t="s">
        <v>164</v>
      </c>
      <c r="C1427" s="17">
        <v>150</v>
      </c>
      <c r="D1427" s="17" t="s">
        <v>150</v>
      </c>
    </row>
    <row r="1428" spans="1:4" s="17" customFormat="1" ht="12.75" x14ac:dyDescent="0.2">
      <c r="A1428" s="16">
        <v>218190</v>
      </c>
      <c r="B1428" s="12" t="s">
        <v>148</v>
      </c>
      <c r="C1428" s="17">
        <v>300</v>
      </c>
      <c r="D1428" s="17" t="s">
        <v>150</v>
      </c>
    </row>
    <row r="1429" spans="1:4" s="17" customFormat="1" ht="12.75" x14ac:dyDescent="0.2">
      <c r="A1429" s="16">
        <v>218300</v>
      </c>
      <c r="B1429" s="12" t="s">
        <v>165</v>
      </c>
      <c r="C1429" s="17">
        <v>50</v>
      </c>
      <c r="D1429" s="17" t="s">
        <v>150</v>
      </c>
    </row>
    <row r="1430" spans="1:4" s="17" customFormat="1" ht="12.75" x14ac:dyDescent="0.2">
      <c r="A1430" s="16">
        <v>368110</v>
      </c>
      <c r="B1430" s="12" t="s">
        <v>166</v>
      </c>
      <c r="C1430" s="17">
        <v>800</v>
      </c>
      <c r="D1430" s="17" t="s">
        <v>150</v>
      </c>
    </row>
    <row r="1431" spans="1:4" s="17" customFormat="1" ht="12.75" x14ac:dyDescent="0.2">
      <c r="A1431" s="16">
        <v>368120</v>
      </c>
      <c r="B1431" s="12" t="s">
        <v>167</v>
      </c>
      <c r="C1431" s="17">
        <v>800</v>
      </c>
      <c r="D1431" s="17" t="s">
        <v>150</v>
      </c>
    </row>
    <row r="1432" spans="1:4" s="17" customFormat="1" ht="12.75" x14ac:dyDescent="0.2">
      <c r="A1432" s="16">
        <v>368130</v>
      </c>
      <c r="B1432" s="12" t="s">
        <v>168</v>
      </c>
      <c r="C1432" s="17">
        <v>800</v>
      </c>
      <c r="D1432" s="17" t="s">
        <v>150</v>
      </c>
    </row>
    <row r="1433" spans="1:4" s="17" customFormat="1" ht="12.75" x14ac:dyDescent="0.2">
      <c r="A1433" s="16">
        <v>368140</v>
      </c>
      <c r="B1433" s="12" t="s">
        <v>169</v>
      </c>
      <c r="C1433" s="17">
        <v>800</v>
      </c>
      <c r="D1433" s="17" t="s">
        <v>150</v>
      </c>
    </row>
    <row r="1434" spans="1:4" s="17" customFormat="1" ht="12.75" x14ac:dyDescent="0.2">
      <c r="A1434" s="16">
        <v>368150</v>
      </c>
      <c r="B1434" s="12" t="s">
        <v>170</v>
      </c>
      <c r="C1434" s="17">
        <v>800</v>
      </c>
      <c r="D1434" s="17" t="s">
        <v>150</v>
      </c>
    </row>
    <row r="1435" spans="1:4" s="17" customFormat="1" ht="12.75" x14ac:dyDescent="0.2">
      <c r="A1435" s="16">
        <v>368160</v>
      </c>
      <c r="B1435" s="12" t="s">
        <v>171</v>
      </c>
      <c r="C1435" s="17">
        <v>700</v>
      </c>
      <c r="D1435" s="17" t="s">
        <v>150</v>
      </c>
    </row>
    <row r="1436" spans="1:4" s="17" customFormat="1" ht="12.75" x14ac:dyDescent="0.2">
      <c r="A1436" s="16">
        <v>368170</v>
      </c>
      <c r="B1436" s="12" t="s">
        <v>172</v>
      </c>
      <c r="C1436" s="17">
        <v>700</v>
      </c>
      <c r="D1436" s="17" t="s">
        <v>150</v>
      </c>
    </row>
    <row r="1437" spans="1:4" s="17" customFormat="1" ht="12.75" x14ac:dyDescent="0.2">
      <c r="A1437" s="16">
        <v>368180</v>
      </c>
      <c r="B1437" s="12" t="s">
        <v>173</v>
      </c>
      <c r="C1437" s="17">
        <v>700</v>
      </c>
      <c r="D1437" s="17" t="s">
        <v>150</v>
      </c>
    </row>
    <row r="1438" spans="1:4" s="17" customFormat="1" ht="12.75" x14ac:dyDescent="0.2">
      <c r="A1438" s="16">
        <v>378120</v>
      </c>
      <c r="B1438" s="12" t="s">
        <v>174</v>
      </c>
      <c r="C1438" s="17">
        <v>200</v>
      </c>
      <c r="D1438" s="17" t="s">
        <v>150</v>
      </c>
    </row>
    <row r="1439" spans="1:4" s="17" customFormat="1" ht="12.75" x14ac:dyDescent="0.2">
      <c r="A1439" s="16">
        <v>228350</v>
      </c>
      <c r="B1439" s="12" t="s">
        <v>157</v>
      </c>
      <c r="C1439" s="17">
        <v>60</v>
      </c>
      <c r="D1439" s="17" t="s">
        <v>151</v>
      </c>
    </row>
    <row r="1440" spans="1:4" s="17" customFormat="1" ht="12.75" x14ac:dyDescent="0.2">
      <c r="A1440" s="16">
        <v>228370</v>
      </c>
      <c r="B1440" s="12" t="s">
        <v>158</v>
      </c>
      <c r="C1440" s="17">
        <v>30</v>
      </c>
      <c r="D1440" s="17" t="s">
        <v>151</v>
      </c>
    </row>
    <row r="1441" spans="1:26" s="17" customFormat="1" ht="12.75" x14ac:dyDescent="0.2">
      <c r="A1441" s="16">
        <v>918180</v>
      </c>
      <c r="B1441" s="12" t="s">
        <v>149</v>
      </c>
      <c r="C1441" s="17">
        <v>4</v>
      </c>
      <c r="D1441" s="17" t="s">
        <v>152</v>
      </c>
    </row>
    <row r="1442" spans="1:26" s="17" customFormat="1" ht="12.75" x14ac:dyDescent="0.2">
      <c r="A1442" s="16">
        <v>918190</v>
      </c>
      <c r="B1442" s="16" t="s">
        <v>175</v>
      </c>
      <c r="C1442" s="17">
        <v>4</v>
      </c>
      <c r="D1442" s="17" t="s">
        <v>152</v>
      </c>
    </row>
    <row r="1443" spans="1:26" s="17" customFormat="1" ht="12.75" x14ac:dyDescent="0.2">
      <c r="A1443" s="16">
        <v>228130</v>
      </c>
      <c r="B1443" s="17" t="s">
        <v>147</v>
      </c>
      <c r="C1443" s="17">
        <v>10</v>
      </c>
      <c r="D1443" s="17" t="s">
        <v>153</v>
      </c>
    </row>
    <row r="1444" spans="1:26" s="17" customFormat="1" ht="12.75" x14ac:dyDescent="0.2">
      <c r="A1444" s="16">
        <v>228140</v>
      </c>
      <c r="B1444" s="12" t="s">
        <v>176</v>
      </c>
      <c r="C1444" s="17">
        <v>25</v>
      </c>
      <c r="D1444" s="17" t="s">
        <v>153</v>
      </c>
    </row>
    <row r="1445" spans="1:26" s="17" customFormat="1" ht="13.5" customHeight="1" x14ac:dyDescent="0.2">
      <c r="A1445" s="16">
        <v>438200</v>
      </c>
      <c r="B1445" s="12" t="s">
        <v>161</v>
      </c>
      <c r="C1445" s="17">
        <v>10</v>
      </c>
      <c r="D1445" s="17" t="s">
        <v>151</v>
      </c>
    </row>
    <row r="1446" spans="1:26" s="17" customFormat="1" ht="13.5" customHeight="1" x14ac:dyDescent="0.2">
      <c r="A1446" s="19">
        <v>708580</v>
      </c>
      <c r="B1446" s="20" t="s">
        <v>216</v>
      </c>
      <c r="C1446" s="17">
        <v>1</v>
      </c>
      <c r="D1446" s="17" t="s">
        <v>153</v>
      </c>
    </row>
    <row r="1447" spans="1:26" s="17" customFormat="1" ht="13.5" customHeight="1" x14ac:dyDescent="0.2">
      <c r="A1447" s="11">
        <v>109999</v>
      </c>
      <c r="B1447" s="11" t="s">
        <v>223</v>
      </c>
      <c r="C1447" s="17">
        <v>1</v>
      </c>
      <c r="D1447" s="17" t="s">
        <v>151</v>
      </c>
      <c r="E1447" s="17">
        <v>12000</v>
      </c>
    </row>
    <row r="1448" spans="1:26" x14ac:dyDescent="0.2">
      <c r="A1448" s="5" t="s">
        <v>213</v>
      </c>
      <c r="B1448" s="5" t="s">
        <v>102</v>
      </c>
      <c r="C1448">
        <v>1</v>
      </c>
      <c r="E1448">
        <v>0</v>
      </c>
      <c r="G1448">
        <v>0</v>
      </c>
      <c r="I1448">
        <v>3</v>
      </c>
      <c r="Y1448">
        <v>0</v>
      </c>
      <c r="Z1448" t="str">
        <f t="shared" si="57"/>
        <v>ש"ח</v>
      </c>
    </row>
    <row r="1449" spans="1:26" x14ac:dyDescent="0.2">
      <c r="A1449" s="19" t="str">
        <f>"150011290"</f>
        <v>150011290</v>
      </c>
      <c r="B1449" s="19" t="str">
        <f>"נורת ניאון אדומה 220"</f>
        <v>נורת ניאון אדומה 220</v>
      </c>
      <c r="C1449" s="17">
        <v>8</v>
      </c>
      <c r="D1449" s="17" t="s">
        <v>151</v>
      </c>
    </row>
    <row r="1450" spans="1:26" x14ac:dyDescent="0.2">
      <c r="A1450" s="19" t="str">
        <f>"150020002"</f>
        <v>150020002</v>
      </c>
      <c r="B1450" s="19" t="str">
        <f>"שקע כח ישראלי NEVE-"</f>
        <v>שקע כח ישראלי NEVE-</v>
      </c>
      <c r="C1450" s="17">
        <v>77</v>
      </c>
      <c r="D1450" s="17" t="s">
        <v>151</v>
      </c>
    </row>
    <row r="1451" spans="1:26" x14ac:dyDescent="0.2">
      <c r="A1451" s="19" t="str">
        <f>"150020004"</f>
        <v>150020004</v>
      </c>
      <c r="B1451" s="19" t="str">
        <f>"שקע טלפון NEVE-"</f>
        <v>שקע טלפון NEVE-</v>
      </c>
      <c r="C1451" s="17">
        <v>14</v>
      </c>
      <c r="D1451" s="17" t="s">
        <v>151</v>
      </c>
    </row>
    <row r="1452" spans="1:26" x14ac:dyDescent="0.2">
      <c r="A1452" s="19" t="str">
        <f>"150020014"</f>
        <v>150020014</v>
      </c>
      <c r="B1452" s="19" t="str">
        <f>"דמי NEVE-"</f>
        <v>דמי NEVE-</v>
      </c>
      <c r="C1452" s="17">
        <v>22</v>
      </c>
      <c r="D1452" s="17" t="s">
        <v>151</v>
      </c>
    </row>
    <row r="1453" spans="1:26" x14ac:dyDescent="0.2">
      <c r="A1453" s="19" t="str">
        <f>"150020023"</f>
        <v>150020023</v>
      </c>
      <c r="B1453" s="19" t="str">
        <f>"לחצן מואר NEVE-"</f>
        <v>לחצן מואר NEVE-</v>
      </c>
      <c r="C1453" s="17">
        <v>4</v>
      </c>
      <c r="D1453" s="17" t="s">
        <v>151</v>
      </c>
    </row>
    <row r="1454" spans="1:26" x14ac:dyDescent="0.2">
      <c r="A1454" s="19" t="str">
        <f>"150020024"</f>
        <v>150020024</v>
      </c>
      <c r="B1454" s="19" t="str">
        <f>"לחצן רחב 2 .NEVE-"</f>
        <v>לחצן רחב 2 .NEVE-</v>
      </c>
      <c r="C1454" s="17">
        <v>2</v>
      </c>
      <c r="D1454" s="17" t="s">
        <v>151</v>
      </c>
    </row>
    <row r="1455" spans="1:26" x14ac:dyDescent="0.2">
      <c r="A1455" s="19" t="str">
        <f>"150020029"</f>
        <v>150020029</v>
      </c>
      <c r="B1455" s="19" t="str">
        <f>"מסגרת 1 מודול NEVE-"</f>
        <v>מסגרת 1 מודול NEVE-</v>
      </c>
      <c r="C1455" s="17">
        <v>33</v>
      </c>
      <c r="D1455" s="17" t="s">
        <v>151</v>
      </c>
    </row>
    <row r="1456" spans="1:26" x14ac:dyDescent="0.2">
      <c r="A1456" s="19" t="str">
        <f>"150020036"</f>
        <v>150020036</v>
      </c>
      <c r="B1456" s="19" t="str">
        <f>"מסגרת 2 מודול NEVE-"</f>
        <v>מסגרת 2 מודול NEVE-</v>
      </c>
      <c r="C1456" s="17">
        <v>22</v>
      </c>
      <c r="D1456" s="17" t="s">
        <v>151</v>
      </c>
    </row>
    <row r="1457" spans="1:5" x14ac:dyDescent="0.2">
      <c r="A1457" s="19" t="str">
        <f>"150020041"</f>
        <v>150020041</v>
      </c>
      <c r="B1457" s="19" t="str">
        <f>"מסגרת 3 מודול NEVE-"</f>
        <v>מסגרת 3 מודול NEVE-</v>
      </c>
      <c r="C1457" s="17">
        <v>13</v>
      </c>
      <c r="D1457" s="17" t="s">
        <v>151</v>
      </c>
    </row>
    <row r="1458" spans="1:5" x14ac:dyDescent="0.2">
      <c r="A1458" s="19" t="str">
        <f>"150020045"</f>
        <v>150020045</v>
      </c>
      <c r="B1458" s="19" t="str">
        <f>"מסגרת 4 מודול NEVE-"</f>
        <v>מסגרת 4 מודול NEVE-</v>
      </c>
      <c r="C1458" s="17">
        <v>28</v>
      </c>
      <c r="D1458" s="17" t="s">
        <v>151</v>
      </c>
    </row>
    <row r="1459" spans="1:5" x14ac:dyDescent="0.2">
      <c r="A1459" s="19" t="str">
        <f>"150020059"</f>
        <v>150020059</v>
      </c>
      <c r="B1459" s="19" t="str">
        <f>"מפסק יחיד NEVE-"</f>
        <v>מפסק יחיד NEVE-</v>
      </c>
      <c r="C1459" s="17">
        <v>30</v>
      </c>
      <c r="D1459" s="17" t="s">
        <v>151</v>
      </c>
    </row>
    <row r="1460" spans="1:5" x14ac:dyDescent="0.2">
      <c r="A1460" s="19" t="str">
        <f>"150020061"</f>
        <v>150020061</v>
      </c>
      <c r="B1460" s="19" t="str">
        <f>"מפסק חיולף NEVE-"</f>
        <v>מפסק חיולף NEVE-</v>
      </c>
      <c r="C1460" s="17">
        <v>25</v>
      </c>
      <c r="D1460" s="17" t="s">
        <v>151</v>
      </c>
    </row>
    <row r="1461" spans="1:5" x14ac:dyDescent="0.2">
      <c r="A1461" s="19" t="str">
        <f>"150020063"</f>
        <v>150020063</v>
      </c>
      <c r="B1461" s="19" t="str">
        <f>"מפסק צלב NEVE-"</f>
        <v>מפסק צלב NEVE-</v>
      </c>
      <c r="C1461" s="17">
        <v>3</v>
      </c>
      <c r="D1461" s="17" t="s">
        <v>151</v>
      </c>
    </row>
    <row r="1462" spans="1:5" x14ac:dyDescent="0.2">
      <c r="A1462" s="19" t="str">
        <f>"150020068"</f>
        <v>150020068</v>
      </c>
      <c r="B1462" s="19" t="str">
        <f>"מתאם 2 מודול NEVE-"</f>
        <v>מתאם 2 מודול NEVE-</v>
      </c>
      <c r="C1462" s="17">
        <v>22</v>
      </c>
      <c r="D1462" s="17" t="s">
        <v>151</v>
      </c>
    </row>
    <row r="1463" spans="1:5" x14ac:dyDescent="0.2">
      <c r="A1463" s="19" t="str">
        <f>"150020069"</f>
        <v>150020069</v>
      </c>
      <c r="B1463" s="19" t="str">
        <f>"מתאם 3 מודול NEVE-"</f>
        <v>מתאם 3 מודול NEVE-</v>
      </c>
      <c r="C1463" s="17">
        <v>46</v>
      </c>
      <c r="D1463" s="17" t="s">
        <v>151</v>
      </c>
    </row>
    <row r="1464" spans="1:5" x14ac:dyDescent="0.2">
      <c r="A1464" s="19" t="str">
        <f>"150020070"</f>
        <v>150020070</v>
      </c>
      <c r="B1464" s="19" t="str">
        <f>"מתאם 4 מודול NEVE-"</f>
        <v>מתאם 4 מודול NEVE-</v>
      </c>
      <c r="C1464" s="17">
        <v>28</v>
      </c>
      <c r="D1464" s="17" t="s">
        <v>151</v>
      </c>
    </row>
    <row r="1465" spans="1:5" x14ac:dyDescent="0.2">
      <c r="A1465" s="19" t="str">
        <f>"150020090"</f>
        <v>150020090</v>
      </c>
      <c r="B1465" s="19" t="str">
        <f>"מפסק דוד NEVE-"</f>
        <v>מפסק דוד NEVE-</v>
      </c>
      <c r="C1465" s="17">
        <v>4</v>
      </c>
      <c r="D1465" s="17" t="s">
        <v>151</v>
      </c>
    </row>
    <row r="1466" spans="1:5" x14ac:dyDescent="0.2">
      <c r="A1466" s="19">
        <v>938140</v>
      </c>
      <c r="B1466" s="21" t="s">
        <v>217</v>
      </c>
      <c r="C1466" s="17">
        <v>10</v>
      </c>
      <c r="D1466" s="17" t="s">
        <v>151</v>
      </c>
    </row>
    <row r="1467" spans="1:5" x14ac:dyDescent="0.2">
      <c r="A1467" s="19">
        <v>938150</v>
      </c>
      <c r="B1467" s="21" t="s">
        <v>218</v>
      </c>
      <c r="C1467" s="17">
        <v>1</v>
      </c>
      <c r="D1467" s="17" t="s">
        <v>152</v>
      </c>
    </row>
    <row r="1468" spans="1:5" x14ac:dyDescent="0.2">
      <c r="A1468" s="19">
        <v>708370</v>
      </c>
      <c r="B1468" s="21" t="s">
        <v>219</v>
      </c>
      <c r="C1468" s="17">
        <v>2</v>
      </c>
      <c r="D1468" s="17" t="s">
        <v>153</v>
      </c>
    </row>
    <row r="1469" spans="1:5" x14ac:dyDescent="0.2">
      <c r="A1469" s="19">
        <v>378160</v>
      </c>
      <c r="B1469" s="21" t="s">
        <v>220</v>
      </c>
      <c r="C1469" s="17">
        <v>200</v>
      </c>
      <c r="D1469" s="17" t="s">
        <v>150</v>
      </c>
    </row>
    <row r="1470" spans="1:5" x14ac:dyDescent="0.2">
      <c r="A1470" s="19">
        <v>708470</v>
      </c>
      <c r="B1470" s="21" t="s">
        <v>221</v>
      </c>
      <c r="C1470" s="17">
        <v>6</v>
      </c>
      <c r="D1470" s="17" t="s">
        <v>153</v>
      </c>
    </row>
    <row r="1471" spans="1:5" x14ac:dyDescent="0.2">
      <c r="A1471" s="19">
        <v>628160</v>
      </c>
      <c r="B1471" s="21" t="s">
        <v>222</v>
      </c>
      <c r="C1471" s="17">
        <v>50</v>
      </c>
      <c r="D1471" s="17" t="s">
        <v>151</v>
      </c>
    </row>
    <row r="1472" spans="1:5" x14ac:dyDescent="0.2">
      <c r="A1472" s="11">
        <v>109999</v>
      </c>
      <c r="B1472" s="11" t="s">
        <v>223</v>
      </c>
      <c r="C1472" s="17">
        <v>1</v>
      </c>
      <c r="D1472" s="17" t="s">
        <v>151</v>
      </c>
      <c r="E1472" s="17">
        <v>8000</v>
      </c>
    </row>
    <row r="1473" spans="1:26" x14ac:dyDescent="0.2">
      <c r="A1473" s="11">
        <v>640000</v>
      </c>
      <c r="B1473" s="22" t="s">
        <v>224</v>
      </c>
      <c r="C1473">
        <v>1</v>
      </c>
      <c r="D1473" t="s">
        <v>151</v>
      </c>
      <c r="E1473">
        <v>6800</v>
      </c>
    </row>
    <row r="1474" spans="1:26" x14ac:dyDescent="0.2">
      <c r="A1474" s="11">
        <v>999999</v>
      </c>
      <c r="B1474" s="22" t="s">
        <v>225</v>
      </c>
      <c r="C1474">
        <v>1</v>
      </c>
      <c r="D1474" t="s">
        <v>226</v>
      </c>
      <c r="E1474">
        <v>1800</v>
      </c>
    </row>
    <row r="1475" spans="1:26" x14ac:dyDescent="0.2">
      <c r="A1475" s="5" t="s">
        <v>214</v>
      </c>
      <c r="B1475" s="5" t="s">
        <v>103</v>
      </c>
      <c r="C1475">
        <v>1</v>
      </c>
      <c r="E1475">
        <v>0</v>
      </c>
      <c r="G1475">
        <v>0</v>
      </c>
      <c r="I1475">
        <v>3</v>
      </c>
      <c r="Y1475">
        <v>0</v>
      </c>
      <c r="Z1475" t="str">
        <f t="shared" si="57"/>
        <v>ש"ח</v>
      </c>
    </row>
    <row r="1476" spans="1:26" ht="15" x14ac:dyDescent="0.2">
      <c r="A1476" s="6">
        <v>10.25</v>
      </c>
      <c r="B1476" s="6" t="s">
        <v>207</v>
      </c>
      <c r="C1476">
        <v>1</v>
      </c>
      <c r="E1476">
        <v>0</v>
      </c>
      <c r="G1476">
        <v>100</v>
      </c>
      <c r="I1476">
        <v>2</v>
      </c>
      <c r="Y1476">
        <v>0</v>
      </c>
      <c r="Z1476" t="str">
        <f t="shared" si="57"/>
        <v>ש"ח</v>
      </c>
    </row>
    <row r="1477" spans="1:26" x14ac:dyDescent="0.2">
      <c r="A1477" s="5" t="s">
        <v>208</v>
      </c>
      <c r="B1477" s="5" t="s">
        <v>100</v>
      </c>
      <c r="C1477">
        <v>1</v>
      </c>
      <c r="E1477">
        <v>0</v>
      </c>
      <c r="G1477">
        <v>0</v>
      </c>
      <c r="I1477">
        <v>3</v>
      </c>
      <c r="Y1477">
        <v>0</v>
      </c>
      <c r="Z1477" t="str">
        <f t="shared" si="57"/>
        <v>ש"ח</v>
      </c>
    </row>
    <row r="1478" spans="1:26" s="18" customFormat="1" ht="15" customHeight="1" x14ac:dyDescent="0.2">
      <c r="A1478" s="16">
        <v>218260</v>
      </c>
      <c r="B1478" s="12" t="s">
        <v>154</v>
      </c>
      <c r="C1478" s="17">
        <v>500</v>
      </c>
      <c r="D1478" s="17" t="s">
        <v>150</v>
      </c>
      <c r="Y1478" s="18">
        <f>C1478*E1478</f>
        <v>0</v>
      </c>
    </row>
    <row r="1479" spans="1:26" s="18" customFormat="1" ht="12.75" x14ac:dyDescent="0.2">
      <c r="A1479" s="16">
        <v>218270</v>
      </c>
      <c r="B1479" s="12" t="s">
        <v>155</v>
      </c>
      <c r="C1479" s="17">
        <v>100</v>
      </c>
      <c r="D1479" s="17" t="s">
        <v>150</v>
      </c>
      <c r="Y1479" s="18">
        <f>C1479*E1479</f>
        <v>0</v>
      </c>
    </row>
    <row r="1480" spans="1:26" s="18" customFormat="1" ht="12.75" x14ac:dyDescent="0.2">
      <c r="A1480" s="16">
        <v>218140</v>
      </c>
      <c r="B1480" s="17" t="s">
        <v>156</v>
      </c>
      <c r="C1480" s="17">
        <v>50</v>
      </c>
      <c r="D1480" s="17" t="s">
        <v>150</v>
      </c>
      <c r="Y1480" s="18">
        <f>C1480*E1480</f>
        <v>0</v>
      </c>
    </row>
    <row r="1481" spans="1:26" s="18" customFormat="1" ht="12.75" x14ac:dyDescent="0.2">
      <c r="A1481" s="16">
        <v>228130</v>
      </c>
      <c r="B1481" s="17" t="s">
        <v>147</v>
      </c>
      <c r="C1481" s="17">
        <v>10</v>
      </c>
      <c r="D1481" s="17" t="s">
        <v>151</v>
      </c>
    </row>
    <row r="1482" spans="1:26" s="18" customFormat="1" ht="12.75" x14ac:dyDescent="0.2">
      <c r="A1482" s="16">
        <v>228350</v>
      </c>
      <c r="B1482" s="12" t="s">
        <v>157</v>
      </c>
      <c r="C1482" s="17">
        <v>25</v>
      </c>
      <c r="D1482" s="17" t="s">
        <v>151</v>
      </c>
    </row>
    <row r="1483" spans="1:26" s="18" customFormat="1" ht="12.75" x14ac:dyDescent="0.2">
      <c r="A1483" s="16">
        <v>228370</v>
      </c>
      <c r="B1483" s="12" t="s">
        <v>158</v>
      </c>
      <c r="C1483" s="17">
        <v>30</v>
      </c>
      <c r="D1483" s="17" t="s">
        <v>151</v>
      </c>
    </row>
    <row r="1484" spans="1:26" s="18" customFormat="1" ht="12.75" x14ac:dyDescent="0.2">
      <c r="A1484" s="16">
        <v>798200</v>
      </c>
      <c r="B1484" s="16" t="s">
        <v>159</v>
      </c>
      <c r="C1484" s="17">
        <v>1</v>
      </c>
      <c r="D1484" s="17" t="s">
        <v>151</v>
      </c>
    </row>
    <row r="1485" spans="1:26" s="18" customFormat="1" ht="12.75" x14ac:dyDescent="0.2">
      <c r="A1485" s="16">
        <v>918140</v>
      </c>
      <c r="B1485" s="16" t="s">
        <v>160</v>
      </c>
      <c r="C1485" s="17">
        <v>100</v>
      </c>
      <c r="D1485" s="17" t="s">
        <v>151</v>
      </c>
    </row>
    <row r="1486" spans="1:26" s="9" customFormat="1" x14ac:dyDescent="0.2">
      <c r="A1486" s="11">
        <v>438200</v>
      </c>
      <c r="B1486" s="12" t="s">
        <v>161</v>
      </c>
      <c r="C1486" s="13">
        <v>5</v>
      </c>
      <c r="D1486" s="13" t="s">
        <v>150</v>
      </c>
    </row>
    <row r="1487" spans="1:26" s="9" customFormat="1" x14ac:dyDescent="0.2">
      <c r="A1487" s="11"/>
      <c r="B1487" s="12" t="s">
        <v>223</v>
      </c>
      <c r="C1487" s="17">
        <v>1</v>
      </c>
      <c r="D1487" s="17" t="s">
        <v>226</v>
      </c>
      <c r="E1487" s="9">
        <v>3000</v>
      </c>
    </row>
    <row r="1488" spans="1:26" x14ac:dyDescent="0.2">
      <c r="A1488" s="5" t="s">
        <v>209</v>
      </c>
      <c r="B1488" s="5" t="s">
        <v>101</v>
      </c>
      <c r="C1488">
        <v>1</v>
      </c>
      <c r="E1488">
        <v>0</v>
      </c>
      <c r="G1488">
        <v>0</v>
      </c>
      <c r="I1488">
        <v>3</v>
      </c>
      <c r="Y1488">
        <v>0</v>
      </c>
      <c r="Z1488" t="str">
        <f t="shared" si="57"/>
        <v>ש"ח</v>
      </c>
    </row>
    <row r="1489" spans="1:4" s="17" customFormat="1" ht="15" customHeight="1" x14ac:dyDescent="0.2">
      <c r="A1489" s="16">
        <v>218260</v>
      </c>
      <c r="B1489" s="12" t="s">
        <v>154</v>
      </c>
      <c r="C1489" s="17">
        <v>700</v>
      </c>
      <c r="D1489" s="17" t="s">
        <v>150</v>
      </c>
    </row>
    <row r="1490" spans="1:4" s="17" customFormat="1" ht="12.75" x14ac:dyDescent="0.2">
      <c r="A1490" s="16">
        <v>218290</v>
      </c>
      <c r="B1490" s="12" t="s">
        <v>162</v>
      </c>
      <c r="C1490" s="17">
        <v>800</v>
      </c>
      <c r="D1490" s="17" t="s">
        <v>150</v>
      </c>
    </row>
    <row r="1491" spans="1:4" s="17" customFormat="1" ht="12.75" x14ac:dyDescent="0.2">
      <c r="A1491" s="16">
        <v>218370</v>
      </c>
      <c r="B1491" s="12" t="s">
        <v>163</v>
      </c>
      <c r="C1491" s="17">
        <v>150</v>
      </c>
      <c r="D1491" s="17" t="s">
        <v>150</v>
      </c>
    </row>
    <row r="1492" spans="1:4" s="17" customFormat="1" ht="12.75" x14ac:dyDescent="0.2">
      <c r="A1492" s="16">
        <v>218340</v>
      </c>
      <c r="B1492" s="12" t="s">
        <v>164</v>
      </c>
      <c r="C1492" s="17">
        <v>150</v>
      </c>
      <c r="D1492" s="17" t="s">
        <v>150</v>
      </c>
    </row>
    <row r="1493" spans="1:4" s="17" customFormat="1" ht="12.75" x14ac:dyDescent="0.2">
      <c r="A1493" s="16">
        <v>218190</v>
      </c>
      <c r="B1493" s="12" t="s">
        <v>148</v>
      </c>
      <c r="C1493" s="17">
        <v>300</v>
      </c>
      <c r="D1493" s="17" t="s">
        <v>150</v>
      </c>
    </row>
    <row r="1494" spans="1:4" s="17" customFormat="1" ht="12.75" x14ac:dyDescent="0.2">
      <c r="A1494" s="16">
        <v>218300</v>
      </c>
      <c r="B1494" s="12" t="s">
        <v>165</v>
      </c>
      <c r="C1494" s="17">
        <v>50</v>
      </c>
      <c r="D1494" s="17" t="s">
        <v>150</v>
      </c>
    </row>
    <row r="1495" spans="1:4" s="17" customFormat="1" ht="12.75" x14ac:dyDescent="0.2">
      <c r="A1495" s="16">
        <v>368110</v>
      </c>
      <c r="B1495" s="12" t="s">
        <v>166</v>
      </c>
      <c r="C1495" s="17">
        <v>800</v>
      </c>
      <c r="D1495" s="17" t="s">
        <v>150</v>
      </c>
    </row>
    <row r="1496" spans="1:4" s="17" customFormat="1" ht="12.75" x14ac:dyDescent="0.2">
      <c r="A1496" s="16">
        <v>368120</v>
      </c>
      <c r="B1496" s="12" t="s">
        <v>167</v>
      </c>
      <c r="C1496" s="17">
        <v>800</v>
      </c>
      <c r="D1496" s="17" t="s">
        <v>150</v>
      </c>
    </row>
    <row r="1497" spans="1:4" s="17" customFormat="1" ht="12.75" x14ac:dyDescent="0.2">
      <c r="A1497" s="16">
        <v>368130</v>
      </c>
      <c r="B1497" s="12" t="s">
        <v>168</v>
      </c>
      <c r="C1497" s="17">
        <v>800</v>
      </c>
      <c r="D1497" s="17" t="s">
        <v>150</v>
      </c>
    </row>
    <row r="1498" spans="1:4" s="17" customFormat="1" ht="12.75" x14ac:dyDescent="0.2">
      <c r="A1498" s="16">
        <v>368140</v>
      </c>
      <c r="B1498" s="12" t="s">
        <v>169</v>
      </c>
      <c r="C1498" s="17">
        <v>800</v>
      </c>
      <c r="D1498" s="17" t="s">
        <v>150</v>
      </c>
    </row>
    <row r="1499" spans="1:4" s="17" customFormat="1" ht="12.75" x14ac:dyDescent="0.2">
      <c r="A1499" s="16">
        <v>368150</v>
      </c>
      <c r="B1499" s="12" t="s">
        <v>170</v>
      </c>
      <c r="C1499" s="17">
        <v>800</v>
      </c>
      <c r="D1499" s="17" t="s">
        <v>150</v>
      </c>
    </row>
    <row r="1500" spans="1:4" s="17" customFormat="1" ht="12.75" x14ac:dyDescent="0.2">
      <c r="A1500" s="16">
        <v>368160</v>
      </c>
      <c r="B1500" s="12" t="s">
        <v>171</v>
      </c>
      <c r="C1500" s="17">
        <v>700</v>
      </c>
      <c r="D1500" s="17" t="s">
        <v>150</v>
      </c>
    </row>
    <row r="1501" spans="1:4" s="17" customFormat="1" ht="12.75" x14ac:dyDescent="0.2">
      <c r="A1501" s="16">
        <v>368170</v>
      </c>
      <c r="B1501" s="12" t="s">
        <v>172</v>
      </c>
      <c r="C1501" s="17">
        <v>700</v>
      </c>
      <c r="D1501" s="17" t="s">
        <v>150</v>
      </c>
    </row>
    <row r="1502" spans="1:4" s="17" customFormat="1" ht="12.75" x14ac:dyDescent="0.2">
      <c r="A1502" s="16">
        <v>368180</v>
      </c>
      <c r="B1502" s="12" t="s">
        <v>173</v>
      </c>
      <c r="C1502" s="17">
        <v>700</v>
      </c>
      <c r="D1502" s="17" t="s">
        <v>150</v>
      </c>
    </row>
    <row r="1503" spans="1:4" s="17" customFormat="1" ht="12.75" x14ac:dyDescent="0.2">
      <c r="A1503" s="16">
        <v>378120</v>
      </c>
      <c r="B1503" s="12" t="s">
        <v>174</v>
      </c>
      <c r="C1503" s="17">
        <v>200</v>
      </c>
      <c r="D1503" s="17" t="s">
        <v>150</v>
      </c>
    </row>
    <row r="1504" spans="1:4" s="17" customFormat="1" ht="12.75" x14ac:dyDescent="0.2">
      <c r="A1504" s="16">
        <v>228350</v>
      </c>
      <c r="B1504" s="12" t="s">
        <v>157</v>
      </c>
      <c r="C1504" s="17">
        <v>60</v>
      </c>
      <c r="D1504" s="17" t="s">
        <v>151</v>
      </c>
    </row>
    <row r="1505" spans="1:26" s="17" customFormat="1" ht="12.75" x14ac:dyDescent="0.2">
      <c r="A1505" s="16">
        <v>228370</v>
      </c>
      <c r="B1505" s="12" t="s">
        <v>158</v>
      </c>
      <c r="C1505" s="17">
        <v>30</v>
      </c>
      <c r="D1505" s="17" t="s">
        <v>151</v>
      </c>
    </row>
    <row r="1506" spans="1:26" s="17" customFormat="1" ht="12.75" x14ac:dyDescent="0.2">
      <c r="A1506" s="16">
        <v>918180</v>
      </c>
      <c r="B1506" s="12" t="s">
        <v>149</v>
      </c>
      <c r="C1506" s="17">
        <v>4</v>
      </c>
      <c r="D1506" s="17" t="s">
        <v>152</v>
      </c>
    </row>
    <row r="1507" spans="1:26" s="17" customFormat="1" ht="12.75" x14ac:dyDescent="0.2">
      <c r="A1507" s="16">
        <v>918190</v>
      </c>
      <c r="B1507" s="16" t="s">
        <v>175</v>
      </c>
      <c r="C1507" s="17">
        <v>4</v>
      </c>
      <c r="D1507" s="17" t="s">
        <v>152</v>
      </c>
    </row>
    <row r="1508" spans="1:26" s="17" customFormat="1" ht="12.75" x14ac:dyDescent="0.2">
      <c r="A1508" s="16">
        <v>228130</v>
      </c>
      <c r="B1508" s="17" t="s">
        <v>147</v>
      </c>
      <c r="C1508" s="17">
        <v>10</v>
      </c>
      <c r="D1508" s="17" t="s">
        <v>153</v>
      </c>
    </row>
    <row r="1509" spans="1:26" s="17" customFormat="1" ht="12.75" x14ac:dyDescent="0.2">
      <c r="A1509" s="16">
        <v>228140</v>
      </c>
      <c r="B1509" s="12" t="s">
        <v>176</v>
      </c>
      <c r="C1509" s="17">
        <v>25</v>
      </c>
      <c r="D1509" s="17" t="s">
        <v>153</v>
      </c>
    </row>
    <row r="1510" spans="1:26" s="17" customFormat="1" ht="13.5" customHeight="1" x14ac:dyDescent="0.2">
      <c r="A1510" s="16">
        <v>438200</v>
      </c>
      <c r="B1510" s="12" t="s">
        <v>161</v>
      </c>
      <c r="C1510" s="17">
        <v>10</v>
      </c>
      <c r="D1510" s="17" t="s">
        <v>151</v>
      </c>
    </row>
    <row r="1511" spans="1:26" s="17" customFormat="1" ht="13.5" customHeight="1" x14ac:dyDescent="0.2">
      <c r="A1511" s="19">
        <v>708580</v>
      </c>
      <c r="B1511" s="20" t="s">
        <v>216</v>
      </c>
      <c r="C1511" s="17">
        <v>1</v>
      </c>
      <c r="D1511" s="17" t="s">
        <v>153</v>
      </c>
    </row>
    <row r="1512" spans="1:26" s="17" customFormat="1" ht="13.5" customHeight="1" x14ac:dyDescent="0.2">
      <c r="A1512" s="11">
        <v>109999</v>
      </c>
      <c r="B1512" s="11" t="s">
        <v>223</v>
      </c>
      <c r="C1512" s="17">
        <v>1</v>
      </c>
      <c r="D1512" s="17" t="s">
        <v>151</v>
      </c>
      <c r="E1512" s="17">
        <v>12000</v>
      </c>
    </row>
    <row r="1513" spans="1:26" x14ac:dyDescent="0.2">
      <c r="A1513" s="5" t="s">
        <v>210</v>
      </c>
      <c r="B1513" s="5" t="s">
        <v>102</v>
      </c>
      <c r="C1513">
        <v>1</v>
      </c>
      <c r="E1513">
        <v>0</v>
      </c>
      <c r="G1513">
        <v>0</v>
      </c>
      <c r="I1513">
        <v>3</v>
      </c>
      <c r="Y1513">
        <v>0</v>
      </c>
      <c r="Z1513" t="str">
        <f t="shared" si="57"/>
        <v>ש"ח</v>
      </c>
    </row>
    <row r="1514" spans="1:26" x14ac:dyDescent="0.2">
      <c r="A1514" s="19" t="str">
        <f>"150011290"</f>
        <v>150011290</v>
      </c>
      <c r="B1514" s="19" t="str">
        <f>"נורת ניאון אדומה 220"</f>
        <v>נורת ניאון אדומה 220</v>
      </c>
      <c r="C1514" s="17">
        <v>8</v>
      </c>
      <c r="D1514" s="17" t="s">
        <v>151</v>
      </c>
    </row>
    <row r="1515" spans="1:26" x14ac:dyDescent="0.2">
      <c r="A1515" s="19" t="str">
        <f>"150020002"</f>
        <v>150020002</v>
      </c>
      <c r="B1515" s="19" t="str">
        <f>"שקע כח ישראלי NEVE-"</f>
        <v>שקע כח ישראלי NEVE-</v>
      </c>
      <c r="C1515" s="17">
        <v>77</v>
      </c>
      <c r="D1515" s="17" t="s">
        <v>151</v>
      </c>
    </row>
    <row r="1516" spans="1:26" x14ac:dyDescent="0.2">
      <c r="A1516" s="19" t="str">
        <f>"150020004"</f>
        <v>150020004</v>
      </c>
      <c r="B1516" s="19" t="str">
        <f>"שקע טלפון NEVE-"</f>
        <v>שקע טלפון NEVE-</v>
      </c>
      <c r="C1516" s="17">
        <v>14</v>
      </c>
      <c r="D1516" s="17" t="s">
        <v>151</v>
      </c>
    </row>
    <row r="1517" spans="1:26" x14ac:dyDescent="0.2">
      <c r="A1517" s="19" t="str">
        <f>"150020014"</f>
        <v>150020014</v>
      </c>
      <c r="B1517" s="19" t="str">
        <f>"דמי NEVE-"</f>
        <v>דמי NEVE-</v>
      </c>
      <c r="C1517" s="17">
        <v>22</v>
      </c>
      <c r="D1517" s="17" t="s">
        <v>151</v>
      </c>
    </row>
    <row r="1518" spans="1:26" x14ac:dyDescent="0.2">
      <c r="A1518" s="19" t="str">
        <f>"150020023"</f>
        <v>150020023</v>
      </c>
      <c r="B1518" s="19" t="str">
        <f>"לחצן מואר NEVE-"</f>
        <v>לחצן מואר NEVE-</v>
      </c>
      <c r="C1518" s="17">
        <v>4</v>
      </c>
      <c r="D1518" s="17" t="s">
        <v>151</v>
      </c>
    </row>
    <row r="1519" spans="1:26" x14ac:dyDescent="0.2">
      <c r="A1519" s="19" t="str">
        <f>"150020024"</f>
        <v>150020024</v>
      </c>
      <c r="B1519" s="19" t="str">
        <f>"לחצן רחב 2 .NEVE-"</f>
        <v>לחצן רחב 2 .NEVE-</v>
      </c>
      <c r="C1519" s="17">
        <v>2</v>
      </c>
      <c r="D1519" s="17" t="s">
        <v>151</v>
      </c>
    </row>
    <row r="1520" spans="1:26" x14ac:dyDescent="0.2">
      <c r="A1520" s="19" t="str">
        <f>"150020029"</f>
        <v>150020029</v>
      </c>
      <c r="B1520" s="19" t="str">
        <f>"מסגרת 1 מודול NEVE-"</f>
        <v>מסגרת 1 מודול NEVE-</v>
      </c>
      <c r="C1520" s="17">
        <v>33</v>
      </c>
      <c r="D1520" s="17" t="s">
        <v>151</v>
      </c>
    </row>
    <row r="1521" spans="1:4" x14ac:dyDescent="0.2">
      <c r="A1521" s="19" t="str">
        <f>"150020036"</f>
        <v>150020036</v>
      </c>
      <c r="B1521" s="19" t="str">
        <f>"מסגרת 2 מודול NEVE-"</f>
        <v>מסגרת 2 מודול NEVE-</v>
      </c>
      <c r="C1521" s="17">
        <v>22</v>
      </c>
      <c r="D1521" s="17" t="s">
        <v>151</v>
      </c>
    </row>
    <row r="1522" spans="1:4" x14ac:dyDescent="0.2">
      <c r="A1522" s="19" t="str">
        <f>"150020041"</f>
        <v>150020041</v>
      </c>
      <c r="B1522" s="19" t="str">
        <f>"מסגרת 3 מודול NEVE-"</f>
        <v>מסגרת 3 מודול NEVE-</v>
      </c>
      <c r="C1522" s="17">
        <v>13</v>
      </c>
      <c r="D1522" s="17" t="s">
        <v>151</v>
      </c>
    </row>
    <row r="1523" spans="1:4" x14ac:dyDescent="0.2">
      <c r="A1523" s="19" t="str">
        <f>"150020045"</f>
        <v>150020045</v>
      </c>
      <c r="B1523" s="19" t="str">
        <f>"מסגרת 4 מודול NEVE-"</f>
        <v>מסגרת 4 מודול NEVE-</v>
      </c>
      <c r="C1523" s="17">
        <v>28</v>
      </c>
      <c r="D1523" s="17" t="s">
        <v>151</v>
      </c>
    </row>
    <row r="1524" spans="1:4" x14ac:dyDescent="0.2">
      <c r="A1524" s="19" t="str">
        <f>"150020059"</f>
        <v>150020059</v>
      </c>
      <c r="B1524" s="19" t="str">
        <f>"מפסק יחיד NEVE-"</f>
        <v>מפסק יחיד NEVE-</v>
      </c>
      <c r="C1524" s="17">
        <v>30</v>
      </c>
      <c r="D1524" s="17" t="s">
        <v>151</v>
      </c>
    </row>
    <row r="1525" spans="1:4" x14ac:dyDescent="0.2">
      <c r="A1525" s="19" t="str">
        <f>"150020061"</f>
        <v>150020061</v>
      </c>
      <c r="B1525" s="19" t="str">
        <f>"מפסק חיולף NEVE-"</f>
        <v>מפסק חיולף NEVE-</v>
      </c>
      <c r="C1525" s="17">
        <v>25</v>
      </c>
      <c r="D1525" s="17" t="s">
        <v>151</v>
      </c>
    </row>
    <row r="1526" spans="1:4" x14ac:dyDescent="0.2">
      <c r="A1526" s="19" t="str">
        <f>"150020063"</f>
        <v>150020063</v>
      </c>
      <c r="B1526" s="19" t="str">
        <f>"מפסק צלב NEVE-"</f>
        <v>מפסק צלב NEVE-</v>
      </c>
      <c r="C1526" s="17">
        <v>3</v>
      </c>
      <c r="D1526" s="17" t="s">
        <v>151</v>
      </c>
    </row>
    <row r="1527" spans="1:4" x14ac:dyDescent="0.2">
      <c r="A1527" s="19" t="str">
        <f>"150020068"</f>
        <v>150020068</v>
      </c>
      <c r="B1527" s="19" t="str">
        <f>"מתאם 2 מודול NEVE-"</f>
        <v>מתאם 2 מודול NEVE-</v>
      </c>
      <c r="C1527" s="17">
        <v>22</v>
      </c>
      <c r="D1527" s="17" t="s">
        <v>151</v>
      </c>
    </row>
    <row r="1528" spans="1:4" x14ac:dyDescent="0.2">
      <c r="A1528" s="19" t="str">
        <f>"150020069"</f>
        <v>150020069</v>
      </c>
      <c r="B1528" s="19" t="str">
        <f>"מתאם 3 מודול NEVE-"</f>
        <v>מתאם 3 מודול NEVE-</v>
      </c>
      <c r="C1528" s="17">
        <v>46</v>
      </c>
      <c r="D1528" s="17" t="s">
        <v>151</v>
      </c>
    </row>
    <row r="1529" spans="1:4" x14ac:dyDescent="0.2">
      <c r="A1529" s="19" t="str">
        <f>"150020070"</f>
        <v>150020070</v>
      </c>
      <c r="B1529" s="19" t="str">
        <f>"מתאם 4 מודול NEVE-"</f>
        <v>מתאם 4 מודול NEVE-</v>
      </c>
      <c r="C1529" s="17">
        <v>28</v>
      </c>
      <c r="D1529" s="17" t="s">
        <v>151</v>
      </c>
    </row>
    <row r="1530" spans="1:4" x14ac:dyDescent="0.2">
      <c r="A1530" s="19" t="str">
        <f>"150020090"</f>
        <v>150020090</v>
      </c>
      <c r="B1530" s="19" t="str">
        <f>"מפסק דוד NEVE-"</f>
        <v>מפסק דוד NEVE-</v>
      </c>
      <c r="C1530" s="17">
        <v>4</v>
      </c>
      <c r="D1530" s="17" t="s">
        <v>151</v>
      </c>
    </row>
    <row r="1531" spans="1:4" x14ac:dyDescent="0.2">
      <c r="A1531" s="19">
        <v>938140</v>
      </c>
      <c r="B1531" s="21" t="s">
        <v>217</v>
      </c>
      <c r="C1531" s="17">
        <v>10</v>
      </c>
      <c r="D1531" s="17" t="s">
        <v>151</v>
      </c>
    </row>
    <row r="1532" spans="1:4" x14ac:dyDescent="0.2">
      <c r="A1532" s="19">
        <v>938150</v>
      </c>
      <c r="B1532" s="21" t="s">
        <v>218</v>
      </c>
      <c r="C1532" s="17">
        <v>1</v>
      </c>
      <c r="D1532" s="17" t="s">
        <v>152</v>
      </c>
    </row>
    <row r="1533" spans="1:4" x14ac:dyDescent="0.2">
      <c r="A1533" s="19">
        <v>708370</v>
      </c>
      <c r="B1533" s="21" t="s">
        <v>219</v>
      </c>
      <c r="C1533" s="17">
        <v>2</v>
      </c>
      <c r="D1533" s="17" t="s">
        <v>153</v>
      </c>
    </row>
    <row r="1534" spans="1:4" x14ac:dyDescent="0.2">
      <c r="A1534" s="19">
        <v>378160</v>
      </c>
      <c r="B1534" s="21" t="s">
        <v>220</v>
      </c>
      <c r="C1534" s="17">
        <v>200</v>
      </c>
      <c r="D1534" s="17" t="s">
        <v>150</v>
      </c>
    </row>
    <row r="1535" spans="1:4" x14ac:dyDescent="0.2">
      <c r="A1535" s="19">
        <v>708470</v>
      </c>
      <c r="B1535" s="21" t="s">
        <v>221</v>
      </c>
      <c r="C1535" s="17">
        <v>6</v>
      </c>
      <c r="D1535" s="17" t="s">
        <v>153</v>
      </c>
    </row>
    <row r="1536" spans="1:4" x14ac:dyDescent="0.2">
      <c r="A1536" s="19">
        <v>628160</v>
      </c>
      <c r="B1536" s="21" t="s">
        <v>222</v>
      </c>
      <c r="C1536" s="17">
        <v>50</v>
      </c>
      <c r="D1536" s="17" t="s">
        <v>151</v>
      </c>
    </row>
    <row r="1537" spans="1:26" x14ac:dyDescent="0.2">
      <c r="A1537" s="11">
        <v>109999</v>
      </c>
      <c r="B1537" s="11" t="s">
        <v>223</v>
      </c>
      <c r="C1537" s="17">
        <v>1</v>
      </c>
      <c r="D1537" s="17" t="s">
        <v>151</v>
      </c>
      <c r="E1537" s="17">
        <v>8000</v>
      </c>
    </row>
    <row r="1538" spans="1:26" x14ac:dyDescent="0.2">
      <c r="A1538" s="11">
        <v>640000</v>
      </c>
      <c r="B1538" s="22" t="s">
        <v>224</v>
      </c>
      <c r="C1538">
        <v>1</v>
      </c>
      <c r="D1538" t="s">
        <v>151</v>
      </c>
      <c r="E1538">
        <v>6800</v>
      </c>
    </row>
    <row r="1539" spans="1:26" x14ac:dyDescent="0.2">
      <c r="A1539" s="11">
        <v>999999</v>
      </c>
      <c r="B1539" s="22" t="s">
        <v>225</v>
      </c>
      <c r="C1539">
        <v>1</v>
      </c>
      <c r="D1539" t="s">
        <v>226</v>
      </c>
      <c r="E1539">
        <v>1800</v>
      </c>
    </row>
    <row r="1540" spans="1:26" x14ac:dyDescent="0.2">
      <c r="A1540" s="5" t="s">
        <v>211</v>
      </c>
      <c r="B1540" s="5" t="s">
        <v>103</v>
      </c>
      <c r="C1540">
        <v>1</v>
      </c>
      <c r="E1540">
        <v>0</v>
      </c>
      <c r="G1540">
        <v>0</v>
      </c>
      <c r="I1540">
        <v>3</v>
      </c>
      <c r="Y1540">
        <v>0</v>
      </c>
      <c r="Z1540" t="str">
        <f t="shared" si="57"/>
        <v>ש"ח</v>
      </c>
    </row>
    <row r="1541" spans="1:26" ht="15" x14ac:dyDescent="0.2">
      <c r="A1541" s="6">
        <v>10.26</v>
      </c>
      <c r="B1541" s="6" t="s">
        <v>215</v>
      </c>
      <c r="C1541">
        <v>1</v>
      </c>
      <c r="E1541">
        <v>0</v>
      </c>
      <c r="G1541">
        <v>100</v>
      </c>
      <c r="I1541">
        <v>2</v>
      </c>
      <c r="Y1541">
        <v>0</v>
      </c>
      <c r="Z1541" t="str">
        <f t="shared" si="57"/>
        <v>ש"ח</v>
      </c>
    </row>
    <row r="1542" spans="1:26" x14ac:dyDescent="0.2">
      <c r="A1542" s="5" t="s">
        <v>118</v>
      </c>
      <c r="B1542" s="5" t="s">
        <v>100</v>
      </c>
      <c r="C1542">
        <v>1</v>
      </c>
      <c r="E1542">
        <v>0</v>
      </c>
      <c r="G1542">
        <v>0</v>
      </c>
      <c r="I1542">
        <v>3</v>
      </c>
      <c r="Y1542">
        <v>0</v>
      </c>
      <c r="Z1542" t="str">
        <f t="shared" si="57"/>
        <v>ש"ח</v>
      </c>
    </row>
    <row r="1543" spans="1:26" s="18" customFormat="1" ht="15" customHeight="1" x14ac:dyDescent="0.2">
      <c r="A1543" s="16">
        <v>218260</v>
      </c>
      <c r="B1543" s="12" t="s">
        <v>154</v>
      </c>
      <c r="C1543" s="17">
        <v>500</v>
      </c>
      <c r="D1543" s="17" t="s">
        <v>150</v>
      </c>
      <c r="Y1543" s="18">
        <f>C1543*E1543</f>
        <v>0</v>
      </c>
    </row>
    <row r="1544" spans="1:26" s="18" customFormat="1" ht="12.75" x14ac:dyDescent="0.2">
      <c r="A1544" s="16">
        <v>218270</v>
      </c>
      <c r="B1544" s="12" t="s">
        <v>155</v>
      </c>
      <c r="C1544" s="17">
        <v>100</v>
      </c>
      <c r="D1544" s="17" t="s">
        <v>150</v>
      </c>
      <c r="Y1544" s="18">
        <f>C1544*E1544</f>
        <v>0</v>
      </c>
    </row>
    <row r="1545" spans="1:26" s="18" customFormat="1" ht="12.75" x14ac:dyDescent="0.2">
      <c r="A1545" s="16">
        <v>218140</v>
      </c>
      <c r="B1545" s="17" t="s">
        <v>156</v>
      </c>
      <c r="C1545" s="17">
        <v>50</v>
      </c>
      <c r="D1545" s="17" t="s">
        <v>150</v>
      </c>
      <c r="Y1545" s="18">
        <f>C1545*E1545</f>
        <v>0</v>
      </c>
    </row>
    <row r="1546" spans="1:26" s="18" customFormat="1" ht="12.75" x14ac:dyDescent="0.2">
      <c r="A1546" s="16">
        <v>228130</v>
      </c>
      <c r="B1546" s="17" t="s">
        <v>147</v>
      </c>
      <c r="C1546" s="17">
        <v>10</v>
      </c>
      <c r="D1546" s="17" t="s">
        <v>151</v>
      </c>
    </row>
    <row r="1547" spans="1:26" s="18" customFormat="1" ht="12.75" x14ac:dyDescent="0.2">
      <c r="A1547" s="16">
        <v>228350</v>
      </c>
      <c r="B1547" s="12" t="s">
        <v>157</v>
      </c>
      <c r="C1547" s="17">
        <v>25</v>
      </c>
      <c r="D1547" s="17" t="s">
        <v>151</v>
      </c>
    </row>
    <row r="1548" spans="1:26" s="18" customFormat="1" ht="12.75" x14ac:dyDescent="0.2">
      <c r="A1548" s="16">
        <v>228370</v>
      </c>
      <c r="B1548" s="12" t="s">
        <v>158</v>
      </c>
      <c r="C1548" s="17">
        <v>30</v>
      </c>
      <c r="D1548" s="17" t="s">
        <v>151</v>
      </c>
    </row>
    <row r="1549" spans="1:26" s="18" customFormat="1" ht="12.75" x14ac:dyDescent="0.2">
      <c r="A1549" s="16">
        <v>798200</v>
      </c>
      <c r="B1549" s="16" t="s">
        <v>159</v>
      </c>
      <c r="C1549" s="17">
        <v>1</v>
      </c>
      <c r="D1549" s="17" t="s">
        <v>151</v>
      </c>
    </row>
    <row r="1550" spans="1:26" s="18" customFormat="1" ht="12.75" x14ac:dyDescent="0.2">
      <c r="A1550" s="16">
        <v>918140</v>
      </c>
      <c r="B1550" s="16" t="s">
        <v>160</v>
      </c>
      <c r="C1550" s="17">
        <v>100</v>
      </c>
      <c r="D1550" s="17" t="s">
        <v>151</v>
      </c>
    </row>
    <row r="1551" spans="1:26" s="9" customFormat="1" x14ac:dyDescent="0.2">
      <c r="A1551" s="11">
        <v>438200</v>
      </c>
      <c r="B1551" s="12" t="s">
        <v>161</v>
      </c>
      <c r="C1551" s="13">
        <v>5</v>
      </c>
      <c r="D1551" s="13" t="s">
        <v>150</v>
      </c>
    </row>
    <row r="1552" spans="1:26" s="9" customFormat="1" x14ac:dyDescent="0.2">
      <c r="A1552" s="11"/>
      <c r="B1552" s="12" t="s">
        <v>223</v>
      </c>
      <c r="C1552" s="17">
        <v>1</v>
      </c>
      <c r="D1552" s="17" t="s">
        <v>226</v>
      </c>
      <c r="E1552" s="9">
        <v>3000</v>
      </c>
    </row>
    <row r="1553" spans="1:26" x14ac:dyDescent="0.2">
      <c r="A1553" s="5" t="s">
        <v>119</v>
      </c>
      <c r="B1553" s="5" t="s">
        <v>101</v>
      </c>
      <c r="C1553">
        <v>1</v>
      </c>
      <c r="E1553">
        <v>0</v>
      </c>
      <c r="G1553">
        <v>0</v>
      </c>
      <c r="I1553">
        <v>3</v>
      </c>
      <c r="Y1553">
        <v>0</v>
      </c>
      <c r="Z1553" t="str">
        <f t="shared" si="57"/>
        <v>ש"ח</v>
      </c>
    </row>
    <row r="1554" spans="1:26" s="17" customFormat="1" ht="15" customHeight="1" x14ac:dyDescent="0.2">
      <c r="A1554" s="16">
        <v>218260</v>
      </c>
      <c r="B1554" s="12" t="s">
        <v>154</v>
      </c>
      <c r="C1554" s="17">
        <v>700</v>
      </c>
      <c r="D1554" s="17" t="s">
        <v>150</v>
      </c>
    </row>
    <row r="1555" spans="1:26" s="17" customFormat="1" ht="12.75" x14ac:dyDescent="0.2">
      <c r="A1555" s="16">
        <v>218290</v>
      </c>
      <c r="B1555" s="12" t="s">
        <v>162</v>
      </c>
      <c r="C1555" s="17">
        <v>800</v>
      </c>
      <c r="D1555" s="17" t="s">
        <v>150</v>
      </c>
    </row>
    <row r="1556" spans="1:26" s="17" customFormat="1" ht="12.75" x14ac:dyDescent="0.2">
      <c r="A1556" s="16">
        <v>218370</v>
      </c>
      <c r="B1556" s="12" t="s">
        <v>163</v>
      </c>
      <c r="C1556" s="17">
        <v>150</v>
      </c>
      <c r="D1556" s="17" t="s">
        <v>150</v>
      </c>
    </row>
    <row r="1557" spans="1:26" s="17" customFormat="1" ht="12.75" x14ac:dyDescent="0.2">
      <c r="A1557" s="16">
        <v>218340</v>
      </c>
      <c r="B1557" s="12" t="s">
        <v>164</v>
      </c>
      <c r="C1557" s="17">
        <v>150</v>
      </c>
      <c r="D1557" s="17" t="s">
        <v>150</v>
      </c>
    </row>
    <row r="1558" spans="1:26" s="17" customFormat="1" ht="12.75" x14ac:dyDescent="0.2">
      <c r="A1558" s="16">
        <v>218190</v>
      </c>
      <c r="B1558" s="12" t="s">
        <v>148</v>
      </c>
      <c r="C1558" s="17">
        <v>300</v>
      </c>
      <c r="D1558" s="17" t="s">
        <v>150</v>
      </c>
    </row>
    <row r="1559" spans="1:26" s="17" customFormat="1" ht="12.75" x14ac:dyDescent="0.2">
      <c r="A1559" s="16">
        <v>218300</v>
      </c>
      <c r="B1559" s="12" t="s">
        <v>165</v>
      </c>
      <c r="C1559" s="17">
        <v>50</v>
      </c>
      <c r="D1559" s="17" t="s">
        <v>150</v>
      </c>
    </row>
    <row r="1560" spans="1:26" s="17" customFormat="1" ht="12.75" x14ac:dyDescent="0.2">
      <c r="A1560" s="16">
        <v>368110</v>
      </c>
      <c r="B1560" s="12" t="s">
        <v>166</v>
      </c>
      <c r="C1560" s="17">
        <v>800</v>
      </c>
      <c r="D1560" s="17" t="s">
        <v>150</v>
      </c>
    </row>
    <row r="1561" spans="1:26" s="17" customFormat="1" ht="12.75" x14ac:dyDescent="0.2">
      <c r="A1561" s="16">
        <v>368120</v>
      </c>
      <c r="B1561" s="12" t="s">
        <v>167</v>
      </c>
      <c r="C1561" s="17">
        <v>800</v>
      </c>
      <c r="D1561" s="17" t="s">
        <v>150</v>
      </c>
    </row>
    <row r="1562" spans="1:26" s="17" customFormat="1" ht="12.75" x14ac:dyDescent="0.2">
      <c r="A1562" s="16">
        <v>368130</v>
      </c>
      <c r="B1562" s="12" t="s">
        <v>168</v>
      </c>
      <c r="C1562" s="17">
        <v>800</v>
      </c>
      <c r="D1562" s="17" t="s">
        <v>150</v>
      </c>
    </row>
    <row r="1563" spans="1:26" s="17" customFormat="1" ht="12.75" x14ac:dyDescent="0.2">
      <c r="A1563" s="16">
        <v>368140</v>
      </c>
      <c r="B1563" s="12" t="s">
        <v>169</v>
      </c>
      <c r="C1563" s="17">
        <v>800</v>
      </c>
      <c r="D1563" s="17" t="s">
        <v>150</v>
      </c>
    </row>
    <row r="1564" spans="1:26" s="17" customFormat="1" ht="12.75" x14ac:dyDescent="0.2">
      <c r="A1564" s="16">
        <v>368150</v>
      </c>
      <c r="B1564" s="12" t="s">
        <v>170</v>
      </c>
      <c r="C1564" s="17">
        <v>800</v>
      </c>
      <c r="D1564" s="17" t="s">
        <v>150</v>
      </c>
    </row>
    <row r="1565" spans="1:26" s="17" customFormat="1" ht="12.75" x14ac:dyDescent="0.2">
      <c r="A1565" s="16">
        <v>368160</v>
      </c>
      <c r="B1565" s="12" t="s">
        <v>171</v>
      </c>
      <c r="C1565" s="17">
        <v>700</v>
      </c>
      <c r="D1565" s="17" t="s">
        <v>150</v>
      </c>
    </row>
    <row r="1566" spans="1:26" s="17" customFormat="1" ht="12.75" x14ac:dyDescent="0.2">
      <c r="A1566" s="16">
        <v>368170</v>
      </c>
      <c r="B1566" s="12" t="s">
        <v>172</v>
      </c>
      <c r="C1566" s="17">
        <v>700</v>
      </c>
      <c r="D1566" s="17" t="s">
        <v>150</v>
      </c>
    </row>
    <row r="1567" spans="1:26" s="17" customFormat="1" ht="12.75" x14ac:dyDescent="0.2">
      <c r="A1567" s="16">
        <v>368180</v>
      </c>
      <c r="B1567" s="12" t="s">
        <v>173</v>
      </c>
      <c r="C1567" s="17">
        <v>700</v>
      </c>
      <c r="D1567" s="17" t="s">
        <v>150</v>
      </c>
    </row>
    <row r="1568" spans="1:26" s="17" customFormat="1" ht="12.75" x14ac:dyDescent="0.2">
      <c r="A1568" s="16">
        <v>378120</v>
      </c>
      <c r="B1568" s="12" t="s">
        <v>174</v>
      </c>
      <c r="C1568" s="17">
        <v>200</v>
      </c>
      <c r="D1568" s="17" t="s">
        <v>150</v>
      </c>
    </row>
    <row r="1569" spans="1:26" s="17" customFormat="1" ht="12.75" x14ac:dyDescent="0.2">
      <c r="A1569" s="16">
        <v>228350</v>
      </c>
      <c r="B1569" s="12" t="s">
        <v>157</v>
      </c>
      <c r="C1569" s="17">
        <v>60</v>
      </c>
      <c r="D1569" s="17" t="s">
        <v>151</v>
      </c>
    </row>
    <row r="1570" spans="1:26" s="17" customFormat="1" ht="12.75" x14ac:dyDescent="0.2">
      <c r="A1570" s="16">
        <v>228370</v>
      </c>
      <c r="B1570" s="12" t="s">
        <v>158</v>
      </c>
      <c r="C1570" s="17">
        <v>30</v>
      </c>
      <c r="D1570" s="17" t="s">
        <v>151</v>
      </c>
    </row>
    <row r="1571" spans="1:26" s="17" customFormat="1" ht="12.75" x14ac:dyDescent="0.2">
      <c r="A1571" s="16">
        <v>918180</v>
      </c>
      <c r="B1571" s="12" t="s">
        <v>149</v>
      </c>
      <c r="C1571" s="17">
        <v>4</v>
      </c>
      <c r="D1571" s="17" t="s">
        <v>152</v>
      </c>
    </row>
    <row r="1572" spans="1:26" s="17" customFormat="1" ht="12.75" x14ac:dyDescent="0.2">
      <c r="A1572" s="16">
        <v>918190</v>
      </c>
      <c r="B1572" s="16" t="s">
        <v>175</v>
      </c>
      <c r="C1572" s="17">
        <v>4</v>
      </c>
      <c r="D1572" s="17" t="s">
        <v>152</v>
      </c>
    </row>
    <row r="1573" spans="1:26" s="17" customFormat="1" ht="12.75" x14ac:dyDescent="0.2">
      <c r="A1573" s="16">
        <v>228130</v>
      </c>
      <c r="B1573" s="17" t="s">
        <v>147</v>
      </c>
      <c r="C1573" s="17">
        <v>10</v>
      </c>
      <c r="D1573" s="17" t="s">
        <v>153</v>
      </c>
    </row>
    <row r="1574" spans="1:26" s="17" customFormat="1" ht="12.75" x14ac:dyDescent="0.2">
      <c r="A1574" s="16">
        <v>228140</v>
      </c>
      <c r="B1574" s="12" t="s">
        <v>176</v>
      </c>
      <c r="C1574" s="17">
        <v>25</v>
      </c>
      <c r="D1574" s="17" t="s">
        <v>153</v>
      </c>
    </row>
    <row r="1575" spans="1:26" s="17" customFormat="1" ht="13.5" customHeight="1" x14ac:dyDescent="0.2">
      <c r="A1575" s="16">
        <v>438200</v>
      </c>
      <c r="B1575" s="12" t="s">
        <v>161</v>
      </c>
      <c r="C1575" s="17">
        <v>10</v>
      </c>
      <c r="D1575" s="17" t="s">
        <v>151</v>
      </c>
    </row>
    <row r="1576" spans="1:26" s="17" customFormat="1" ht="13.5" customHeight="1" x14ac:dyDescent="0.2">
      <c r="A1576" s="19">
        <v>708580</v>
      </c>
      <c r="B1576" s="20" t="s">
        <v>216</v>
      </c>
      <c r="C1576" s="17">
        <v>1</v>
      </c>
      <c r="D1576" s="17" t="s">
        <v>153</v>
      </c>
    </row>
    <row r="1577" spans="1:26" s="17" customFormat="1" ht="13.5" customHeight="1" x14ac:dyDescent="0.2">
      <c r="A1577" s="11">
        <v>109999</v>
      </c>
      <c r="B1577" s="11" t="s">
        <v>223</v>
      </c>
      <c r="C1577" s="17">
        <v>1</v>
      </c>
      <c r="D1577" s="17" t="s">
        <v>151</v>
      </c>
      <c r="E1577" s="17">
        <v>12000</v>
      </c>
    </row>
    <row r="1578" spans="1:26" x14ac:dyDescent="0.2">
      <c r="A1578" s="5" t="s">
        <v>120</v>
      </c>
      <c r="B1578" s="5" t="s">
        <v>102</v>
      </c>
      <c r="C1578">
        <v>1</v>
      </c>
      <c r="E1578">
        <v>0</v>
      </c>
      <c r="G1578">
        <v>0</v>
      </c>
      <c r="I1578">
        <v>3</v>
      </c>
      <c r="Y1578">
        <v>0</v>
      </c>
      <c r="Z1578" t="str">
        <f t="shared" si="57"/>
        <v>ש"ח</v>
      </c>
    </row>
    <row r="1579" spans="1:26" x14ac:dyDescent="0.2">
      <c r="A1579" s="19" t="str">
        <f>"150011290"</f>
        <v>150011290</v>
      </c>
      <c r="B1579" s="19" t="str">
        <f>"נורת ניאון אדומה 220"</f>
        <v>נורת ניאון אדומה 220</v>
      </c>
      <c r="C1579" s="17">
        <v>8</v>
      </c>
      <c r="D1579" s="17" t="s">
        <v>151</v>
      </c>
    </row>
    <row r="1580" spans="1:26" x14ac:dyDescent="0.2">
      <c r="A1580" s="19" t="str">
        <f>"150020002"</f>
        <v>150020002</v>
      </c>
      <c r="B1580" s="19" t="str">
        <f>"שקע כח ישראלי NEVE-"</f>
        <v>שקע כח ישראלי NEVE-</v>
      </c>
      <c r="C1580" s="17">
        <v>77</v>
      </c>
      <c r="D1580" s="17" t="s">
        <v>151</v>
      </c>
    </row>
    <row r="1581" spans="1:26" x14ac:dyDescent="0.2">
      <c r="A1581" s="19" t="str">
        <f>"150020004"</f>
        <v>150020004</v>
      </c>
      <c r="B1581" s="19" t="str">
        <f>"שקע טלפון NEVE-"</f>
        <v>שקע טלפון NEVE-</v>
      </c>
      <c r="C1581" s="17">
        <v>14</v>
      </c>
      <c r="D1581" s="17" t="s">
        <v>151</v>
      </c>
    </row>
    <row r="1582" spans="1:26" x14ac:dyDescent="0.2">
      <c r="A1582" s="19" t="str">
        <f>"150020014"</f>
        <v>150020014</v>
      </c>
      <c r="B1582" s="19" t="str">
        <f>"דמי NEVE-"</f>
        <v>דמי NEVE-</v>
      </c>
      <c r="C1582" s="17">
        <v>22</v>
      </c>
      <c r="D1582" s="17" t="s">
        <v>151</v>
      </c>
    </row>
    <row r="1583" spans="1:26" x14ac:dyDescent="0.2">
      <c r="A1583" s="19" t="str">
        <f>"150020023"</f>
        <v>150020023</v>
      </c>
      <c r="B1583" s="19" t="str">
        <f>"לחצן מואר NEVE-"</f>
        <v>לחצן מואר NEVE-</v>
      </c>
      <c r="C1583" s="17">
        <v>4</v>
      </c>
      <c r="D1583" s="17" t="s">
        <v>151</v>
      </c>
    </row>
    <row r="1584" spans="1:26" x14ac:dyDescent="0.2">
      <c r="A1584" s="19" t="str">
        <f>"150020024"</f>
        <v>150020024</v>
      </c>
      <c r="B1584" s="19" t="str">
        <f>"לחצן רחב 2 .NEVE-"</f>
        <v>לחצן רחב 2 .NEVE-</v>
      </c>
      <c r="C1584" s="17">
        <v>2</v>
      </c>
      <c r="D1584" s="17" t="s">
        <v>151</v>
      </c>
    </row>
    <row r="1585" spans="1:4" x14ac:dyDescent="0.2">
      <c r="A1585" s="19" t="str">
        <f>"150020029"</f>
        <v>150020029</v>
      </c>
      <c r="B1585" s="19" t="str">
        <f>"מסגרת 1 מודול NEVE-"</f>
        <v>מסגרת 1 מודול NEVE-</v>
      </c>
      <c r="C1585" s="17">
        <v>33</v>
      </c>
      <c r="D1585" s="17" t="s">
        <v>151</v>
      </c>
    </row>
    <row r="1586" spans="1:4" x14ac:dyDescent="0.2">
      <c r="A1586" s="19" t="str">
        <f>"150020036"</f>
        <v>150020036</v>
      </c>
      <c r="B1586" s="19" t="str">
        <f>"מסגרת 2 מודול NEVE-"</f>
        <v>מסגרת 2 מודול NEVE-</v>
      </c>
      <c r="C1586" s="17">
        <v>22</v>
      </c>
      <c r="D1586" s="17" t="s">
        <v>151</v>
      </c>
    </row>
    <row r="1587" spans="1:4" x14ac:dyDescent="0.2">
      <c r="A1587" s="19" t="str">
        <f>"150020041"</f>
        <v>150020041</v>
      </c>
      <c r="B1587" s="19" t="str">
        <f>"מסגרת 3 מודול NEVE-"</f>
        <v>מסגרת 3 מודול NEVE-</v>
      </c>
      <c r="C1587" s="17">
        <v>13</v>
      </c>
      <c r="D1587" s="17" t="s">
        <v>151</v>
      </c>
    </row>
    <row r="1588" spans="1:4" x14ac:dyDescent="0.2">
      <c r="A1588" s="19" t="str">
        <f>"150020045"</f>
        <v>150020045</v>
      </c>
      <c r="B1588" s="19" t="str">
        <f>"מסגרת 4 מודול NEVE-"</f>
        <v>מסגרת 4 מודול NEVE-</v>
      </c>
      <c r="C1588" s="17">
        <v>28</v>
      </c>
      <c r="D1588" s="17" t="s">
        <v>151</v>
      </c>
    </row>
    <row r="1589" spans="1:4" x14ac:dyDescent="0.2">
      <c r="A1589" s="19" t="str">
        <f>"150020059"</f>
        <v>150020059</v>
      </c>
      <c r="B1589" s="19" t="str">
        <f>"מפסק יחיד NEVE-"</f>
        <v>מפסק יחיד NEVE-</v>
      </c>
      <c r="C1589" s="17">
        <v>30</v>
      </c>
      <c r="D1589" s="17" t="s">
        <v>151</v>
      </c>
    </row>
    <row r="1590" spans="1:4" x14ac:dyDescent="0.2">
      <c r="A1590" s="19" t="str">
        <f>"150020061"</f>
        <v>150020061</v>
      </c>
      <c r="B1590" s="19" t="str">
        <f>"מפסק חיולף NEVE-"</f>
        <v>מפסק חיולף NEVE-</v>
      </c>
      <c r="C1590" s="17">
        <v>25</v>
      </c>
      <c r="D1590" s="17" t="s">
        <v>151</v>
      </c>
    </row>
    <row r="1591" spans="1:4" x14ac:dyDescent="0.2">
      <c r="A1591" s="19" t="str">
        <f>"150020063"</f>
        <v>150020063</v>
      </c>
      <c r="B1591" s="19" t="str">
        <f>"מפסק צלב NEVE-"</f>
        <v>מפסק צלב NEVE-</v>
      </c>
      <c r="C1591" s="17">
        <v>3</v>
      </c>
      <c r="D1591" s="17" t="s">
        <v>151</v>
      </c>
    </row>
    <row r="1592" spans="1:4" x14ac:dyDescent="0.2">
      <c r="A1592" s="19" t="str">
        <f>"150020068"</f>
        <v>150020068</v>
      </c>
      <c r="B1592" s="19" t="str">
        <f>"מתאם 2 מודול NEVE-"</f>
        <v>מתאם 2 מודול NEVE-</v>
      </c>
      <c r="C1592" s="17">
        <v>22</v>
      </c>
      <c r="D1592" s="17" t="s">
        <v>151</v>
      </c>
    </row>
    <row r="1593" spans="1:4" x14ac:dyDescent="0.2">
      <c r="A1593" s="19" t="str">
        <f>"150020069"</f>
        <v>150020069</v>
      </c>
      <c r="B1593" s="19" t="str">
        <f>"מתאם 3 מודול NEVE-"</f>
        <v>מתאם 3 מודול NEVE-</v>
      </c>
      <c r="C1593" s="17">
        <v>46</v>
      </c>
      <c r="D1593" s="17" t="s">
        <v>151</v>
      </c>
    </row>
    <row r="1594" spans="1:4" x14ac:dyDescent="0.2">
      <c r="A1594" s="19" t="str">
        <f>"150020070"</f>
        <v>150020070</v>
      </c>
      <c r="B1594" s="19" t="str">
        <f>"מתאם 4 מודול NEVE-"</f>
        <v>מתאם 4 מודול NEVE-</v>
      </c>
      <c r="C1594" s="17">
        <v>28</v>
      </c>
      <c r="D1594" s="17" t="s">
        <v>151</v>
      </c>
    </row>
    <row r="1595" spans="1:4" x14ac:dyDescent="0.2">
      <c r="A1595" s="19" t="str">
        <f>"150020090"</f>
        <v>150020090</v>
      </c>
      <c r="B1595" s="19" t="str">
        <f>"מפסק דוד NEVE-"</f>
        <v>מפסק דוד NEVE-</v>
      </c>
      <c r="C1595" s="17">
        <v>4</v>
      </c>
      <c r="D1595" s="17" t="s">
        <v>151</v>
      </c>
    </row>
    <row r="1596" spans="1:4" x14ac:dyDescent="0.2">
      <c r="A1596" s="19">
        <v>938140</v>
      </c>
      <c r="B1596" s="21" t="s">
        <v>217</v>
      </c>
      <c r="C1596" s="17">
        <v>10</v>
      </c>
      <c r="D1596" s="17" t="s">
        <v>151</v>
      </c>
    </row>
    <row r="1597" spans="1:4" x14ac:dyDescent="0.2">
      <c r="A1597" s="19">
        <v>938150</v>
      </c>
      <c r="B1597" s="21" t="s">
        <v>218</v>
      </c>
      <c r="C1597" s="17">
        <v>1</v>
      </c>
      <c r="D1597" s="17" t="s">
        <v>152</v>
      </c>
    </row>
    <row r="1598" spans="1:4" x14ac:dyDescent="0.2">
      <c r="A1598" s="19">
        <v>708370</v>
      </c>
      <c r="B1598" s="21" t="s">
        <v>219</v>
      </c>
      <c r="C1598" s="17">
        <v>2</v>
      </c>
      <c r="D1598" s="17" t="s">
        <v>153</v>
      </c>
    </row>
    <row r="1599" spans="1:4" x14ac:dyDescent="0.2">
      <c r="A1599" s="19">
        <v>378160</v>
      </c>
      <c r="B1599" s="21" t="s">
        <v>220</v>
      </c>
      <c r="C1599" s="17">
        <v>200</v>
      </c>
      <c r="D1599" s="17" t="s">
        <v>150</v>
      </c>
    </row>
    <row r="1600" spans="1:4" x14ac:dyDescent="0.2">
      <c r="A1600" s="19">
        <v>708470</v>
      </c>
      <c r="B1600" s="21" t="s">
        <v>221</v>
      </c>
      <c r="C1600" s="17">
        <v>6</v>
      </c>
      <c r="D1600" s="17" t="s">
        <v>153</v>
      </c>
    </row>
    <row r="1601" spans="1:26" x14ac:dyDescent="0.2">
      <c r="A1601" s="19">
        <v>628160</v>
      </c>
      <c r="B1601" s="21" t="s">
        <v>222</v>
      </c>
      <c r="C1601" s="17">
        <v>50</v>
      </c>
      <c r="D1601" s="17" t="s">
        <v>151</v>
      </c>
    </row>
    <row r="1602" spans="1:26" x14ac:dyDescent="0.2">
      <c r="A1602" s="11">
        <v>109999</v>
      </c>
      <c r="B1602" s="11" t="s">
        <v>223</v>
      </c>
      <c r="C1602" s="17">
        <v>1</v>
      </c>
      <c r="D1602" s="17" t="s">
        <v>151</v>
      </c>
      <c r="E1602" s="17">
        <v>8000</v>
      </c>
    </row>
    <row r="1603" spans="1:26" x14ac:dyDescent="0.2">
      <c r="A1603" s="11">
        <v>640000</v>
      </c>
      <c r="B1603" s="22" t="s">
        <v>224</v>
      </c>
      <c r="C1603">
        <v>1</v>
      </c>
      <c r="D1603" t="s">
        <v>151</v>
      </c>
      <c r="E1603">
        <v>6800</v>
      </c>
    </row>
    <row r="1604" spans="1:26" x14ac:dyDescent="0.2">
      <c r="A1604" s="11">
        <v>999999</v>
      </c>
      <c r="B1604" s="22" t="s">
        <v>225</v>
      </c>
      <c r="C1604">
        <v>1</v>
      </c>
      <c r="D1604" t="s">
        <v>226</v>
      </c>
      <c r="E1604">
        <v>1800</v>
      </c>
    </row>
    <row r="1605" spans="1:26" x14ac:dyDescent="0.2">
      <c r="A1605" s="5" t="s">
        <v>121</v>
      </c>
      <c r="B1605" s="5" t="s">
        <v>103</v>
      </c>
      <c r="C1605">
        <v>1</v>
      </c>
      <c r="E1605">
        <v>0</v>
      </c>
      <c r="G1605">
        <v>0</v>
      </c>
      <c r="I1605">
        <v>3</v>
      </c>
      <c r="Y1605">
        <v>0</v>
      </c>
      <c r="Z1605" t="str">
        <f t="shared" si="57"/>
        <v>ש"ח</v>
      </c>
    </row>
    <row r="1606" spans="1:26" ht="15" x14ac:dyDescent="0.2">
      <c r="A1606" s="6">
        <v>10.27</v>
      </c>
      <c r="B1606" s="6" t="s">
        <v>30</v>
      </c>
      <c r="C1606">
        <v>1</v>
      </c>
      <c r="E1606">
        <v>0</v>
      </c>
      <c r="G1606">
        <v>100</v>
      </c>
      <c r="I1606">
        <v>2</v>
      </c>
      <c r="Y1606">
        <v>0</v>
      </c>
      <c r="Z1606" t="str">
        <f t="shared" si="57"/>
        <v>ש"ח</v>
      </c>
    </row>
    <row r="1607" spans="1:26" x14ac:dyDescent="0.2">
      <c r="A1607" s="5" t="s">
        <v>122</v>
      </c>
      <c r="B1607" s="5" t="s">
        <v>100</v>
      </c>
      <c r="C1607">
        <v>1</v>
      </c>
      <c r="E1607">
        <v>0</v>
      </c>
      <c r="G1607">
        <v>0</v>
      </c>
      <c r="I1607">
        <v>3</v>
      </c>
      <c r="Y1607">
        <v>0</v>
      </c>
      <c r="Z1607" t="str">
        <f t="shared" si="57"/>
        <v>ש"ח</v>
      </c>
    </row>
    <row r="1608" spans="1:26" s="18" customFormat="1" ht="15" customHeight="1" x14ac:dyDescent="0.2">
      <c r="A1608" s="16">
        <v>218260</v>
      </c>
      <c r="B1608" s="12" t="s">
        <v>154</v>
      </c>
      <c r="C1608" s="17">
        <v>500</v>
      </c>
      <c r="D1608" s="17" t="s">
        <v>150</v>
      </c>
      <c r="Y1608" s="18">
        <f>C1608*E1608</f>
        <v>0</v>
      </c>
    </row>
    <row r="1609" spans="1:26" s="18" customFormat="1" ht="12.75" x14ac:dyDescent="0.2">
      <c r="A1609" s="16">
        <v>218270</v>
      </c>
      <c r="B1609" s="12" t="s">
        <v>155</v>
      </c>
      <c r="C1609" s="17">
        <v>100</v>
      </c>
      <c r="D1609" s="17" t="s">
        <v>150</v>
      </c>
      <c r="Y1609" s="18">
        <f>C1609*E1609</f>
        <v>0</v>
      </c>
    </row>
    <row r="1610" spans="1:26" s="18" customFormat="1" ht="12.75" x14ac:dyDescent="0.2">
      <c r="A1610" s="16">
        <v>218140</v>
      </c>
      <c r="B1610" s="17" t="s">
        <v>156</v>
      </c>
      <c r="C1610" s="17">
        <v>50</v>
      </c>
      <c r="D1610" s="17" t="s">
        <v>150</v>
      </c>
      <c r="Y1610" s="18">
        <f>C1610*E1610</f>
        <v>0</v>
      </c>
    </row>
    <row r="1611" spans="1:26" s="18" customFormat="1" ht="12.75" x14ac:dyDescent="0.2">
      <c r="A1611" s="16">
        <v>228130</v>
      </c>
      <c r="B1611" s="17" t="s">
        <v>147</v>
      </c>
      <c r="C1611" s="17">
        <v>10</v>
      </c>
      <c r="D1611" s="17" t="s">
        <v>151</v>
      </c>
    </row>
    <row r="1612" spans="1:26" s="18" customFormat="1" ht="12.75" x14ac:dyDescent="0.2">
      <c r="A1612" s="16">
        <v>228350</v>
      </c>
      <c r="B1612" s="12" t="s">
        <v>157</v>
      </c>
      <c r="C1612" s="17">
        <v>25</v>
      </c>
      <c r="D1612" s="17" t="s">
        <v>151</v>
      </c>
    </row>
    <row r="1613" spans="1:26" s="18" customFormat="1" ht="12.75" x14ac:dyDescent="0.2">
      <c r="A1613" s="16">
        <v>228370</v>
      </c>
      <c r="B1613" s="12" t="s">
        <v>158</v>
      </c>
      <c r="C1613" s="17">
        <v>30</v>
      </c>
      <c r="D1613" s="17" t="s">
        <v>151</v>
      </c>
    </row>
    <row r="1614" spans="1:26" s="18" customFormat="1" ht="12.75" x14ac:dyDescent="0.2">
      <c r="A1614" s="16">
        <v>798200</v>
      </c>
      <c r="B1614" s="16" t="s">
        <v>159</v>
      </c>
      <c r="C1614" s="17">
        <v>1</v>
      </c>
      <c r="D1614" s="17" t="s">
        <v>151</v>
      </c>
    </row>
    <row r="1615" spans="1:26" s="18" customFormat="1" ht="12.75" x14ac:dyDescent="0.2">
      <c r="A1615" s="16">
        <v>918140</v>
      </c>
      <c r="B1615" s="16" t="s">
        <v>160</v>
      </c>
      <c r="C1615" s="17">
        <v>100</v>
      </c>
      <c r="D1615" s="17" t="s">
        <v>151</v>
      </c>
    </row>
    <row r="1616" spans="1:26" s="9" customFormat="1" x14ac:dyDescent="0.2">
      <c r="A1616" s="11">
        <v>438200</v>
      </c>
      <c r="B1616" s="12" t="s">
        <v>161</v>
      </c>
      <c r="C1616" s="13">
        <v>5</v>
      </c>
      <c r="D1616" s="13" t="s">
        <v>150</v>
      </c>
    </row>
    <row r="1617" spans="1:26" s="9" customFormat="1" x14ac:dyDescent="0.2">
      <c r="A1617" s="11"/>
      <c r="B1617" s="12" t="s">
        <v>223</v>
      </c>
      <c r="C1617" s="17">
        <v>1</v>
      </c>
      <c r="D1617" s="17" t="s">
        <v>226</v>
      </c>
      <c r="E1617" s="9">
        <v>3000</v>
      </c>
    </row>
    <row r="1618" spans="1:26" x14ac:dyDescent="0.2">
      <c r="A1618" s="5" t="s">
        <v>123</v>
      </c>
      <c r="B1618" s="5" t="s">
        <v>101</v>
      </c>
      <c r="C1618">
        <v>1</v>
      </c>
      <c r="E1618">
        <v>0</v>
      </c>
      <c r="G1618">
        <v>0</v>
      </c>
      <c r="I1618">
        <v>3</v>
      </c>
      <c r="Y1618">
        <v>0</v>
      </c>
      <c r="Z1618" t="str">
        <f t="shared" si="57"/>
        <v>ש"ח</v>
      </c>
    </row>
    <row r="1619" spans="1:26" s="17" customFormat="1" ht="15" customHeight="1" x14ac:dyDescent="0.2">
      <c r="A1619" s="16">
        <v>218260</v>
      </c>
      <c r="B1619" s="12" t="s">
        <v>154</v>
      </c>
      <c r="C1619" s="17">
        <v>700</v>
      </c>
      <c r="D1619" s="17" t="s">
        <v>150</v>
      </c>
    </row>
    <row r="1620" spans="1:26" s="17" customFormat="1" ht="12.75" x14ac:dyDescent="0.2">
      <c r="A1620" s="16">
        <v>218290</v>
      </c>
      <c r="B1620" s="12" t="s">
        <v>162</v>
      </c>
      <c r="C1620" s="17">
        <v>800</v>
      </c>
      <c r="D1620" s="17" t="s">
        <v>150</v>
      </c>
    </row>
    <row r="1621" spans="1:26" s="17" customFormat="1" ht="12.75" x14ac:dyDescent="0.2">
      <c r="A1621" s="16">
        <v>218370</v>
      </c>
      <c r="B1621" s="12" t="s">
        <v>163</v>
      </c>
      <c r="C1621" s="17">
        <v>150</v>
      </c>
      <c r="D1621" s="17" t="s">
        <v>150</v>
      </c>
    </row>
    <row r="1622" spans="1:26" s="17" customFormat="1" ht="12.75" x14ac:dyDescent="0.2">
      <c r="A1622" s="16">
        <v>218340</v>
      </c>
      <c r="B1622" s="12" t="s">
        <v>164</v>
      </c>
      <c r="C1622" s="17">
        <v>150</v>
      </c>
      <c r="D1622" s="17" t="s">
        <v>150</v>
      </c>
    </row>
    <row r="1623" spans="1:26" s="17" customFormat="1" ht="12.75" x14ac:dyDescent="0.2">
      <c r="A1623" s="16">
        <v>218190</v>
      </c>
      <c r="B1623" s="12" t="s">
        <v>148</v>
      </c>
      <c r="C1623" s="17">
        <v>300</v>
      </c>
      <c r="D1623" s="17" t="s">
        <v>150</v>
      </c>
    </row>
    <row r="1624" spans="1:26" s="17" customFormat="1" ht="12.75" x14ac:dyDescent="0.2">
      <c r="A1624" s="16">
        <v>218300</v>
      </c>
      <c r="B1624" s="12" t="s">
        <v>165</v>
      </c>
      <c r="C1624" s="17">
        <v>50</v>
      </c>
      <c r="D1624" s="17" t="s">
        <v>150</v>
      </c>
    </row>
    <row r="1625" spans="1:26" s="17" customFormat="1" ht="12.75" x14ac:dyDescent="0.2">
      <c r="A1625" s="16">
        <v>368110</v>
      </c>
      <c r="B1625" s="12" t="s">
        <v>166</v>
      </c>
      <c r="C1625" s="17">
        <v>800</v>
      </c>
      <c r="D1625" s="17" t="s">
        <v>150</v>
      </c>
    </row>
    <row r="1626" spans="1:26" s="17" customFormat="1" ht="12.75" x14ac:dyDescent="0.2">
      <c r="A1626" s="16">
        <v>368120</v>
      </c>
      <c r="B1626" s="12" t="s">
        <v>167</v>
      </c>
      <c r="C1626" s="17">
        <v>800</v>
      </c>
      <c r="D1626" s="17" t="s">
        <v>150</v>
      </c>
    </row>
    <row r="1627" spans="1:26" s="17" customFormat="1" ht="12.75" x14ac:dyDescent="0.2">
      <c r="A1627" s="16">
        <v>368130</v>
      </c>
      <c r="B1627" s="12" t="s">
        <v>168</v>
      </c>
      <c r="C1627" s="17">
        <v>800</v>
      </c>
      <c r="D1627" s="17" t="s">
        <v>150</v>
      </c>
    </row>
    <row r="1628" spans="1:26" s="17" customFormat="1" ht="12.75" x14ac:dyDescent="0.2">
      <c r="A1628" s="16">
        <v>368140</v>
      </c>
      <c r="B1628" s="12" t="s">
        <v>169</v>
      </c>
      <c r="C1628" s="17">
        <v>800</v>
      </c>
      <c r="D1628" s="17" t="s">
        <v>150</v>
      </c>
    </row>
    <row r="1629" spans="1:26" s="17" customFormat="1" ht="12.75" x14ac:dyDescent="0.2">
      <c r="A1629" s="16">
        <v>368150</v>
      </c>
      <c r="B1629" s="12" t="s">
        <v>170</v>
      </c>
      <c r="C1629" s="17">
        <v>800</v>
      </c>
      <c r="D1629" s="17" t="s">
        <v>150</v>
      </c>
    </row>
    <row r="1630" spans="1:26" s="17" customFormat="1" ht="12.75" x14ac:dyDescent="0.2">
      <c r="A1630" s="16">
        <v>368160</v>
      </c>
      <c r="B1630" s="12" t="s">
        <v>171</v>
      </c>
      <c r="C1630" s="17">
        <v>700</v>
      </c>
      <c r="D1630" s="17" t="s">
        <v>150</v>
      </c>
    </row>
    <row r="1631" spans="1:26" s="17" customFormat="1" ht="12.75" x14ac:dyDescent="0.2">
      <c r="A1631" s="16">
        <v>368170</v>
      </c>
      <c r="B1631" s="12" t="s">
        <v>172</v>
      </c>
      <c r="C1631" s="17">
        <v>700</v>
      </c>
      <c r="D1631" s="17" t="s">
        <v>150</v>
      </c>
    </row>
    <row r="1632" spans="1:26" s="17" customFormat="1" ht="12.75" x14ac:dyDescent="0.2">
      <c r="A1632" s="16">
        <v>368180</v>
      </c>
      <c r="B1632" s="12" t="s">
        <v>173</v>
      </c>
      <c r="C1632" s="17">
        <v>700</v>
      </c>
      <c r="D1632" s="17" t="s">
        <v>150</v>
      </c>
    </row>
    <row r="1633" spans="1:26" s="17" customFormat="1" ht="12.75" x14ac:dyDescent="0.2">
      <c r="A1633" s="16">
        <v>378120</v>
      </c>
      <c r="B1633" s="12" t="s">
        <v>174</v>
      </c>
      <c r="C1633" s="17">
        <v>200</v>
      </c>
      <c r="D1633" s="17" t="s">
        <v>150</v>
      </c>
    </row>
    <row r="1634" spans="1:26" s="17" customFormat="1" ht="12.75" x14ac:dyDescent="0.2">
      <c r="A1634" s="16">
        <v>228350</v>
      </c>
      <c r="B1634" s="12" t="s">
        <v>157</v>
      </c>
      <c r="C1634" s="17">
        <v>60</v>
      </c>
      <c r="D1634" s="17" t="s">
        <v>151</v>
      </c>
    </row>
    <row r="1635" spans="1:26" s="17" customFormat="1" ht="12.75" x14ac:dyDescent="0.2">
      <c r="A1635" s="16">
        <v>228370</v>
      </c>
      <c r="B1635" s="12" t="s">
        <v>158</v>
      </c>
      <c r="C1635" s="17">
        <v>30</v>
      </c>
      <c r="D1635" s="17" t="s">
        <v>151</v>
      </c>
    </row>
    <row r="1636" spans="1:26" s="17" customFormat="1" ht="12.75" x14ac:dyDescent="0.2">
      <c r="A1636" s="16">
        <v>918180</v>
      </c>
      <c r="B1636" s="12" t="s">
        <v>149</v>
      </c>
      <c r="C1636" s="17">
        <v>4</v>
      </c>
      <c r="D1636" s="17" t="s">
        <v>152</v>
      </c>
    </row>
    <row r="1637" spans="1:26" s="17" customFormat="1" ht="12.75" x14ac:dyDescent="0.2">
      <c r="A1637" s="16">
        <v>918190</v>
      </c>
      <c r="B1637" s="16" t="s">
        <v>175</v>
      </c>
      <c r="C1637" s="17">
        <v>4</v>
      </c>
      <c r="D1637" s="17" t="s">
        <v>152</v>
      </c>
    </row>
    <row r="1638" spans="1:26" s="17" customFormat="1" ht="12.75" x14ac:dyDescent="0.2">
      <c r="A1638" s="16">
        <v>228130</v>
      </c>
      <c r="B1638" s="17" t="s">
        <v>147</v>
      </c>
      <c r="C1638" s="17">
        <v>10</v>
      </c>
      <c r="D1638" s="17" t="s">
        <v>153</v>
      </c>
    </row>
    <row r="1639" spans="1:26" s="17" customFormat="1" ht="12.75" x14ac:dyDescent="0.2">
      <c r="A1639" s="16">
        <v>228140</v>
      </c>
      <c r="B1639" s="12" t="s">
        <v>176</v>
      </c>
      <c r="C1639" s="17">
        <v>25</v>
      </c>
      <c r="D1639" s="17" t="s">
        <v>153</v>
      </c>
    </row>
    <row r="1640" spans="1:26" s="17" customFormat="1" ht="13.5" customHeight="1" x14ac:dyDescent="0.2">
      <c r="A1640" s="16">
        <v>438200</v>
      </c>
      <c r="B1640" s="12" t="s">
        <v>161</v>
      </c>
      <c r="C1640" s="17">
        <v>10</v>
      </c>
      <c r="D1640" s="17" t="s">
        <v>151</v>
      </c>
    </row>
    <row r="1641" spans="1:26" s="17" customFormat="1" ht="13.5" customHeight="1" x14ac:dyDescent="0.2">
      <c r="A1641" s="19">
        <v>708580</v>
      </c>
      <c r="B1641" s="20" t="s">
        <v>216</v>
      </c>
      <c r="C1641" s="17">
        <v>1</v>
      </c>
      <c r="D1641" s="17" t="s">
        <v>153</v>
      </c>
    </row>
    <row r="1642" spans="1:26" s="17" customFormat="1" ht="13.5" customHeight="1" x14ac:dyDescent="0.2">
      <c r="A1642" s="11">
        <v>109999</v>
      </c>
      <c r="B1642" s="11" t="s">
        <v>223</v>
      </c>
      <c r="C1642" s="17">
        <v>1</v>
      </c>
      <c r="D1642" s="17" t="s">
        <v>151</v>
      </c>
      <c r="E1642" s="17">
        <v>12000</v>
      </c>
    </row>
    <row r="1643" spans="1:26" x14ac:dyDescent="0.2">
      <c r="A1643" s="5" t="s">
        <v>124</v>
      </c>
      <c r="B1643" s="5" t="s">
        <v>102</v>
      </c>
      <c r="C1643">
        <v>1</v>
      </c>
      <c r="E1643">
        <v>0</v>
      </c>
      <c r="G1643">
        <v>0</v>
      </c>
      <c r="I1643">
        <v>3</v>
      </c>
      <c r="Y1643">
        <v>0</v>
      </c>
      <c r="Z1643" t="str">
        <f t="shared" si="57"/>
        <v>ש"ח</v>
      </c>
    </row>
    <row r="1644" spans="1:26" x14ac:dyDescent="0.2">
      <c r="A1644" s="19" t="str">
        <f>"150011290"</f>
        <v>150011290</v>
      </c>
      <c r="B1644" s="19" t="str">
        <f>"נורת ניאון אדומה 220"</f>
        <v>נורת ניאון אדומה 220</v>
      </c>
      <c r="C1644" s="17">
        <v>8</v>
      </c>
      <c r="D1644" s="17" t="s">
        <v>151</v>
      </c>
    </row>
    <row r="1645" spans="1:26" x14ac:dyDescent="0.2">
      <c r="A1645" s="19" t="str">
        <f>"150020002"</f>
        <v>150020002</v>
      </c>
      <c r="B1645" s="19" t="str">
        <f>"שקע כח ישראלי NEVE-"</f>
        <v>שקע כח ישראלי NEVE-</v>
      </c>
      <c r="C1645" s="17">
        <v>77</v>
      </c>
      <c r="D1645" s="17" t="s">
        <v>151</v>
      </c>
    </row>
    <row r="1646" spans="1:26" x14ac:dyDescent="0.2">
      <c r="A1646" s="19" t="str">
        <f>"150020004"</f>
        <v>150020004</v>
      </c>
      <c r="B1646" s="19" t="str">
        <f>"שקע טלפון NEVE-"</f>
        <v>שקע טלפון NEVE-</v>
      </c>
      <c r="C1646" s="17">
        <v>14</v>
      </c>
      <c r="D1646" s="17" t="s">
        <v>151</v>
      </c>
    </row>
    <row r="1647" spans="1:26" x14ac:dyDescent="0.2">
      <c r="A1647" s="19" t="str">
        <f>"150020014"</f>
        <v>150020014</v>
      </c>
      <c r="B1647" s="19" t="str">
        <f>"דמי NEVE-"</f>
        <v>דמי NEVE-</v>
      </c>
      <c r="C1647" s="17">
        <v>22</v>
      </c>
      <c r="D1647" s="17" t="s">
        <v>151</v>
      </c>
    </row>
    <row r="1648" spans="1:26" x14ac:dyDescent="0.2">
      <c r="A1648" s="19" t="str">
        <f>"150020023"</f>
        <v>150020023</v>
      </c>
      <c r="B1648" s="19" t="str">
        <f>"לחצן מואר NEVE-"</f>
        <v>לחצן מואר NEVE-</v>
      </c>
      <c r="C1648" s="17">
        <v>4</v>
      </c>
      <c r="D1648" s="17" t="s">
        <v>151</v>
      </c>
    </row>
    <row r="1649" spans="1:4" x14ac:dyDescent="0.2">
      <c r="A1649" s="19" t="str">
        <f>"150020024"</f>
        <v>150020024</v>
      </c>
      <c r="B1649" s="19" t="str">
        <f>"לחצן רחב 2 .NEVE-"</f>
        <v>לחצן רחב 2 .NEVE-</v>
      </c>
      <c r="C1649" s="17">
        <v>2</v>
      </c>
      <c r="D1649" s="17" t="s">
        <v>151</v>
      </c>
    </row>
    <row r="1650" spans="1:4" x14ac:dyDescent="0.2">
      <c r="A1650" s="19" t="str">
        <f>"150020029"</f>
        <v>150020029</v>
      </c>
      <c r="B1650" s="19" t="str">
        <f>"מסגרת 1 מודול NEVE-"</f>
        <v>מסגרת 1 מודול NEVE-</v>
      </c>
      <c r="C1650" s="17">
        <v>33</v>
      </c>
      <c r="D1650" s="17" t="s">
        <v>151</v>
      </c>
    </row>
    <row r="1651" spans="1:4" x14ac:dyDescent="0.2">
      <c r="A1651" s="19" t="str">
        <f>"150020036"</f>
        <v>150020036</v>
      </c>
      <c r="B1651" s="19" t="str">
        <f>"מסגרת 2 מודול NEVE-"</f>
        <v>מסגרת 2 מודול NEVE-</v>
      </c>
      <c r="C1651" s="17">
        <v>22</v>
      </c>
      <c r="D1651" s="17" t="s">
        <v>151</v>
      </c>
    </row>
    <row r="1652" spans="1:4" x14ac:dyDescent="0.2">
      <c r="A1652" s="19" t="str">
        <f>"150020041"</f>
        <v>150020041</v>
      </c>
      <c r="B1652" s="19" t="str">
        <f>"מסגרת 3 מודול NEVE-"</f>
        <v>מסגרת 3 מודול NEVE-</v>
      </c>
      <c r="C1652" s="17">
        <v>13</v>
      </c>
      <c r="D1652" s="17" t="s">
        <v>151</v>
      </c>
    </row>
    <row r="1653" spans="1:4" x14ac:dyDescent="0.2">
      <c r="A1653" s="19" t="str">
        <f>"150020045"</f>
        <v>150020045</v>
      </c>
      <c r="B1653" s="19" t="str">
        <f>"מסגרת 4 מודול NEVE-"</f>
        <v>מסגרת 4 מודול NEVE-</v>
      </c>
      <c r="C1653" s="17">
        <v>28</v>
      </c>
      <c r="D1653" s="17" t="s">
        <v>151</v>
      </c>
    </row>
    <row r="1654" spans="1:4" x14ac:dyDescent="0.2">
      <c r="A1654" s="19" t="str">
        <f>"150020059"</f>
        <v>150020059</v>
      </c>
      <c r="B1654" s="19" t="str">
        <f>"מפסק יחיד NEVE-"</f>
        <v>מפסק יחיד NEVE-</v>
      </c>
      <c r="C1654" s="17">
        <v>30</v>
      </c>
      <c r="D1654" s="17" t="s">
        <v>151</v>
      </c>
    </row>
    <row r="1655" spans="1:4" x14ac:dyDescent="0.2">
      <c r="A1655" s="19" t="str">
        <f>"150020061"</f>
        <v>150020061</v>
      </c>
      <c r="B1655" s="19" t="str">
        <f>"מפסק חיולף NEVE-"</f>
        <v>מפסק חיולף NEVE-</v>
      </c>
      <c r="C1655" s="17">
        <v>25</v>
      </c>
      <c r="D1655" s="17" t="s">
        <v>151</v>
      </c>
    </row>
    <row r="1656" spans="1:4" x14ac:dyDescent="0.2">
      <c r="A1656" s="19" t="str">
        <f>"150020063"</f>
        <v>150020063</v>
      </c>
      <c r="B1656" s="19" t="str">
        <f>"מפסק צלב NEVE-"</f>
        <v>מפסק צלב NEVE-</v>
      </c>
      <c r="C1656" s="17">
        <v>3</v>
      </c>
      <c r="D1656" s="17" t="s">
        <v>151</v>
      </c>
    </row>
    <row r="1657" spans="1:4" x14ac:dyDescent="0.2">
      <c r="A1657" s="19" t="str">
        <f>"150020068"</f>
        <v>150020068</v>
      </c>
      <c r="B1657" s="19" t="str">
        <f>"מתאם 2 מודול NEVE-"</f>
        <v>מתאם 2 מודול NEVE-</v>
      </c>
      <c r="C1657" s="17">
        <v>22</v>
      </c>
      <c r="D1657" s="17" t="s">
        <v>151</v>
      </c>
    </row>
    <row r="1658" spans="1:4" x14ac:dyDescent="0.2">
      <c r="A1658" s="19" t="str">
        <f>"150020069"</f>
        <v>150020069</v>
      </c>
      <c r="B1658" s="19" t="str">
        <f>"מתאם 3 מודול NEVE-"</f>
        <v>מתאם 3 מודול NEVE-</v>
      </c>
      <c r="C1658" s="17">
        <v>46</v>
      </c>
      <c r="D1658" s="17" t="s">
        <v>151</v>
      </c>
    </row>
    <row r="1659" spans="1:4" x14ac:dyDescent="0.2">
      <c r="A1659" s="19" t="str">
        <f>"150020070"</f>
        <v>150020070</v>
      </c>
      <c r="B1659" s="19" t="str">
        <f>"מתאם 4 מודול NEVE-"</f>
        <v>מתאם 4 מודול NEVE-</v>
      </c>
      <c r="C1659" s="17">
        <v>28</v>
      </c>
      <c r="D1659" s="17" t="s">
        <v>151</v>
      </c>
    </row>
    <row r="1660" spans="1:4" x14ac:dyDescent="0.2">
      <c r="A1660" s="19" t="str">
        <f>"150020090"</f>
        <v>150020090</v>
      </c>
      <c r="B1660" s="19" t="str">
        <f>"מפסק דוד NEVE-"</f>
        <v>מפסק דוד NEVE-</v>
      </c>
      <c r="C1660" s="17">
        <v>4</v>
      </c>
      <c r="D1660" s="17" t="s">
        <v>151</v>
      </c>
    </row>
    <row r="1661" spans="1:4" x14ac:dyDescent="0.2">
      <c r="A1661" s="19">
        <v>938140</v>
      </c>
      <c r="B1661" s="21" t="s">
        <v>217</v>
      </c>
      <c r="C1661" s="17">
        <v>10</v>
      </c>
      <c r="D1661" s="17" t="s">
        <v>151</v>
      </c>
    </row>
    <row r="1662" spans="1:4" x14ac:dyDescent="0.2">
      <c r="A1662" s="19">
        <v>938150</v>
      </c>
      <c r="B1662" s="21" t="s">
        <v>218</v>
      </c>
      <c r="C1662" s="17">
        <v>1</v>
      </c>
      <c r="D1662" s="17" t="s">
        <v>152</v>
      </c>
    </row>
    <row r="1663" spans="1:4" x14ac:dyDescent="0.2">
      <c r="A1663" s="19">
        <v>708370</v>
      </c>
      <c r="B1663" s="21" t="s">
        <v>219</v>
      </c>
      <c r="C1663" s="17">
        <v>2</v>
      </c>
      <c r="D1663" s="17" t="s">
        <v>153</v>
      </c>
    </row>
    <row r="1664" spans="1:4" x14ac:dyDescent="0.2">
      <c r="A1664" s="19">
        <v>378160</v>
      </c>
      <c r="B1664" s="21" t="s">
        <v>220</v>
      </c>
      <c r="C1664" s="17">
        <v>200</v>
      </c>
      <c r="D1664" s="17" t="s">
        <v>150</v>
      </c>
    </row>
    <row r="1665" spans="1:26" x14ac:dyDescent="0.2">
      <c r="A1665" s="19">
        <v>708470</v>
      </c>
      <c r="B1665" s="21" t="s">
        <v>221</v>
      </c>
      <c r="C1665" s="17">
        <v>6</v>
      </c>
      <c r="D1665" s="17" t="s">
        <v>153</v>
      </c>
    </row>
    <row r="1666" spans="1:26" x14ac:dyDescent="0.2">
      <c r="A1666" s="19">
        <v>628160</v>
      </c>
      <c r="B1666" s="21" t="s">
        <v>222</v>
      </c>
      <c r="C1666" s="17">
        <v>50</v>
      </c>
      <c r="D1666" s="17" t="s">
        <v>151</v>
      </c>
    </row>
    <row r="1667" spans="1:26" x14ac:dyDescent="0.2">
      <c r="A1667" s="11">
        <v>109999</v>
      </c>
      <c r="B1667" s="11" t="s">
        <v>223</v>
      </c>
      <c r="C1667" s="17">
        <v>1</v>
      </c>
      <c r="D1667" s="17" t="s">
        <v>151</v>
      </c>
      <c r="E1667" s="17">
        <v>8000</v>
      </c>
    </row>
    <row r="1668" spans="1:26" x14ac:dyDescent="0.2">
      <c r="A1668" s="11">
        <v>640000</v>
      </c>
      <c r="B1668" s="22" t="s">
        <v>224</v>
      </c>
      <c r="C1668">
        <v>1</v>
      </c>
      <c r="D1668" t="s">
        <v>151</v>
      </c>
      <c r="E1668">
        <v>6800</v>
      </c>
    </row>
    <row r="1669" spans="1:26" x14ac:dyDescent="0.2">
      <c r="A1669" s="11">
        <v>999999</v>
      </c>
      <c r="B1669" s="22" t="s">
        <v>225</v>
      </c>
      <c r="C1669">
        <v>1</v>
      </c>
      <c r="D1669" t="s">
        <v>226</v>
      </c>
      <c r="E1669">
        <v>1800</v>
      </c>
    </row>
    <row r="1670" spans="1:26" x14ac:dyDescent="0.2">
      <c r="A1670" s="5" t="s">
        <v>125</v>
      </c>
      <c r="B1670" s="5" t="s">
        <v>103</v>
      </c>
      <c r="C1670">
        <v>1</v>
      </c>
      <c r="E1670">
        <v>0</v>
      </c>
      <c r="G1670">
        <v>0</v>
      </c>
      <c r="I1670">
        <v>3</v>
      </c>
      <c r="Y1670">
        <v>0</v>
      </c>
      <c r="Z1670" t="str">
        <f t="shared" si="57"/>
        <v>ש"ח</v>
      </c>
    </row>
    <row r="1671" spans="1:26" ht="15" x14ac:dyDescent="0.2">
      <c r="A1671" s="6">
        <v>10.28</v>
      </c>
      <c r="B1671" s="6" t="s">
        <v>32</v>
      </c>
      <c r="C1671">
        <v>1</v>
      </c>
      <c r="E1671">
        <v>0</v>
      </c>
      <c r="G1671">
        <v>100</v>
      </c>
      <c r="I1671">
        <v>2</v>
      </c>
      <c r="Y1671">
        <v>0</v>
      </c>
      <c r="Z1671" t="str">
        <f t="shared" ref="Z1671:Z1735" si="58">"ש""ח"</f>
        <v>ש"ח</v>
      </c>
    </row>
    <row r="1672" spans="1:26" x14ac:dyDescent="0.2">
      <c r="A1672" s="5" t="s">
        <v>126</v>
      </c>
      <c r="B1672" s="5" t="s">
        <v>100</v>
      </c>
      <c r="C1672">
        <v>1</v>
      </c>
      <c r="E1672">
        <v>0</v>
      </c>
      <c r="G1672">
        <v>0</v>
      </c>
      <c r="I1672">
        <v>3</v>
      </c>
      <c r="Y1672">
        <v>0</v>
      </c>
      <c r="Z1672" t="str">
        <f t="shared" si="58"/>
        <v>ש"ח</v>
      </c>
    </row>
    <row r="1673" spans="1:26" s="18" customFormat="1" ht="15" customHeight="1" x14ac:dyDescent="0.2">
      <c r="A1673" s="16">
        <v>218260</v>
      </c>
      <c r="B1673" s="12" t="s">
        <v>154</v>
      </c>
      <c r="C1673" s="17">
        <v>500</v>
      </c>
      <c r="D1673" s="17" t="s">
        <v>150</v>
      </c>
      <c r="Y1673" s="18">
        <f>C1673*E1673</f>
        <v>0</v>
      </c>
    </row>
    <row r="1674" spans="1:26" s="18" customFormat="1" ht="12.75" x14ac:dyDescent="0.2">
      <c r="A1674" s="16">
        <v>218270</v>
      </c>
      <c r="B1674" s="12" t="s">
        <v>155</v>
      </c>
      <c r="C1674" s="17">
        <v>100</v>
      </c>
      <c r="D1674" s="17" t="s">
        <v>150</v>
      </c>
      <c r="Y1674" s="18">
        <f>C1674*E1674</f>
        <v>0</v>
      </c>
    </row>
    <row r="1675" spans="1:26" s="18" customFormat="1" ht="12.75" x14ac:dyDescent="0.2">
      <c r="A1675" s="16">
        <v>218140</v>
      </c>
      <c r="B1675" s="17" t="s">
        <v>156</v>
      </c>
      <c r="C1675" s="17">
        <v>50</v>
      </c>
      <c r="D1675" s="17" t="s">
        <v>150</v>
      </c>
      <c r="Y1675" s="18">
        <f>C1675*E1675</f>
        <v>0</v>
      </c>
    </row>
    <row r="1676" spans="1:26" s="18" customFormat="1" ht="12.75" x14ac:dyDescent="0.2">
      <c r="A1676" s="16">
        <v>228130</v>
      </c>
      <c r="B1676" s="17" t="s">
        <v>147</v>
      </c>
      <c r="C1676" s="17">
        <v>10</v>
      </c>
      <c r="D1676" s="17" t="s">
        <v>151</v>
      </c>
    </row>
    <row r="1677" spans="1:26" s="18" customFormat="1" ht="12.75" x14ac:dyDescent="0.2">
      <c r="A1677" s="16">
        <v>228350</v>
      </c>
      <c r="B1677" s="12" t="s">
        <v>157</v>
      </c>
      <c r="C1677" s="17">
        <v>25</v>
      </c>
      <c r="D1677" s="17" t="s">
        <v>151</v>
      </c>
    </row>
    <row r="1678" spans="1:26" s="18" customFormat="1" ht="12.75" x14ac:dyDescent="0.2">
      <c r="A1678" s="16">
        <v>228370</v>
      </c>
      <c r="B1678" s="12" t="s">
        <v>158</v>
      </c>
      <c r="C1678" s="17">
        <v>30</v>
      </c>
      <c r="D1678" s="17" t="s">
        <v>151</v>
      </c>
    </row>
    <row r="1679" spans="1:26" s="18" customFormat="1" ht="12.75" x14ac:dyDescent="0.2">
      <c r="A1679" s="16">
        <v>798200</v>
      </c>
      <c r="B1679" s="16" t="s">
        <v>159</v>
      </c>
      <c r="C1679" s="17">
        <v>1</v>
      </c>
      <c r="D1679" s="17" t="s">
        <v>151</v>
      </c>
    </row>
    <row r="1680" spans="1:26" s="18" customFormat="1" ht="12.75" x14ac:dyDescent="0.2">
      <c r="A1680" s="16">
        <v>918140</v>
      </c>
      <c r="B1680" s="16" t="s">
        <v>160</v>
      </c>
      <c r="C1680" s="17">
        <v>100</v>
      </c>
      <c r="D1680" s="17" t="s">
        <v>151</v>
      </c>
    </row>
    <row r="1681" spans="1:26" s="9" customFormat="1" x14ac:dyDescent="0.2">
      <c r="A1681" s="11">
        <v>438200</v>
      </c>
      <c r="B1681" s="12" t="s">
        <v>161</v>
      </c>
      <c r="C1681" s="13">
        <v>5</v>
      </c>
      <c r="D1681" s="13" t="s">
        <v>150</v>
      </c>
    </row>
    <row r="1682" spans="1:26" s="9" customFormat="1" x14ac:dyDescent="0.2">
      <c r="A1682" s="11"/>
      <c r="B1682" s="12" t="s">
        <v>223</v>
      </c>
      <c r="C1682" s="17">
        <v>1</v>
      </c>
      <c r="D1682" s="17" t="s">
        <v>226</v>
      </c>
      <c r="E1682" s="9">
        <v>3000</v>
      </c>
    </row>
    <row r="1683" spans="1:26" x14ac:dyDescent="0.2">
      <c r="A1683" s="5" t="s">
        <v>127</v>
      </c>
      <c r="B1683" s="5" t="s">
        <v>101</v>
      </c>
      <c r="C1683">
        <v>1</v>
      </c>
      <c r="E1683">
        <v>0</v>
      </c>
      <c r="G1683">
        <v>0</v>
      </c>
      <c r="I1683">
        <v>3</v>
      </c>
      <c r="Y1683">
        <v>0</v>
      </c>
      <c r="Z1683" t="str">
        <f t="shared" si="58"/>
        <v>ש"ח</v>
      </c>
    </row>
    <row r="1684" spans="1:26" s="17" customFormat="1" ht="15" customHeight="1" x14ac:dyDescent="0.2">
      <c r="A1684" s="16">
        <v>218260</v>
      </c>
      <c r="B1684" s="12" t="s">
        <v>154</v>
      </c>
      <c r="C1684" s="17">
        <v>700</v>
      </c>
      <c r="D1684" s="17" t="s">
        <v>150</v>
      </c>
    </row>
    <row r="1685" spans="1:26" s="17" customFormat="1" ht="12.75" x14ac:dyDescent="0.2">
      <c r="A1685" s="16">
        <v>218290</v>
      </c>
      <c r="B1685" s="12" t="s">
        <v>162</v>
      </c>
      <c r="C1685" s="17">
        <v>800</v>
      </c>
      <c r="D1685" s="17" t="s">
        <v>150</v>
      </c>
    </row>
    <row r="1686" spans="1:26" s="17" customFormat="1" ht="12.75" x14ac:dyDescent="0.2">
      <c r="A1686" s="16">
        <v>218370</v>
      </c>
      <c r="B1686" s="12" t="s">
        <v>163</v>
      </c>
      <c r="C1686" s="17">
        <v>150</v>
      </c>
      <c r="D1686" s="17" t="s">
        <v>150</v>
      </c>
    </row>
    <row r="1687" spans="1:26" s="17" customFormat="1" ht="12.75" x14ac:dyDescent="0.2">
      <c r="A1687" s="16">
        <v>218340</v>
      </c>
      <c r="B1687" s="12" t="s">
        <v>164</v>
      </c>
      <c r="C1687" s="17">
        <v>150</v>
      </c>
      <c r="D1687" s="17" t="s">
        <v>150</v>
      </c>
    </row>
    <row r="1688" spans="1:26" s="17" customFormat="1" ht="12.75" x14ac:dyDescent="0.2">
      <c r="A1688" s="16">
        <v>218190</v>
      </c>
      <c r="B1688" s="12" t="s">
        <v>148</v>
      </c>
      <c r="C1688" s="17">
        <v>300</v>
      </c>
      <c r="D1688" s="17" t="s">
        <v>150</v>
      </c>
    </row>
    <row r="1689" spans="1:26" s="17" customFormat="1" ht="12.75" x14ac:dyDescent="0.2">
      <c r="A1689" s="16">
        <v>218300</v>
      </c>
      <c r="B1689" s="12" t="s">
        <v>165</v>
      </c>
      <c r="C1689" s="17">
        <v>50</v>
      </c>
      <c r="D1689" s="17" t="s">
        <v>150</v>
      </c>
    </row>
    <row r="1690" spans="1:26" s="17" customFormat="1" ht="12.75" x14ac:dyDescent="0.2">
      <c r="A1690" s="16">
        <v>368110</v>
      </c>
      <c r="B1690" s="12" t="s">
        <v>166</v>
      </c>
      <c r="C1690" s="17">
        <v>800</v>
      </c>
      <c r="D1690" s="17" t="s">
        <v>150</v>
      </c>
    </row>
    <row r="1691" spans="1:26" s="17" customFormat="1" ht="12.75" x14ac:dyDescent="0.2">
      <c r="A1691" s="16">
        <v>368120</v>
      </c>
      <c r="B1691" s="12" t="s">
        <v>167</v>
      </c>
      <c r="C1691" s="17">
        <v>800</v>
      </c>
      <c r="D1691" s="17" t="s">
        <v>150</v>
      </c>
    </row>
    <row r="1692" spans="1:26" s="17" customFormat="1" ht="12.75" x14ac:dyDescent="0.2">
      <c r="A1692" s="16">
        <v>368130</v>
      </c>
      <c r="B1692" s="12" t="s">
        <v>168</v>
      </c>
      <c r="C1692" s="17">
        <v>800</v>
      </c>
      <c r="D1692" s="17" t="s">
        <v>150</v>
      </c>
    </row>
    <row r="1693" spans="1:26" s="17" customFormat="1" ht="12.75" x14ac:dyDescent="0.2">
      <c r="A1693" s="16">
        <v>368140</v>
      </c>
      <c r="B1693" s="12" t="s">
        <v>169</v>
      </c>
      <c r="C1693" s="17">
        <v>800</v>
      </c>
      <c r="D1693" s="17" t="s">
        <v>150</v>
      </c>
    </row>
    <row r="1694" spans="1:26" s="17" customFormat="1" ht="12.75" x14ac:dyDescent="0.2">
      <c r="A1694" s="16">
        <v>368150</v>
      </c>
      <c r="B1694" s="12" t="s">
        <v>170</v>
      </c>
      <c r="C1694" s="17">
        <v>800</v>
      </c>
      <c r="D1694" s="17" t="s">
        <v>150</v>
      </c>
    </row>
    <row r="1695" spans="1:26" s="17" customFormat="1" ht="12.75" x14ac:dyDescent="0.2">
      <c r="A1695" s="16">
        <v>368160</v>
      </c>
      <c r="B1695" s="12" t="s">
        <v>171</v>
      </c>
      <c r="C1695" s="17">
        <v>700</v>
      </c>
      <c r="D1695" s="17" t="s">
        <v>150</v>
      </c>
    </row>
    <row r="1696" spans="1:26" s="17" customFormat="1" ht="12.75" x14ac:dyDescent="0.2">
      <c r="A1696" s="16">
        <v>368170</v>
      </c>
      <c r="B1696" s="12" t="s">
        <v>172</v>
      </c>
      <c r="C1696" s="17">
        <v>700</v>
      </c>
      <c r="D1696" s="17" t="s">
        <v>150</v>
      </c>
    </row>
    <row r="1697" spans="1:26" s="17" customFormat="1" ht="12.75" x14ac:dyDescent="0.2">
      <c r="A1697" s="16">
        <v>368180</v>
      </c>
      <c r="B1697" s="12" t="s">
        <v>173</v>
      </c>
      <c r="C1697" s="17">
        <v>700</v>
      </c>
      <c r="D1697" s="17" t="s">
        <v>150</v>
      </c>
    </row>
    <row r="1698" spans="1:26" s="17" customFormat="1" ht="12.75" x14ac:dyDescent="0.2">
      <c r="A1698" s="16">
        <v>378120</v>
      </c>
      <c r="B1698" s="12" t="s">
        <v>174</v>
      </c>
      <c r="C1698" s="17">
        <v>200</v>
      </c>
      <c r="D1698" s="17" t="s">
        <v>150</v>
      </c>
    </row>
    <row r="1699" spans="1:26" s="17" customFormat="1" ht="12.75" x14ac:dyDescent="0.2">
      <c r="A1699" s="16">
        <v>228350</v>
      </c>
      <c r="B1699" s="12" t="s">
        <v>157</v>
      </c>
      <c r="C1699" s="17">
        <v>60</v>
      </c>
      <c r="D1699" s="17" t="s">
        <v>151</v>
      </c>
    </row>
    <row r="1700" spans="1:26" s="17" customFormat="1" ht="12.75" x14ac:dyDescent="0.2">
      <c r="A1700" s="16">
        <v>228370</v>
      </c>
      <c r="B1700" s="12" t="s">
        <v>158</v>
      </c>
      <c r="C1700" s="17">
        <v>30</v>
      </c>
      <c r="D1700" s="17" t="s">
        <v>151</v>
      </c>
    </row>
    <row r="1701" spans="1:26" s="17" customFormat="1" ht="12.75" x14ac:dyDescent="0.2">
      <c r="A1701" s="16">
        <v>918180</v>
      </c>
      <c r="B1701" s="12" t="s">
        <v>149</v>
      </c>
      <c r="C1701" s="17">
        <v>4</v>
      </c>
      <c r="D1701" s="17" t="s">
        <v>152</v>
      </c>
    </row>
    <row r="1702" spans="1:26" s="17" customFormat="1" ht="12.75" x14ac:dyDescent="0.2">
      <c r="A1702" s="16">
        <v>918190</v>
      </c>
      <c r="B1702" s="16" t="s">
        <v>175</v>
      </c>
      <c r="C1702" s="17">
        <v>4</v>
      </c>
      <c r="D1702" s="17" t="s">
        <v>152</v>
      </c>
    </row>
    <row r="1703" spans="1:26" s="17" customFormat="1" ht="12.75" x14ac:dyDescent="0.2">
      <c r="A1703" s="16">
        <v>228130</v>
      </c>
      <c r="B1703" s="17" t="s">
        <v>147</v>
      </c>
      <c r="C1703" s="17">
        <v>10</v>
      </c>
      <c r="D1703" s="17" t="s">
        <v>153</v>
      </c>
    </row>
    <row r="1704" spans="1:26" s="17" customFormat="1" ht="12.75" x14ac:dyDescent="0.2">
      <c r="A1704" s="16">
        <v>228140</v>
      </c>
      <c r="B1704" s="12" t="s">
        <v>176</v>
      </c>
      <c r="C1704" s="17">
        <v>25</v>
      </c>
      <c r="D1704" s="17" t="s">
        <v>153</v>
      </c>
    </row>
    <row r="1705" spans="1:26" s="17" customFormat="1" ht="13.5" customHeight="1" x14ac:dyDescent="0.2">
      <c r="A1705" s="16">
        <v>438200</v>
      </c>
      <c r="B1705" s="12" t="s">
        <v>161</v>
      </c>
      <c r="C1705" s="17">
        <v>10</v>
      </c>
      <c r="D1705" s="17" t="s">
        <v>151</v>
      </c>
    </row>
    <row r="1706" spans="1:26" s="17" customFormat="1" ht="13.5" customHeight="1" x14ac:dyDescent="0.2">
      <c r="A1706" s="19">
        <v>708580</v>
      </c>
      <c r="B1706" s="20" t="s">
        <v>216</v>
      </c>
      <c r="C1706" s="17">
        <v>1</v>
      </c>
      <c r="D1706" s="17" t="s">
        <v>153</v>
      </c>
    </row>
    <row r="1707" spans="1:26" s="17" customFormat="1" ht="13.5" customHeight="1" x14ac:dyDescent="0.2">
      <c r="A1707" s="11">
        <v>109999</v>
      </c>
      <c r="B1707" s="11" t="s">
        <v>223</v>
      </c>
      <c r="C1707" s="17">
        <v>1</v>
      </c>
      <c r="D1707" s="17" t="s">
        <v>151</v>
      </c>
      <c r="E1707" s="17">
        <v>12000</v>
      </c>
    </row>
    <row r="1708" spans="1:26" x14ac:dyDescent="0.2">
      <c r="A1708" s="5" t="s">
        <v>128</v>
      </c>
      <c r="B1708" s="5" t="s">
        <v>102</v>
      </c>
      <c r="C1708">
        <v>1</v>
      </c>
      <c r="E1708">
        <v>0</v>
      </c>
      <c r="G1708">
        <v>0</v>
      </c>
      <c r="I1708">
        <v>3</v>
      </c>
      <c r="Y1708">
        <v>0</v>
      </c>
      <c r="Z1708" t="str">
        <f t="shared" si="58"/>
        <v>ש"ח</v>
      </c>
    </row>
    <row r="1709" spans="1:26" x14ac:dyDescent="0.2">
      <c r="A1709" s="19" t="str">
        <f>"150011290"</f>
        <v>150011290</v>
      </c>
      <c r="B1709" s="19" t="str">
        <f>"נורת ניאון אדומה 220"</f>
        <v>נורת ניאון אדומה 220</v>
      </c>
      <c r="C1709" s="17">
        <v>8</v>
      </c>
      <c r="D1709" s="17" t="s">
        <v>151</v>
      </c>
    </row>
    <row r="1710" spans="1:26" x14ac:dyDescent="0.2">
      <c r="A1710" s="19" t="str">
        <f>"150020002"</f>
        <v>150020002</v>
      </c>
      <c r="B1710" s="19" t="str">
        <f>"שקע כח ישראלי NEVE-"</f>
        <v>שקע כח ישראלי NEVE-</v>
      </c>
      <c r="C1710" s="17">
        <v>77</v>
      </c>
      <c r="D1710" s="17" t="s">
        <v>151</v>
      </c>
    </row>
    <row r="1711" spans="1:26" x14ac:dyDescent="0.2">
      <c r="A1711" s="19" t="str">
        <f>"150020004"</f>
        <v>150020004</v>
      </c>
      <c r="B1711" s="19" t="str">
        <f>"שקע טלפון NEVE-"</f>
        <v>שקע טלפון NEVE-</v>
      </c>
      <c r="C1711" s="17">
        <v>14</v>
      </c>
      <c r="D1711" s="17" t="s">
        <v>151</v>
      </c>
    </row>
    <row r="1712" spans="1:26" x14ac:dyDescent="0.2">
      <c r="A1712" s="19" t="str">
        <f>"150020014"</f>
        <v>150020014</v>
      </c>
      <c r="B1712" s="19" t="str">
        <f>"דמי NEVE-"</f>
        <v>דמי NEVE-</v>
      </c>
      <c r="C1712" s="17">
        <v>22</v>
      </c>
      <c r="D1712" s="17" t="s">
        <v>151</v>
      </c>
    </row>
    <row r="1713" spans="1:4" x14ac:dyDescent="0.2">
      <c r="A1713" s="19" t="str">
        <f>"150020023"</f>
        <v>150020023</v>
      </c>
      <c r="B1713" s="19" t="str">
        <f>"לחצן מואר NEVE-"</f>
        <v>לחצן מואר NEVE-</v>
      </c>
      <c r="C1713" s="17">
        <v>4</v>
      </c>
      <c r="D1713" s="17" t="s">
        <v>151</v>
      </c>
    </row>
    <row r="1714" spans="1:4" x14ac:dyDescent="0.2">
      <c r="A1714" s="19" t="str">
        <f>"150020024"</f>
        <v>150020024</v>
      </c>
      <c r="B1714" s="19" t="str">
        <f>"לחצן רחב 2 .NEVE-"</f>
        <v>לחצן רחב 2 .NEVE-</v>
      </c>
      <c r="C1714" s="17">
        <v>2</v>
      </c>
      <c r="D1714" s="17" t="s">
        <v>151</v>
      </c>
    </row>
    <row r="1715" spans="1:4" x14ac:dyDescent="0.2">
      <c r="A1715" s="19" t="str">
        <f>"150020029"</f>
        <v>150020029</v>
      </c>
      <c r="B1715" s="19" t="str">
        <f>"מסגרת 1 מודול NEVE-"</f>
        <v>מסגרת 1 מודול NEVE-</v>
      </c>
      <c r="C1715" s="17">
        <v>33</v>
      </c>
      <c r="D1715" s="17" t="s">
        <v>151</v>
      </c>
    </row>
    <row r="1716" spans="1:4" x14ac:dyDescent="0.2">
      <c r="A1716" s="19" t="str">
        <f>"150020036"</f>
        <v>150020036</v>
      </c>
      <c r="B1716" s="19" t="str">
        <f>"מסגרת 2 מודול NEVE-"</f>
        <v>מסגרת 2 מודול NEVE-</v>
      </c>
      <c r="C1716" s="17">
        <v>22</v>
      </c>
      <c r="D1716" s="17" t="s">
        <v>151</v>
      </c>
    </row>
    <row r="1717" spans="1:4" x14ac:dyDescent="0.2">
      <c r="A1717" s="19" t="str">
        <f>"150020041"</f>
        <v>150020041</v>
      </c>
      <c r="B1717" s="19" t="str">
        <f>"מסגרת 3 מודול NEVE-"</f>
        <v>מסגרת 3 מודול NEVE-</v>
      </c>
      <c r="C1717" s="17">
        <v>13</v>
      </c>
      <c r="D1717" s="17" t="s">
        <v>151</v>
      </c>
    </row>
    <row r="1718" spans="1:4" x14ac:dyDescent="0.2">
      <c r="A1718" s="19" t="str">
        <f>"150020045"</f>
        <v>150020045</v>
      </c>
      <c r="B1718" s="19" t="str">
        <f>"מסגרת 4 מודול NEVE-"</f>
        <v>מסגרת 4 מודול NEVE-</v>
      </c>
      <c r="C1718" s="17">
        <v>28</v>
      </c>
      <c r="D1718" s="17" t="s">
        <v>151</v>
      </c>
    </row>
    <row r="1719" spans="1:4" x14ac:dyDescent="0.2">
      <c r="A1719" s="19" t="str">
        <f>"150020059"</f>
        <v>150020059</v>
      </c>
      <c r="B1719" s="19" t="str">
        <f>"מפסק יחיד NEVE-"</f>
        <v>מפסק יחיד NEVE-</v>
      </c>
      <c r="C1719" s="17">
        <v>30</v>
      </c>
      <c r="D1719" s="17" t="s">
        <v>151</v>
      </c>
    </row>
    <row r="1720" spans="1:4" x14ac:dyDescent="0.2">
      <c r="A1720" s="19" t="str">
        <f>"150020061"</f>
        <v>150020061</v>
      </c>
      <c r="B1720" s="19" t="str">
        <f>"מפסק חיולף NEVE-"</f>
        <v>מפסק חיולף NEVE-</v>
      </c>
      <c r="C1720" s="17">
        <v>25</v>
      </c>
      <c r="D1720" s="17" t="s">
        <v>151</v>
      </c>
    </row>
    <row r="1721" spans="1:4" x14ac:dyDescent="0.2">
      <c r="A1721" s="19" t="str">
        <f>"150020063"</f>
        <v>150020063</v>
      </c>
      <c r="B1721" s="19" t="str">
        <f>"מפסק צלב NEVE-"</f>
        <v>מפסק צלב NEVE-</v>
      </c>
      <c r="C1721" s="17">
        <v>3</v>
      </c>
      <c r="D1721" s="17" t="s">
        <v>151</v>
      </c>
    </row>
    <row r="1722" spans="1:4" x14ac:dyDescent="0.2">
      <c r="A1722" s="19" t="str">
        <f>"150020068"</f>
        <v>150020068</v>
      </c>
      <c r="B1722" s="19" t="str">
        <f>"מתאם 2 מודול NEVE-"</f>
        <v>מתאם 2 מודול NEVE-</v>
      </c>
      <c r="C1722" s="17">
        <v>22</v>
      </c>
      <c r="D1722" s="17" t="s">
        <v>151</v>
      </c>
    </row>
    <row r="1723" spans="1:4" x14ac:dyDescent="0.2">
      <c r="A1723" s="19" t="str">
        <f>"150020069"</f>
        <v>150020069</v>
      </c>
      <c r="B1723" s="19" t="str">
        <f>"מתאם 3 מודול NEVE-"</f>
        <v>מתאם 3 מודול NEVE-</v>
      </c>
      <c r="C1723" s="17">
        <v>46</v>
      </c>
      <c r="D1723" s="17" t="s">
        <v>151</v>
      </c>
    </row>
    <row r="1724" spans="1:4" x14ac:dyDescent="0.2">
      <c r="A1724" s="19" t="str">
        <f>"150020070"</f>
        <v>150020070</v>
      </c>
      <c r="B1724" s="19" t="str">
        <f>"מתאם 4 מודול NEVE-"</f>
        <v>מתאם 4 מודול NEVE-</v>
      </c>
      <c r="C1724" s="17">
        <v>28</v>
      </c>
      <c r="D1724" s="17" t="s">
        <v>151</v>
      </c>
    </row>
    <row r="1725" spans="1:4" x14ac:dyDescent="0.2">
      <c r="A1725" s="19" t="str">
        <f>"150020090"</f>
        <v>150020090</v>
      </c>
      <c r="B1725" s="19" t="str">
        <f>"מפסק דוד NEVE-"</f>
        <v>מפסק דוד NEVE-</v>
      </c>
      <c r="C1725" s="17">
        <v>4</v>
      </c>
      <c r="D1725" s="17" t="s">
        <v>151</v>
      </c>
    </row>
    <row r="1726" spans="1:4" x14ac:dyDescent="0.2">
      <c r="A1726" s="19">
        <v>938140</v>
      </c>
      <c r="B1726" s="21" t="s">
        <v>217</v>
      </c>
      <c r="C1726" s="17">
        <v>10</v>
      </c>
      <c r="D1726" s="17" t="s">
        <v>151</v>
      </c>
    </row>
    <row r="1727" spans="1:4" x14ac:dyDescent="0.2">
      <c r="A1727" s="19">
        <v>938150</v>
      </c>
      <c r="B1727" s="21" t="s">
        <v>218</v>
      </c>
      <c r="C1727" s="17">
        <v>1</v>
      </c>
      <c r="D1727" s="17" t="s">
        <v>152</v>
      </c>
    </row>
    <row r="1728" spans="1:4" x14ac:dyDescent="0.2">
      <c r="A1728" s="19">
        <v>708370</v>
      </c>
      <c r="B1728" s="21" t="s">
        <v>219</v>
      </c>
      <c r="C1728" s="17">
        <v>2</v>
      </c>
      <c r="D1728" s="17" t="s">
        <v>153</v>
      </c>
    </row>
    <row r="1729" spans="1:26" x14ac:dyDescent="0.2">
      <c r="A1729" s="19">
        <v>378160</v>
      </c>
      <c r="B1729" s="21" t="s">
        <v>220</v>
      </c>
      <c r="C1729" s="17">
        <v>200</v>
      </c>
      <c r="D1729" s="17" t="s">
        <v>150</v>
      </c>
    </row>
    <row r="1730" spans="1:26" x14ac:dyDescent="0.2">
      <c r="A1730" s="19">
        <v>708470</v>
      </c>
      <c r="B1730" s="21" t="s">
        <v>221</v>
      </c>
      <c r="C1730" s="17">
        <v>6</v>
      </c>
      <c r="D1730" s="17" t="s">
        <v>153</v>
      </c>
    </row>
    <row r="1731" spans="1:26" x14ac:dyDescent="0.2">
      <c r="A1731" s="19">
        <v>628160</v>
      </c>
      <c r="B1731" s="21" t="s">
        <v>222</v>
      </c>
      <c r="C1731" s="17">
        <v>50</v>
      </c>
      <c r="D1731" s="17" t="s">
        <v>151</v>
      </c>
    </row>
    <row r="1732" spans="1:26" x14ac:dyDescent="0.2">
      <c r="A1732" s="11">
        <v>109999</v>
      </c>
      <c r="B1732" s="11" t="s">
        <v>223</v>
      </c>
      <c r="C1732" s="17">
        <v>1</v>
      </c>
      <c r="D1732" s="17" t="s">
        <v>151</v>
      </c>
      <c r="E1732" s="17">
        <v>8000</v>
      </c>
    </row>
    <row r="1733" spans="1:26" x14ac:dyDescent="0.2">
      <c r="A1733" s="11">
        <v>640000</v>
      </c>
      <c r="B1733" s="22" t="s">
        <v>224</v>
      </c>
      <c r="C1733">
        <v>1</v>
      </c>
      <c r="D1733" t="s">
        <v>151</v>
      </c>
      <c r="E1733">
        <v>6800</v>
      </c>
    </row>
    <row r="1734" spans="1:26" x14ac:dyDescent="0.2">
      <c r="A1734" s="11">
        <v>999999</v>
      </c>
      <c r="B1734" s="22" t="s">
        <v>225</v>
      </c>
      <c r="C1734">
        <v>1</v>
      </c>
      <c r="D1734" t="s">
        <v>226</v>
      </c>
      <c r="E1734">
        <v>1800</v>
      </c>
    </row>
    <row r="1735" spans="1:26" x14ac:dyDescent="0.2">
      <c r="A1735" s="5" t="s">
        <v>129</v>
      </c>
      <c r="B1735" s="5" t="s">
        <v>103</v>
      </c>
      <c r="C1735">
        <v>1</v>
      </c>
      <c r="E1735">
        <v>0</v>
      </c>
      <c r="G1735">
        <v>0</v>
      </c>
      <c r="I1735">
        <v>3</v>
      </c>
      <c r="Y1735">
        <v>0</v>
      </c>
      <c r="Z1735" t="str">
        <f t="shared" si="58"/>
        <v>ש"ח</v>
      </c>
    </row>
    <row r="1736" spans="1:26" x14ac:dyDescent="0.2">
      <c r="E1736">
        <f>SUM(E4:E1735)</f>
        <v>3089600</v>
      </c>
    </row>
  </sheetData>
  <sortState ref="A4:DO44">
    <sortCondition ref="A4"/>
  </sortState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Y13"/>
  <sheetViews>
    <sheetView rightToLeft="1" topLeftCell="A10" workbookViewId="0">
      <selection activeCell="C13" sqref="C13:Y13"/>
    </sheetView>
  </sheetViews>
  <sheetFormatPr defaultRowHeight="14.25" x14ac:dyDescent="0.2"/>
  <sheetData>
    <row r="5" spans="2:25" ht="30" x14ac:dyDescent="0.2">
      <c r="B5" s="6" t="s">
        <v>43</v>
      </c>
      <c r="C5">
        <v>1</v>
      </c>
      <c r="D5">
        <v>43520</v>
      </c>
      <c r="E5" t="str">
        <f t="shared" ref="E5:E13" si="0">"Y"</f>
        <v>Y</v>
      </c>
      <c r="F5">
        <v>80</v>
      </c>
      <c r="H5">
        <v>1</v>
      </c>
      <c r="I5" t="s">
        <v>1</v>
      </c>
      <c r="K5">
        <v>0</v>
      </c>
      <c r="N5" t="str">
        <f t="shared" ref="N5:N13" si="1">"טיוטא"</f>
        <v>טיוטא</v>
      </c>
      <c r="O5" t="str">
        <f t="shared" ref="O5:O13" si="2">"אופיר"</f>
        <v>אופיר</v>
      </c>
      <c r="Q5">
        <v>0</v>
      </c>
      <c r="W5" t="str">
        <f t="shared" ref="W5:W13" si="3">"ש""ח"</f>
        <v>ש"ח</v>
      </c>
      <c r="X5">
        <v>43520</v>
      </c>
      <c r="Y5" t="str">
        <f t="shared" ref="Y5:Y13" si="4">"ש""ח"</f>
        <v>ש"ח</v>
      </c>
    </row>
    <row r="6" spans="2:25" ht="105" x14ac:dyDescent="0.2">
      <c r="B6" s="6" t="s">
        <v>44</v>
      </c>
      <c r="C6">
        <v>1</v>
      </c>
      <c r="D6">
        <v>108800</v>
      </c>
      <c r="E6" t="str">
        <f t="shared" si="0"/>
        <v>Y</v>
      </c>
      <c r="F6">
        <v>50</v>
      </c>
      <c r="H6">
        <v>1</v>
      </c>
      <c r="I6" t="s">
        <v>1</v>
      </c>
      <c r="K6">
        <v>0</v>
      </c>
      <c r="N6" t="str">
        <f t="shared" si="1"/>
        <v>טיוטא</v>
      </c>
      <c r="O6" t="str">
        <f t="shared" si="2"/>
        <v>אופיר</v>
      </c>
      <c r="Q6">
        <v>0</v>
      </c>
      <c r="W6" t="str">
        <f t="shared" si="3"/>
        <v>ש"ח</v>
      </c>
      <c r="X6">
        <v>108800</v>
      </c>
      <c r="Y6" t="str">
        <f t="shared" si="4"/>
        <v>ש"ח</v>
      </c>
    </row>
    <row r="7" spans="2:25" ht="60" x14ac:dyDescent="0.2">
      <c r="B7" s="6" t="s">
        <v>45</v>
      </c>
      <c r="C7">
        <v>1</v>
      </c>
      <c r="D7">
        <v>108800</v>
      </c>
      <c r="E7" t="str">
        <f t="shared" si="0"/>
        <v>Y</v>
      </c>
      <c r="F7">
        <v>0</v>
      </c>
      <c r="H7">
        <v>1</v>
      </c>
      <c r="I7" t="s">
        <v>1</v>
      </c>
      <c r="K7">
        <v>0</v>
      </c>
      <c r="N7" t="str">
        <f t="shared" si="1"/>
        <v>טיוטא</v>
      </c>
      <c r="O7" t="str">
        <f t="shared" si="2"/>
        <v>אופיר</v>
      </c>
      <c r="Q7">
        <v>0</v>
      </c>
      <c r="W7" t="str">
        <f t="shared" si="3"/>
        <v>ש"ח</v>
      </c>
      <c r="X7">
        <v>108800</v>
      </c>
      <c r="Y7" t="str">
        <f t="shared" si="4"/>
        <v>ש"ח</v>
      </c>
    </row>
    <row r="8" spans="2:25" ht="90" x14ac:dyDescent="0.2">
      <c r="B8" s="6" t="s">
        <v>46</v>
      </c>
      <c r="C8">
        <v>1</v>
      </c>
      <c r="D8">
        <v>65280</v>
      </c>
      <c r="E8" t="str">
        <f t="shared" si="0"/>
        <v>Y</v>
      </c>
      <c r="F8">
        <v>0</v>
      </c>
      <c r="H8">
        <v>1</v>
      </c>
      <c r="I8" t="s">
        <v>1</v>
      </c>
      <c r="K8">
        <v>0</v>
      </c>
      <c r="N8" t="str">
        <f t="shared" si="1"/>
        <v>טיוטא</v>
      </c>
      <c r="O8" t="str">
        <f t="shared" si="2"/>
        <v>אופיר</v>
      </c>
      <c r="Q8">
        <v>0</v>
      </c>
      <c r="W8" t="str">
        <f t="shared" si="3"/>
        <v>ש"ח</v>
      </c>
      <c r="X8">
        <v>65280</v>
      </c>
      <c r="Y8" t="str">
        <f t="shared" si="4"/>
        <v>ש"ח</v>
      </c>
    </row>
    <row r="9" spans="2:25" ht="75" x14ac:dyDescent="0.2">
      <c r="B9" s="6" t="s">
        <v>47</v>
      </c>
      <c r="C9">
        <v>1</v>
      </c>
      <c r="D9">
        <v>261120</v>
      </c>
      <c r="E9" t="str">
        <f t="shared" si="0"/>
        <v>Y</v>
      </c>
      <c r="F9">
        <v>0</v>
      </c>
      <c r="H9">
        <v>1</v>
      </c>
      <c r="I9" t="s">
        <v>1</v>
      </c>
      <c r="K9">
        <v>0</v>
      </c>
      <c r="N9" t="str">
        <f t="shared" si="1"/>
        <v>טיוטא</v>
      </c>
      <c r="O9" t="str">
        <f t="shared" si="2"/>
        <v>אופיר</v>
      </c>
      <c r="Q9">
        <v>0</v>
      </c>
      <c r="W9" t="str">
        <f t="shared" si="3"/>
        <v>ש"ח</v>
      </c>
      <c r="X9">
        <v>261120</v>
      </c>
      <c r="Y9" t="str">
        <f t="shared" si="4"/>
        <v>ש"ח</v>
      </c>
    </row>
    <row r="10" spans="2:25" ht="90" x14ac:dyDescent="0.2">
      <c r="B10" s="6" t="s">
        <v>48</v>
      </c>
      <c r="C10">
        <v>1</v>
      </c>
      <c r="D10">
        <v>65280</v>
      </c>
      <c r="E10" t="str">
        <f t="shared" si="0"/>
        <v>Y</v>
      </c>
      <c r="F10">
        <v>0</v>
      </c>
      <c r="H10">
        <v>1</v>
      </c>
      <c r="I10" t="s">
        <v>1</v>
      </c>
      <c r="K10">
        <v>0</v>
      </c>
      <c r="N10" t="str">
        <f t="shared" si="1"/>
        <v>טיוטא</v>
      </c>
      <c r="O10" t="str">
        <f t="shared" si="2"/>
        <v>אופיר</v>
      </c>
      <c r="Q10">
        <v>0</v>
      </c>
      <c r="W10" t="str">
        <f t="shared" si="3"/>
        <v>ש"ח</v>
      </c>
      <c r="X10">
        <v>65280</v>
      </c>
      <c r="Y10" t="str">
        <f t="shared" si="4"/>
        <v>ש"ח</v>
      </c>
    </row>
    <row r="11" spans="2:25" ht="45" x14ac:dyDescent="0.2">
      <c r="B11" s="6" t="s">
        <v>49</v>
      </c>
      <c r="C11">
        <v>1</v>
      </c>
      <c r="D11">
        <v>43520</v>
      </c>
      <c r="E11" t="str">
        <f t="shared" si="0"/>
        <v>Y</v>
      </c>
      <c r="F11">
        <v>0</v>
      </c>
      <c r="H11">
        <v>1</v>
      </c>
      <c r="I11" t="s">
        <v>1</v>
      </c>
      <c r="K11">
        <v>0</v>
      </c>
      <c r="N11" t="str">
        <f t="shared" si="1"/>
        <v>טיוטא</v>
      </c>
      <c r="O11" t="str">
        <f t="shared" si="2"/>
        <v>אופיר</v>
      </c>
      <c r="Q11">
        <v>0</v>
      </c>
      <c r="W11" t="str">
        <f t="shared" si="3"/>
        <v>ש"ח</v>
      </c>
      <c r="X11">
        <v>43520</v>
      </c>
      <c r="Y11" t="str">
        <f t="shared" si="4"/>
        <v>ש"ח</v>
      </c>
    </row>
    <row r="12" spans="2:25" ht="45" x14ac:dyDescent="0.2">
      <c r="B12" s="6" t="s">
        <v>50</v>
      </c>
      <c r="C12">
        <v>1</v>
      </c>
      <c r="D12">
        <v>108800</v>
      </c>
      <c r="E12" t="str">
        <f t="shared" si="0"/>
        <v>Y</v>
      </c>
      <c r="F12">
        <v>0</v>
      </c>
      <c r="H12">
        <v>1</v>
      </c>
      <c r="I12" t="s">
        <v>1</v>
      </c>
      <c r="K12">
        <v>0</v>
      </c>
      <c r="N12" t="str">
        <f t="shared" si="1"/>
        <v>טיוטא</v>
      </c>
      <c r="O12" t="str">
        <f t="shared" si="2"/>
        <v>אופיר</v>
      </c>
      <c r="Q12">
        <v>0</v>
      </c>
      <c r="W12" t="str">
        <f t="shared" si="3"/>
        <v>ש"ח</v>
      </c>
      <c r="X12">
        <v>108800</v>
      </c>
      <c r="Y12" t="str">
        <f t="shared" si="4"/>
        <v>ש"ח</v>
      </c>
    </row>
    <row r="13" spans="2:25" ht="45" x14ac:dyDescent="0.2">
      <c r="B13" s="6" t="s">
        <v>51</v>
      </c>
      <c r="C13">
        <v>1</v>
      </c>
      <c r="D13">
        <v>108800</v>
      </c>
      <c r="E13" t="str">
        <f t="shared" si="0"/>
        <v>Y</v>
      </c>
      <c r="F13">
        <v>0</v>
      </c>
      <c r="H13">
        <v>1</v>
      </c>
      <c r="I13" t="s">
        <v>1</v>
      </c>
      <c r="K13">
        <v>0</v>
      </c>
      <c r="N13" t="str">
        <f t="shared" si="1"/>
        <v>טיוטא</v>
      </c>
      <c r="O13" t="str">
        <f t="shared" si="2"/>
        <v>אופיר</v>
      </c>
      <c r="Q13">
        <v>0</v>
      </c>
      <c r="W13" t="str">
        <f t="shared" si="3"/>
        <v>ש"ח</v>
      </c>
      <c r="X13">
        <v>108800</v>
      </c>
      <c r="Y13" t="str">
        <f t="shared" si="4"/>
        <v>ש"ח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"/>
  <sheetViews>
    <sheetView rightToLeft="1" workbookViewId="0">
      <selection activeCell="A4" sqref="A4:XFD6"/>
    </sheetView>
  </sheetViews>
  <sheetFormatPr defaultRowHeight="14.25" x14ac:dyDescent="0.2"/>
  <cols>
    <col min="2" max="2" width="20.625" customWidth="1"/>
  </cols>
  <sheetData>
    <row r="1" spans="1:117" x14ac:dyDescent="0.2">
      <c r="A1" s="4" t="str">
        <f>"מס. לקוח"</f>
        <v>מס. לקוח</v>
      </c>
      <c r="B1" t="str">
        <f>"שם לקוח"</f>
        <v>שם לקוח</v>
      </c>
      <c r="C1" t="str">
        <f>"מס' פרויקט"</f>
        <v>מס' פרויקט</v>
      </c>
      <c r="D1" t="str">
        <f>"תאור פרויקט"</f>
        <v>תאור פרויקט</v>
      </c>
      <c r="E1" t="str">
        <f>"תאור לועזי"</f>
        <v>תאור לועזי</v>
      </c>
      <c r="F1" t="str">
        <f>"מנהל פרויקט"</f>
        <v>מנהל פרויקט</v>
      </c>
      <c r="G1" t="str">
        <f>"לווי פרויקט"</f>
        <v>לווי פרויקט</v>
      </c>
      <c r="H1" t="str">
        <f>"לחיוב?"</f>
        <v>לחיוב?</v>
      </c>
      <c r="I1" t="str">
        <f>"סטטוס"</f>
        <v>סטטוס</v>
      </c>
      <c r="J1" t="str">
        <f>"סוג פרויקט"</f>
        <v>סוג פרויקט</v>
      </c>
      <c r="K1" t="str">
        <f>"תאור סוג פרויקט"</f>
        <v>תאור סוג פרויקט</v>
      </c>
      <c r="L1" t="str">
        <f>"סווג נוסף לפרויקט"</f>
        <v>סווג נוסף לפרויקט</v>
      </c>
      <c r="M1" t="str">
        <f>"תאור סווג נוסף"</f>
        <v>תאור סווג נוסף</v>
      </c>
      <c r="N1" t="str">
        <f>"קוד סוג לקוח"</f>
        <v>קוד סוג לקוח</v>
      </c>
      <c r="O1" t="str">
        <f>"תאור סוג לקוח"</f>
        <v>תאור סוג לקוח</v>
      </c>
      <c r="P1" t="str">
        <f>"ת. פתיחה"</f>
        <v>ת. פתיחה</v>
      </c>
      <c r="Q1" t="str">
        <f>"חישוב עלויות אוטומטי"</f>
        <v>חישוב עלויות אוטומטי</v>
      </c>
      <c r="R1" t="str">
        <f>"ת. התקנה"</f>
        <v>ת. התקנה</v>
      </c>
      <c r="S1" t="str">
        <f>"משך אחריות (בחודשים)"</f>
        <v>משך אחריות (בחודשים)</v>
      </c>
      <c r="T1" t="str">
        <f>"קוד מחירון"</f>
        <v>קוד מחירון</v>
      </c>
      <c r="U1" t="str">
        <f>"פרטים"</f>
        <v>פרטים</v>
      </c>
      <c r="V1" t="str">
        <f>"עדכון במהדורות בלבד"</f>
        <v>עדכון במהדורות בלבד</v>
      </c>
      <c r="W1" t="str">
        <f>"מהדורה נוכחית"</f>
        <v>מהדורה נוכחית</v>
      </c>
      <c r="X1" t="str">
        <f>"קובץ MS-PROJECT"</f>
        <v>קובץ MS-PROJECT</v>
      </c>
      <c r="Y1" t="str">
        <f>"מס' משתמשים"</f>
        <v>מס' משתמשים</v>
      </c>
      <c r="Z1" t="str">
        <f>"אסמכתא"</f>
        <v>אסמכתא</v>
      </c>
      <c r="AA1" t="str">
        <f>"ק""מ לחיוב"</f>
        <v>ק"מ לחיוב</v>
      </c>
      <c r="AB1" t="str">
        <f>"זמן דרך לחיוב"</f>
        <v>זמן דרך לחיוב</v>
      </c>
      <c r="AC1" t="str">
        <f>"ק""מ דווח פנימי"</f>
        <v>ק"מ דווח פנימי</v>
      </c>
      <c r="AD1" t="str">
        <f>"זמן דרך דווח פנימי"</f>
        <v>זמן דרך דווח פנימי</v>
      </c>
      <c r="AE1" t="str">
        <f>"סה""כ תכולה"</f>
        <v>סה"כ תכולה</v>
      </c>
      <c r="AF1" t="str">
        <f>"הנחה כללית (%)"</f>
        <v>הנחה כללית (%)</v>
      </c>
      <c r="AG1" t="str">
        <f>"מחיר אחרי הנחה"</f>
        <v>מחיר אחרי הנחה</v>
      </c>
      <c r="AH1" t="str">
        <f>"מע""מ"</f>
        <v>מע"מ</v>
      </c>
      <c r="AI1" t="str">
        <f>"קוד מס"</f>
        <v>קוד מס</v>
      </c>
      <c r="AJ1" t="str">
        <f>"סה""כ מחיר הפרויקט"</f>
        <v>סה"כ מחיר הפרויקט</v>
      </c>
      <c r="AK1" t="str">
        <f>"רווח לפי תוצ' סופיים"</f>
        <v>רווח לפי תוצ' סופיים</v>
      </c>
      <c r="AL1" t="str">
        <f>"ת. חישוב עלות"</f>
        <v>ת. חישוב עלות</v>
      </c>
      <c r="AM1" t="str">
        <f>"מטבע"</f>
        <v>מטבע</v>
      </c>
      <c r="AN1" t="str">
        <f>"מחיר שרות"</f>
        <v>מחיר שרות</v>
      </c>
      <c r="AO1" t="str">
        <f>"סה""כ מחיר מתוכנן"</f>
        <v>סה"כ מחיר מתוכנן</v>
      </c>
      <c r="AP1" t="str">
        <f>"עלות חומר מצטברת"</f>
        <v>עלות חומר מצטברת</v>
      </c>
      <c r="AQ1" t="str">
        <f>"ת. שינוי אחרון"</f>
        <v>ת. שינוי אחרון</v>
      </c>
      <c r="AR1" t="str">
        <f>"עלות עבודה מצטברת"</f>
        <v>עלות עבודה מצטברת</v>
      </c>
      <c r="AS1" t="str">
        <f>"סה""כ עלות מתוכננת"</f>
        <v>סה"כ עלות מתוכננת</v>
      </c>
      <c r="AT1" t="str">
        <f>"סה""כ רווח מתוכנן"</f>
        <v>סה"כ רווח מתוכנן</v>
      </c>
      <c r="AU1" t="str">
        <f>"מטבע"</f>
        <v>מטבע</v>
      </c>
      <c r="AV1" t="str">
        <f>"תכנון שעות מצטבר"</f>
        <v>תכנון שעות מצטבר</v>
      </c>
      <c r="AW1" t="str">
        <f>"ביצוע רכש?"</f>
        <v>ביצוע רכש?</v>
      </c>
      <c r="AX1" t="str">
        <f>"איש קשר"</f>
        <v>איש קשר</v>
      </c>
      <c r="AY1" t="str">
        <f>"טלפון"</f>
        <v>טלפון</v>
      </c>
      <c r="AZ1" t="str">
        <f>"נספחים?"</f>
        <v>נספחים?</v>
      </c>
      <c r="BA1" t="str">
        <f>"לא נכלל בבילינג ?"</f>
        <v>לא נכלל בבילינג ?</v>
      </c>
      <c r="BB1" t="str">
        <f>"פרויקט לא לדווח?"</f>
        <v>פרויקט לא לדווח?</v>
      </c>
      <c r="BC1" t="str">
        <f>"שעות לא לחיוב?"</f>
        <v>שעות לא לחיוב?</v>
      </c>
      <c r="BD1" t="str">
        <f>"אישור שעות?"</f>
        <v>אישור שעות?</v>
      </c>
      <c r="BE1" t="str">
        <f>"חתימה"</f>
        <v>חתימה</v>
      </c>
      <c r="BF1" t="str">
        <f>"ת. חתימה"</f>
        <v>ת. חתימה</v>
      </c>
      <c r="BG1" t="str">
        <f>"תאריך התחלה בפועל"</f>
        <v>תאריך התחלה בפועל</v>
      </c>
      <c r="BH1" t="str">
        <f>"תאריך צו התחלת עבודה"</f>
        <v>תאריך צו התחלת עבודה</v>
      </c>
      <c r="BI1" t="str">
        <f>"תאריך סיום בצוע חוזי"</f>
        <v>תאריך סיום בצוע חוזי</v>
      </c>
      <c r="BJ1" t="str">
        <f>"תאריך סיום משוער"</f>
        <v>תאריך סיום משוער</v>
      </c>
      <c r="BK1" t="str">
        <f>"משך בחודשים חוזי"</f>
        <v>משך בחודשים חוזי</v>
      </c>
      <c r="BL1" t="str">
        <f>"משך בחודשים משוער"</f>
        <v>משך בחודשים משוער</v>
      </c>
      <c r="BM1" t="str">
        <f>"ניהול רב מטבעי"</f>
        <v>ניהול רב מטבעי</v>
      </c>
      <c r="BN1" t="str">
        <f>"תאריך לשערוך מטבעות"</f>
        <v>תאריך לשערוך מטבעות</v>
      </c>
      <c r="BO1" t="str">
        <f>"שטח (מ""ר)"</f>
        <v>שטח (מ"ר)</v>
      </c>
      <c r="BP1" t="str">
        <f>"מרכז רווח/עלות"</f>
        <v>מרכז רווח/עלות</v>
      </c>
      <c r="BQ1" t="str">
        <f>"תאור מרכז רווח/עלות"</f>
        <v>תאור מרכז רווח/עלות</v>
      </c>
      <c r="BR1" t="str">
        <f>"מספר בניינים"</f>
        <v>מספר בניינים</v>
      </c>
      <c r="BS1" t="str">
        <f>"מספר קומות"</f>
        <v>מספר קומות</v>
      </c>
      <c r="BT1" t="str">
        <f>"כמות יחידות דיור"</f>
        <v>כמות יחידות דיור</v>
      </c>
      <c r="BU1" t="str">
        <f>"היקף פרויקט(ח.מזמין)"</f>
        <v>היקף פרויקט(ח.מזמין)</v>
      </c>
      <c r="BV1" t="str">
        <f>"הקף פרויקט- צפי לגמר"</f>
        <v>הקף פרויקט- צפי לגמר</v>
      </c>
      <c r="BW1" t="str">
        <f>"התראת חריגה מתקציב"</f>
        <v>התראת חריגה מתקציב</v>
      </c>
      <c r="BX1" t="str">
        <f>"% תרומה"</f>
        <v>% תרומה</v>
      </c>
      <c r="BY1" t="str">
        <f>"פרוייקט כללי"</f>
        <v>פרוייקט כללי</v>
      </c>
      <c r="BZ1" t="str">
        <f>"מס. מזמין ראשי"</f>
        <v>מס. מזמין ראשי</v>
      </c>
      <c r="CA1" t="str">
        <f>"אחוז הוצאות מטה"</f>
        <v>אחוז הוצאות מטה</v>
      </c>
      <c r="CB1" t="str">
        <f>"שם מזמין ראשי"</f>
        <v>שם מזמין ראשי</v>
      </c>
      <c r="CC1" t="str">
        <f>"מכרז ""חם"""</f>
        <v>מכרז "חם"</v>
      </c>
      <c r="CD1" t="str">
        <f>"לא לבקרה?"</f>
        <v>לא לבקרה?</v>
      </c>
      <c r="CE1" t="str">
        <f>"מספר מכרז פנימי"</f>
        <v>מספר מכרז פנימי</v>
      </c>
      <c r="CF1" t="str">
        <f>"מספר מכרז פומבי"</f>
        <v>מספר מכרז פומבי</v>
      </c>
      <c r="CG1" t="str">
        <f>"עדכון לפי אזורים"</f>
        <v>עדכון לפי אזורים</v>
      </c>
      <c r="CH1" t="str">
        <f>"עדכון צפי לפי סעיפים"</f>
        <v>עדכון צפי לפי סעיפים</v>
      </c>
      <c r="CI1" t="str">
        <f>"פרויקט מרכז"</f>
        <v>פרויקט מרכז</v>
      </c>
      <c r="CJ1" t="str">
        <f>"מס. קבלן זוכה"</f>
        <v>מס. קבלן זוכה</v>
      </c>
      <c r="CK1" t="str">
        <f>"תאור קבלן זוכה"</f>
        <v>תאור קבלן זוכה</v>
      </c>
      <c r="CL1" t="str">
        <f>"סכום זכייה"</f>
        <v>סכום זכייה</v>
      </c>
      <c r="CM1" t="str">
        <f>"תאריך קבלת מכרז"</f>
        <v>תאריך קבלת מכרז</v>
      </c>
      <c r="CN1" t="str">
        <f>"תאריך יעד להגשה"</f>
        <v>תאריך יעד להגשה</v>
      </c>
      <c r="CO1" t="str">
        <f>"תאריך הגשה בפועל"</f>
        <v>תאריך הגשה בפועל</v>
      </c>
      <c r="CP1" t="str">
        <f>"ר. מאשרים לדרישת רכש"</f>
        <v>ר. מאשרים לדרישת רכש</v>
      </c>
      <c r="CQ1" t="str">
        <f>"תאור ר.לדרישת רכש"</f>
        <v>תאור ר.לדרישת רכש</v>
      </c>
      <c r="CR1" t="str">
        <f>"קישור תת פרק לבקרה"</f>
        <v>קישור תת פרק לבקרה</v>
      </c>
      <c r="CS1" t="str">
        <f>"ר. מאשרים להזמנת רכש"</f>
        <v>ר. מאשרים להזמנת רכש</v>
      </c>
      <c r="CT1" t="str">
        <f>"תאור ר.להזמנת רכש"</f>
        <v>תאור ר.להזמנת רכש</v>
      </c>
      <c r="CU1" t="str">
        <f>"קוד פורמט"</f>
        <v>קוד פורמט</v>
      </c>
      <c r="CV1" t="str">
        <f>"הקפאת תקציב מ.מכרז"</f>
        <v>הקפאת תקציב מ.מכרז</v>
      </c>
      <c r="CW1" t="str">
        <f>"פורמט הגשה"</f>
        <v>פורמט הגשה</v>
      </c>
      <c r="CX1" t="str">
        <f>"קוד סוג מכרז"</f>
        <v>קוד סוג מכרז</v>
      </c>
      <c r="CY1" t="str">
        <f>"תאור סוג מכרז"</f>
        <v>תאור סוג מכרז</v>
      </c>
      <c r="CZ1" t="str">
        <f>"הערות להגשה"</f>
        <v>הערות להגשה</v>
      </c>
      <c r="DA1" t="str">
        <f>"הערות מזמין להגשה"</f>
        <v>הערות מזמין להגשה</v>
      </c>
      <c r="DB1" t="str">
        <f>"היקף עבודה במ""ר"</f>
        <v>היקף עבודה במ"ר</v>
      </c>
      <c r="DC1" t="str">
        <f>"תאריך סיור קבלנים"</f>
        <v>תאריך סיור קבלנים</v>
      </c>
      <c r="DD1" t="str">
        <f>"מנהל עבודה"</f>
        <v>מנהל עבודה</v>
      </c>
      <c r="DE1" t="str">
        <f>"תאור עבודה"</f>
        <v>תאור עבודה</v>
      </c>
      <c r="DF1" t="str">
        <f>"קבלן ראשי"</f>
        <v>קבלן ראשי</v>
      </c>
      <c r="DG1" t="str">
        <f>"משתתפים בסיור"</f>
        <v>משתתפים בסיור</v>
      </c>
      <c r="DH1" t="str">
        <f>"אחראי גביה"</f>
        <v>אחראי גביה</v>
      </c>
      <c r="DI1" t="str">
        <f>"סניף"</f>
        <v>סניף</v>
      </c>
      <c r="DJ1" t="str">
        <f>"תאור הסניף"</f>
        <v>תאור הסניף</v>
      </c>
      <c r="DK1" t="str">
        <f>"אחוז ב.צ.מ"</f>
        <v>אחוז ב.צ.מ</v>
      </c>
      <c r="DL1" t="str">
        <f>"אחוז רווח"</f>
        <v>אחוז רווח</v>
      </c>
      <c r="DM1" t="str">
        <f>"ריבוי תתי פרקים"</f>
        <v>ריבוי תתי פרקים</v>
      </c>
    </row>
    <row r="2" spans="1:117" x14ac:dyDescent="0.2">
      <c r="A2" s="4" t="str">
        <f>"3038"</f>
        <v>3038</v>
      </c>
      <c r="B2" t="str">
        <f>"פורמה פרוייקטים בע""מ"</f>
        <v>פורמה פרוייקטים בע"מ</v>
      </c>
      <c r="C2" t="str">
        <f>"PR16000006"</f>
        <v>PR16000006</v>
      </c>
      <c r="D2" t="str">
        <f>"בשביס זינגר ת""א  28 קוטג'ים"</f>
        <v>בשביס זינגר ת"א  28 קוטג'ים</v>
      </c>
      <c r="F2" t="str">
        <f>"אופיר"</f>
        <v>אופיר</v>
      </c>
      <c r="H2" t="str">
        <f>"Y"</f>
        <v>Y</v>
      </c>
      <c r="I2" t="str">
        <f>"טיוטא"</f>
        <v>טיוטא</v>
      </c>
      <c r="J2" t="str">
        <f>"02"</f>
        <v>02</v>
      </c>
      <c r="K2" t="str">
        <f>"מגורים"</f>
        <v>מגורים</v>
      </c>
      <c r="P2" s="1">
        <v>42618</v>
      </c>
      <c r="Q2" t="str">
        <f>"Y"</f>
        <v>Y</v>
      </c>
      <c r="S2">
        <v>0</v>
      </c>
      <c r="W2">
        <v>1</v>
      </c>
      <c r="Y2">
        <v>0</v>
      </c>
      <c r="AA2">
        <v>0</v>
      </c>
      <c r="AB2" s="2">
        <v>0</v>
      </c>
      <c r="AC2">
        <v>0</v>
      </c>
      <c r="AD2" s="2">
        <v>0</v>
      </c>
      <c r="AE2">
        <v>0</v>
      </c>
      <c r="AF2">
        <v>0</v>
      </c>
      <c r="AG2">
        <v>0</v>
      </c>
      <c r="AH2">
        <v>0</v>
      </c>
      <c r="AI2" t="str">
        <f>"001"</f>
        <v>001</v>
      </c>
      <c r="AJ2">
        <v>0</v>
      </c>
      <c r="AK2">
        <v>-6840</v>
      </c>
      <c r="AL2" t="s">
        <v>0</v>
      </c>
      <c r="AM2" t="str">
        <f>"ש""ח"</f>
        <v>ש"ח</v>
      </c>
      <c r="AN2">
        <v>0</v>
      </c>
      <c r="AO2">
        <v>2005412.96</v>
      </c>
      <c r="AP2">
        <v>6840</v>
      </c>
      <c r="AR2">
        <v>0</v>
      </c>
      <c r="AS2">
        <v>6840</v>
      </c>
      <c r="AT2">
        <v>1998572.96</v>
      </c>
      <c r="AU2" t="str">
        <f>"ש""ח"</f>
        <v>ש"ח</v>
      </c>
      <c r="AV2">
        <v>0</v>
      </c>
      <c r="AY2" t="str">
        <f>"035383838"</f>
        <v>035383838</v>
      </c>
      <c r="BE2" t="str">
        <f>"אופיר"</f>
        <v>אופיר</v>
      </c>
      <c r="BF2" s="3">
        <v>42618.966666666667</v>
      </c>
      <c r="BK2">
        <v>1</v>
      </c>
      <c r="BL2">
        <v>1</v>
      </c>
      <c r="BO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CA2">
        <v>0</v>
      </c>
      <c r="CL2">
        <v>0</v>
      </c>
      <c r="DB2">
        <v>0</v>
      </c>
      <c r="DK2">
        <v>0</v>
      </c>
      <c r="DL2">
        <v>0</v>
      </c>
      <c r="DM2">
        <v>0</v>
      </c>
    </row>
    <row r="3" spans="1:117" x14ac:dyDescent="0.2">
      <c r="A3" s="4" t="str">
        <f>"מספר פעילות (WBS)"</f>
        <v>מספר פעילות (WBS)</v>
      </c>
      <c r="B3" t="str">
        <f>"שם פעילות"</f>
        <v>שם פעילות</v>
      </c>
      <c r="C3" t="str">
        <f>"כמות"</f>
        <v>כמות</v>
      </c>
      <c r="D3" t="str">
        <f>"מחיר ליחידה"</f>
        <v>מחיר ליחידה</v>
      </c>
      <c r="E3" t="str">
        <f>"אבן דרך"</f>
        <v>אבן דרך</v>
      </c>
      <c r="F3" t="str">
        <f>"אחוז ביצוע"</f>
        <v>אחוז ביצוע</v>
      </c>
      <c r="G3" t="str">
        <f>"מבוטל"</f>
        <v>מבוטל</v>
      </c>
      <c r="H3" t="str">
        <f>"רמה"</f>
        <v>רמה</v>
      </c>
      <c r="I3" t="str">
        <f>"ת. התחלה"</f>
        <v>ת. התחלה</v>
      </c>
      <c r="J3" t="str">
        <f>"ת. סיום"</f>
        <v>ת. סיום</v>
      </c>
      <c r="K3" t="str">
        <f>"עדיפות ביצוע"</f>
        <v>עדיפות ביצוע</v>
      </c>
      <c r="L3" t="str">
        <f>"הערה"</f>
        <v>הערה</v>
      </c>
      <c r="M3" t="str">
        <f>"ת. סיום בפועל"</f>
        <v>ת. סיום בפועל</v>
      </c>
      <c r="N3" t="str">
        <f>"סטטוס לפעילות"</f>
        <v>סטטוס לפעילות</v>
      </c>
      <c r="O3" t="str">
        <f>"באחריות"</f>
        <v>באחריות</v>
      </c>
      <c r="P3" t="str">
        <f>"משאבי אנוש"</f>
        <v>משאבי אנוש</v>
      </c>
      <c r="Q3" t="str">
        <f>"כמות שעות"</f>
        <v>כמות שעות</v>
      </c>
      <c r="R3" t="str">
        <f>"סוג פעילות"</f>
        <v>סוג פעילות</v>
      </c>
      <c r="S3" t="str">
        <f>"תאור סוג פעילות"</f>
        <v>תאור סוג פעילות</v>
      </c>
      <c r="T3" t="str">
        <f>"תוצר"</f>
        <v>תוצר</v>
      </c>
      <c r="U3" t="str">
        <f>"תאור תוצר"</f>
        <v>תאור תוצר</v>
      </c>
      <c r="V3" t="str">
        <f>"יחידה"</f>
        <v>יחידה</v>
      </c>
      <c r="W3" t="str">
        <f>"מטבע שורה"</f>
        <v>מטבע שורה</v>
      </c>
      <c r="X3" t="str">
        <f>"סה""כ מחיר הגשה"</f>
        <v>סה"כ מחיר הגשה</v>
      </c>
      <c r="Y3" t="str">
        <f>"מטבע פרויקט"</f>
        <v>מטבע פרויקט</v>
      </c>
      <c r="Z3" t="str">
        <f>"עלות עבודה לפעילות"</f>
        <v>עלות עבודה לפעילות</v>
      </c>
      <c r="AA3" t="str">
        <f>"עלות חומר לפעילות"</f>
        <v>עלות חומר לפעילות</v>
      </c>
      <c r="AB3" t="str">
        <f>"סה""כ עלות לפעילות"</f>
        <v>סה"כ עלות לפעילות</v>
      </c>
      <c r="AC3" t="str">
        <f>"עלות עבודה מצטברת"</f>
        <v>עלות עבודה מצטברת</v>
      </c>
      <c r="AD3" t="str">
        <f>"עלות חומר מצטברת"</f>
        <v>עלות חומר מצטברת</v>
      </c>
      <c r="AE3" t="str">
        <f>"סה""כ עלות מצטברת"</f>
        <v>סה"כ עלות מצטברת</v>
      </c>
      <c r="AF3" t="str">
        <f>"מטבע פרויקט"</f>
        <v>מטבע פרויקט</v>
      </c>
      <c r="AG3" t="str">
        <f>"תכנון שעות לפעילות"</f>
        <v>תכנון שעות לפעילות</v>
      </c>
      <c r="AH3" t="str">
        <f>"תכנון שעות מצטבר"</f>
        <v>תכנון שעות מצטבר</v>
      </c>
      <c r="AI3" t="str">
        <f>"מקור מחיר"</f>
        <v>מקור מחיר</v>
      </c>
      <c r="AJ3" t="str">
        <f>"שער חליפין"</f>
        <v>שער חליפין</v>
      </c>
      <c r="AK3" t="str">
        <f>"מספר מסמך תכולה"</f>
        <v>מספר מסמך תכולה</v>
      </c>
      <c r="AL3" t="str">
        <f>"תאור המסמך"</f>
        <v>תאור המסמך</v>
      </c>
      <c r="AM3" t="str">
        <f>"תאריך המסמך"</f>
        <v>תאריך המסמך</v>
      </c>
      <c r="AN3" t="str">
        <f>"סעיף תכולת פרויקט"</f>
        <v>סעיף תכולת פרויקט</v>
      </c>
      <c r="AO3" t="str">
        <f>"תאור תכולה"</f>
        <v>תאור תכולה</v>
      </c>
      <c r="AP3" t="str">
        <f>"מספר תכולת פרויקט"</f>
        <v>מספר תכולת פרויקט</v>
      </c>
      <c r="AQ3" t="str">
        <f>"תת פרויקט"</f>
        <v>תת פרויקט</v>
      </c>
      <c r="AR3" t="str">
        <f>"תאור פרויקט"</f>
        <v>תאור פרויקט</v>
      </c>
      <c r="AS3" t="str">
        <f>"ת. פתיחה"</f>
        <v>ת. פתיחה</v>
      </c>
      <c r="AT3" t="str">
        <f>"מנהל הפרויקט"</f>
        <v>מנהל הפרויקט</v>
      </c>
      <c r="AU3" t="str">
        <f>"נספחים?"</f>
        <v>נספחים?</v>
      </c>
      <c r="AV3" t="str">
        <f>"חתימה"</f>
        <v>חתימה</v>
      </c>
      <c r="AW3" t="str">
        <f>"ת. חתימה"</f>
        <v>ת. חתימה</v>
      </c>
      <c r="AX3" t="str">
        <f>"מספר פעילות"</f>
        <v>מספר פעילות</v>
      </c>
      <c r="AY3" t="str">
        <f>"אחוז התקדמות ב.ת"</f>
        <v>אחוז התקדמות ב.ת</v>
      </c>
      <c r="AZ3" t="str">
        <f>"כמות התקדמות"</f>
        <v>כמות התקדמות</v>
      </c>
      <c r="BA3" t="str">
        <f>"ערך התקדמות"</f>
        <v>ערך התקדמות</v>
      </c>
      <c r="BB3" t="str">
        <f>"עדכ. ידני של התקדמות"</f>
        <v>עדכ. ידני של התקדמות</v>
      </c>
      <c r="BC3" t="str">
        <f>"חוזה מזמין"</f>
        <v>חוזה מזמין</v>
      </c>
      <c r="BD3" t="str">
        <f>"סעיף חוזה מזמין"</f>
        <v>סעיף חוזה מזמין</v>
      </c>
      <c r="BE3" t="str">
        <f>"תת פרק בקרה תקציבית"</f>
        <v>תת פרק בקרה תקציבית</v>
      </c>
      <c r="BF3" t="str">
        <f>"תאור תת פרק בקרה"</f>
        <v>תאור תת פרק בקרה</v>
      </c>
      <c r="BG3" t="str">
        <f>"תת מכרז"</f>
        <v>תת מכרז</v>
      </c>
      <c r="BH3" t="str">
        <f>"תאור תת מכרז"</f>
        <v>תאור תת מכרז</v>
      </c>
      <c r="BI3" t="str">
        <f>"סה""כ עלות חל.לפעילות"</f>
        <v>סה"כ עלות חל.לפעילות</v>
      </c>
      <c r="BJ3" t="str">
        <f>"סה""כ מחיר חלופה"</f>
        <v>סה"כ מחיר חלופה</v>
      </c>
      <c r="BK3" t="str">
        <f>"לא לסיכום?"</f>
        <v>לא לסיכום?</v>
      </c>
      <c r="BL3" t="str">
        <f>"תנאים מיוחדים"</f>
        <v>תנאים מיוחדים</v>
      </c>
      <c r="BM3" t="str">
        <f>"מחיר הגשה ליח'"</f>
        <v>מחיר הגשה ליח'</v>
      </c>
      <c r="BN3" t="str">
        <f>"עלות ליחידה"</f>
        <v>עלות ליחידה</v>
      </c>
      <c r="BO3" t="str">
        <f>"מקובע"</f>
        <v>מקובע</v>
      </c>
      <c r="BP3" t="str">
        <f>"עקיפות?"</f>
        <v>עקיפות?</v>
      </c>
      <c r="BQ3" t="str">
        <f>"עדכון לפי אזורים"</f>
        <v>עדכון לפי אזורים</v>
      </c>
      <c r="BR3" t="str">
        <f>"הוזן מחוזה?"</f>
        <v>הוזן מחוזה?</v>
      </c>
      <c r="BS3" t="str">
        <f>"קיבוע מחיר?"</f>
        <v>קיבוע מחיר?</v>
      </c>
      <c r="BT3" t="str">
        <f>"הכלת כל המשאבים?"</f>
        <v>הכלת כל המשאבים?</v>
      </c>
      <c r="BU3" t="str">
        <f>"הנחה לעלות"</f>
        <v>הנחה לעלות</v>
      </c>
      <c r="BV3" t="str">
        <f>"סה""כ העמסה"</f>
        <v>סה"כ העמסה</v>
      </c>
      <c r="BW3" t="str">
        <f>"מחיר מצטבר לרמה"</f>
        <v>מחיר מצטבר לרמה</v>
      </c>
      <c r="BX3" t="str">
        <f>"הערות להנדסת מכרז"</f>
        <v>הערות להנדסת מכרז</v>
      </c>
      <c r="BY3" t="str">
        <f>"קיימים משאבים?"</f>
        <v>קיימים משאבים?</v>
      </c>
      <c r="BZ3" t="str">
        <f>"כמות צפי"</f>
        <v>כמות צפי</v>
      </c>
      <c r="CA3" t="str">
        <f>"שטח הבנין - עילי"</f>
        <v>שטח הבנין - עילי</v>
      </c>
      <c r="CB3" t="str">
        <f>"שטח הבנין - מרתף"</f>
        <v>שטח הבנין - מרתף</v>
      </c>
      <c r="CC3" t="str">
        <f>"מס. קומות בבנין עילי"</f>
        <v>מס. קומות בבנין עילי</v>
      </c>
      <c r="CD3" t="str">
        <f>"מס. קומות בבנין מרתף"</f>
        <v>מס. קומות בבנין מרתף</v>
      </c>
      <c r="CE3" t="str">
        <f>"סטנדרט"</f>
        <v>סטנדרט</v>
      </c>
      <c r="CF3" t="str">
        <f>"קוד סיווג למבנה"</f>
        <v>קוד סיווג למבנה</v>
      </c>
      <c r="CG3" t="str">
        <f>"תאור סיווג למבנה"</f>
        <v>תאור סיווג למבנה</v>
      </c>
      <c r="CH3" t="str">
        <f>"מבנה"</f>
        <v>מבנה</v>
      </c>
      <c r="CI3" t="str">
        <f>"פרק"</f>
        <v>פרק</v>
      </c>
      <c r="CJ3" t="str">
        <f>"תת פרק"</f>
        <v>תת פרק</v>
      </c>
      <c r="CK3" t="str">
        <f>"סעיף"</f>
        <v>סעיף</v>
      </c>
      <c r="CL3" t="str">
        <f>"אחוז תרומה"</f>
        <v>אחוז תרומה</v>
      </c>
      <c r="CM3" t="str">
        <f>"אחוז העמסה"</f>
        <v>אחוז העמסה</v>
      </c>
      <c r="CN3" t="str">
        <f>"מקור לחישוב"</f>
        <v>מקור לחישוב</v>
      </c>
      <c r="CO3" t="str">
        <f>"הערה?"</f>
        <v>הערה?</v>
      </c>
      <c r="CP3" t="str">
        <f>"עודכן תקציב גורף?"</f>
        <v>עודכן תקציב גורף?</v>
      </c>
      <c r="CQ3" t="str">
        <f>"דווח התקדמות במהדורה"</f>
        <v>דווח התקדמות במהדורה</v>
      </c>
    </row>
    <row r="4" spans="1:117" x14ac:dyDescent="0.2">
      <c r="A4" s="4" t="s">
        <v>13</v>
      </c>
      <c r="B4" t="s">
        <v>38</v>
      </c>
      <c r="C4">
        <v>1</v>
      </c>
      <c r="D4">
        <v>0</v>
      </c>
      <c r="F4">
        <v>100</v>
      </c>
      <c r="H4">
        <v>2</v>
      </c>
      <c r="I4" t="s">
        <v>1</v>
      </c>
      <c r="K4">
        <v>0</v>
      </c>
      <c r="M4" t="s">
        <v>10</v>
      </c>
      <c r="N4" t="str">
        <f>"טיוטא"</f>
        <v>טיוטא</v>
      </c>
      <c r="O4" t="str">
        <f>"אופיר"</f>
        <v>אופיר</v>
      </c>
      <c r="Q4">
        <v>0</v>
      </c>
      <c r="W4" t="str">
        <f>"ש""ח"</f>
        <v>ש"ח</v>
      </c>
      <c r="X4">
        <v>0</v>
      </c>
      <c r="Y4" t="str">
        <f>"ש""ח"</f>
        <v>ש"ח</v>
      </c>
      <c r="Z4">
        <v>0</v>
      </c>
      <c r="AA4">
        <v>6840</v>
      </c>
      <c r="AB4">
        <v>6840</v>
      </c>
      <c r="AC4">
        <v>0</v>
      </c>
      <c r="AD4">
        <v>6840</v>
      </c>
      <c r="AE4">
        <v>6840</v>
      </c>
      <c r="AF4" t="str">
        <f>"ש""ח"</f>
        <v>ש"ח</v>
      </c>
      <c r="AG4">
        <v>0</v>
      </c>
      <c r="AH4">
        <v>0</v>
      </c>
      <c r="AI4" t="str">
        <f>"ידני"</f>
        <v>ידני</v>
      </c>
      <c r="AJ4">
        <v>1</v>
      </c>
      <c r="AP4">
        <v>0</v>
      </c>
      <c r="AV4" t="str">
        <f>"אופיר"</f>
        <v>אופיר</v>
      </c>
      <c r="AW4" t="s">
        <v>9</v>
      </c>
      <c r="AX4">
        <v>38</v>
      </c>
      <c r="AY4">
        <v>0</v>
      </c>
      <c r="AZ4">
        <v>0</v>
      </c>
      <c r="BA4">
        <v>0</v>
      </c>
      <c r="BI4">
        <v>0</v>
      </c>
      <c r="BJ4">
        <v>0</v>
      </c>
      <c r="BM4">
        <v>0</v>
      </c>
      <c r="BN4">
        <v>6840</v>
      </c>
      <c r="BU4">
        <v>0</v>
      </c>
      <c r="BV4">
        <v>0</v>
      </c>
      <c r="BW4">
        <v>0</v>
      </c>
      <c r="BZ4">
        <v>1</v>
      </c>
      <c r="CA4">
        <v>0</v>
      </c>
      <c r="CB4">
        <v>0</v>
      </c>
      <c r="CC4">
        <v>0</v>
      </c>
      <c r="CD4">
        <v>0</v>
      </c>
      <c r="CL4">
        <v>0</v>
      </c>
      <c r="CM4">
        <v>0</v>
      </c>
    </row>
    <row r="5" spans="1:117" x14ac:dyDescent="0.2">
      <c r="A5" s="4" t="s">
        <v>36</v>
      </c>
      <c r="B5" t="str">
        <f>"צנרת וכבילה"</f>
        <v>צנרת וכבילה</v>
      </c>
      <c r="C5">
        <v>1</v>
      </c>
      <c r="D5">
        <v>0</v>
      </c>
      <c r="F5">
        <v>0</v>
      </c>
      <c r="H5">
        <v>2</v>
      </c>
      <c r="I5" t="s">
        <v>1</v>
      </c>
      <c r="K5">
        <v>0</v>
      </c>
      <c r="N5" t="str">
        <f>"טיוטא"</f>
        <v>טיוטא</v>
      </c>
      <c r="O5" t="str">
        <f>"אופיר"</f>
        <v>אופיר</v>
      </c>
      <c r="Q5">
        <v>0</v>
      </c>
      <c r="W5" t="str">
        <f>"ש""ח"</f>
        <v>ש"ח</v>
      </c>
      <c r="X5">
        <v>0</v>
      </c>
      <c r="Y5" t="str">
        <f>"ש""ח"</f>
        <v>ש"ח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 t="str">
        <f>"ש""ח"</f>
        <v>ש"ח</v>
      </c>
      <c r="AG5">
        <v>0</v>
      </c>
      <c r="AH5">
        <v>0</v>
      </c>
      <c r="AI5" t="str">
        <f>"ידני"</f>
        <v>ידני</v>
      </c>
      <c r="AJ5">
        <v>1</v>
      </c>
      <c r="AP5">
        <v>0</v>
      </c>
      <c r="AV5" t="str">
        <f>"אופיר"</f>
        <v>אופיר</v>
      </c>
      <c r="AW5" t="s">
        <v>9</v>
      </c>
      <c r="AX5">
        <v>39</v>
      </c>
      <c r="AY5">
        <v>0</v>
      </c>
      <c r="AZ5">
        <v>0</v>
      </c>
      <c r="BA5">
        <v>0</v>
      </c>
      <c r="BI5">
        <v>0</v>
      </c>
      <c r="BJ5">
        <v>0</v>
      </c>
      <c r="BM5">
        <v>0</v>
      </c>
      <c r="BN5">
        <v>0</v>
      </c>
      <c r="BU5">
        <v>0</v>
      </c>
      <c r="BV5">
        <v>0</v>
      </c>
      <c r="BW5">
        <v>0</v>
      </c>
      <c r="BZ5">
        <v>1</v>
      </c>
      <c r="CA5">
        <v>0</v>
      </c>
      <c r="CB5">
        <v>0</v>
      </c>
      <c r="CC5">
        <v>0</v>
      </c>
      <c r="CD5">
        <v>0</v>
      </c>
      <c r="CL5">
        <v>0</v>
      </c>
      <c r="CM5">
        <v>0</v>
      </c>
    </row>
    <row r="6" spans="1:117" x14ac:dyDescent="0.2">
      <c r="A6" s="4" t="s">
        <v>37</v>
      </c>
      <c r="B6" t="str">
        <f>"התקנת אביזרים"</f>
        <v>התקנת אביזרים</v>
      </c>
      <c r="C6">
        <v>1</v>
      </c>
      <c r="D6">
        <v>0</v>
      </c>
      <c r="F6">
        <v>0</v>
      </c>
      <c r="H6">
        <v>2</v>
      </c>
      <c r="I6" t="s">
        <v>1</v>
      </c>
      <c r="K6">
        <v>0</v>
      </c>
      <c r="N6" t="str">
        <f>"טיוטא"</f>
        <v>טיוטא</v>
      </c>
      <c r="O6" t="str">
        <f>"אופיר"</f>
        <v>אופיר</v>
      </c>
      <c r="Q6">
        <v>0</v>
      </c>
      <c r="W6" t="str">
        <f>"ש""ח"</f>
        <v>ש"ח</v>
      </c>
      <c r="X6">
        <v>0</v>
      </c>
      <c r="Y6" t="str">
        <f>"ש""ח"</f>
        <v>ש"ח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 t="str">
        <f>"ש""ח"</f>
        <v>ש"ח</v>
      </c>
      <c r="AG6">
        <v>0</v>
      </c>
      <c r="AH6">
        <v>0</v>
      </c>
      <c r="AI6" t="str">
        <f>"ידני"</f>
        <v>ידני</v>
      </c>
      <c r="AJ6">
        <v>1</v>
      </c>
      <c r="AP6">
        <v>0</v>
      </c>
      <c r="AV6" t="str">
        <f>"אופיר"</f>
        <v>אופיר</v>
      </c>
      <c r="AW6" t="s">
        <v>8</v>
      </c>
      <c r="AX6">
        <v>40</v>
      </c>
      <c r="AY6">
        <v>0</v>
      </c>
      <c r="AZ6">
        <v>0</v>
      </c>
      <c r="BA6">
        <v>0</v>
      </c>
      <c r="BI6">
        <v>0</v>
      </c>
      <c r="BJ6">
        <v>0</v>
      </c>
      <c r="BM6">
        <v>0</v>
      </c>
      <c r="BN6">
        <v>0</v>
      </c>
      <c r="BU6">
        <v>0</v>
      </c>
      <c r="BV6">
        <v>0</v>
      </c>
      <c r="BW6">
        <v>0</v>
      </c>
      <c r="BZ6">
        <v>1</v>
      </c>
      <c r="CA6">
        <v>0</v>
      </c>
      <c r="CB6">
        <v>0</v>
      </c>
      <c r="CC6">
        <v>0</v>
      </c>
      <c r="CD6">
        <v>0</v>
      </c>
      <c r="CL6">
        <v>0</v>
      </c>
      <c r="CM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גיליון1</vt:lpstr>
      <vt:lpstr>גיליון2</vt:lpstr>
      <vt:lpstr>10.1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Dayan Ofir</dc:creator>
  <cp:lastModifiedBy>לייטמן מערכות</cp:lastModifiedBy>
  <dcterms:created xsi:type="dcterms:W3CDTF">2016-11-09T04:24:00Z</dcterms:created>
  <dcterms:modified xsi:type="dcterms:W3CDTF">2016-12-04T23:03:36Z</dcterms:modified>
</cp:coreProperties>
</file>