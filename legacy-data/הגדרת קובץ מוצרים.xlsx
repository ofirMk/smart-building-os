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לייטמןמערכות\Desktop\"/>
    </mc:Choice>
  </mc:AlternateContent>
  <xr:revisionPtr revIDLastSave="0" documentId="11_C16620BE0A0EF1C1606F4104AF0C56DCA0B9E82D" xr6:coauthVersionLast="47" xr6:coauthVersionMax="47" xr10:uidLastSave="{00000000-0000-0000-0000-000000000000}"/>
  <bookViews>
    <workbookView xWindow="240" yWindow="45" windowWidth="21075" windowHeight="10035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J1" i="1"/>
  <c r="A2" i="1"/>
  <c r="H2" i="1"/>
  <c r="J2" i="1"/>
  <c r="A3" i="1"/>
  <c r="E3" i="1"/>
  <c r="H3" i="1"/>
  <c r="J3" i="1"/>
  <c r="A4" i="1"/>
  <c r="E4" i="1"/>
  <c r="H4" i="1"/>
  <c r="J4" i="1"/>
  <c r="A5" i="1"/>
  <c r="E5" i="1"/>
  <c r="H5" i="1"/>
  <c r="J5" i="1"/>
  <c r="A6" i="1"/>
  <c r="H6" i="1"/>
  <c r="J6" i="1"/>
  <c r="A7" i="1"/>
  <c r="H7" i="1"/>
  <c r="J7" i="1"/>
  <c r="A8" i="1"/>
  <c r="H8" i="1"/>
  <c r="J8" i="1"/>
  <c r="A9" i="1"/>
  <c r="H9" i="1"/>
  <c r="J9" i="1"/>
  <c r="A10" i="1"/>
  <c r="E10" i="1"/>
  <c r="H10" i="1"/>
  <c r="J10" i="1"/>
  <c r="A11" i="1"/>
  <c r="E11" i="1"/>
  <c r="H11" i="1"/>
  <c r="J11" i="1"/>
  <c r="A12" i="1"/>
  <c r="H12" i="1"/>
  <c r="J12" i="1"/>
  <c r="A13" i="1"/>
  <c r="H13" i="1"/>
  <c r="J13" i="1"/>
  <c r="A14" i="1"/>
  <c r="H14" i="1"/>
  <c r="J14" i="1"/>
  <c r="A15" i="1"/>
  <c r="H15" i="1"/>
  <c r="J15" i="1"/>
  <c r="A16" i="1"/>
  <c r="H16" i="1"/>
  <c r="J16" i="1"/>
  <c r="A17" i="1"/>
  <c r="H17" i="1"/>
  <c r="J17" i="1"/>
  <c r="A18" i="1"/>
  <c r="H18" i="1"/>
  <c r="J18" i="1"/>
  <c r="A19" i="1"/>
  <c r="E19" i="1"/>
  <c r="H19" i="1"/>
  <c r="J19" i="1"/>
  <c r="A20" i="1"/>
  <c r="E20" i="1"/>
  <c r="H20" i="1"/>
  <c r="J20" i="1"/>
  <c r="A21" i="1"/>
  <c r="E21" i="1"/>
  <c r="H21" i="1"/>
  <c r="J21" i="1"/>
  <c r="A22" i="1"/>
  <c r="E22" i="1"/>
  <c r="H22" i="1"/>
  <c r="J22" i="1"/>
  <c r="A23" i="1"/>
  <c r="E23" i="1"/>
  <c r="H23" i="1"/>
  <c r="J23" i="1"/>
  <c r="A24" i="1"/>
  <c r="E24" i="1"/>
  <c r="H24" i="1"/>
  <c r="J24" i="1"/>
  <c r="A25" i="1"/>
  <c r="E25" i="1"/>
  <c r="H25" i="1"/>
  <c r="J25" i="1"/>
  <c r="A26" i="1"/>
  <c r="H26" i="1"/>
  <c r="J26" i="1"/>
  <c r="A27" i="1"/>
  <c r="E27" i="1"/>
  <c r="H27" i="1"/>
  <c r="J27" i="1"/>
  <c r="A28" i="1"/>
  <c r="H28" i="1"/>
  <c r="J28" i="1"/>
  <c r="A29" i="1"/>
  <c r="H29" i="1"/>
  <c r="J29" i="1"/>
  <c r="A30" i="1"/>
  <c r="E30" i="1"/>
  <c r="H30" i="1"/>
  <c r="J30" i="1"/>
  <c r="A31" i="1"/>
  <c r="E31" i="1"/>
  <c r="H31" i="1"/>
  <c r="J31" i="1"/>
  <c r="A32" i="1"/>
  <c r="E32" i="1"/>
  <c r="H32" i="1"/>
  <c r="J32" i="1"/>
  <c r="A33" i="1"/>
  <c r="E33" i="1"/>
  <c r="H33" i="1"/>
  <c r="J33" i="1"/>
  <c r="A34" i="1"/>
  <c r="E34" i="1"/>
  <c r="H34" i="1"/>
  <c r="J34" i="1"/>
  <c r="A35" i="1"/>
  <c r="E35" i="1"/>
  <c r="H35" i="1"/>
  <c r="J35" i="1"/>
  <c r="A36" i="1"/>
  <c r="H36" i="1"/>
  <c r="J36" i="1"/>
  <c r="A37" i="1"/>
  <c r="H37" i="1"/>
  <c r="J37" i="1"/>
  <c r="A38" i="1"/>
  <c r="H38" i="1"/>
  <c r="J38" i="1"/>
  <c r="A39" i="1"/>
  <c r="H39" i="1"/>
  <c r="J39" i="1"/>
  <c r="A40" i="1"/>
  <c r="H40" i="1"/>
  <c r="J40" i="1"/>
  <c r="A41" i="1"/>
  <c r="H41" i="1"/>
  <c r="J41" i="1"/>
  <c r="A42" i="1"/>
  <c r="H42" i="1"/>
  <c r="J42" i="1"/>
  <c r="A43" i="1"/>
  <c r="H43" i="1"/>
  <c r="J43" i="1"/>
  <c r="A44" i="1"/>
  <c r="H44" i="1"/>
  <c r="J44" i="1"/>
  <c r="A45" i="1"/>
  <c r="H45" i="1"/>
  <c r="J45" i="1"/>
  <c r="A46" i="1"/>
  <c r="H46" i="1"/>
  <c r="J46" i="1"/>
  <c r="A47" i="1"/>
  <c r="E47" i="1"/>
  <c r="H47" i="1"/>
  <c r="J47" i="1"/>
  <c r="A48" i="1"/>
  <c r="H48" i="1"/>
  <c r="J48" i="1"/>
  <c r="A49" i="1"/>
  <c r="H49" i="1"/>
  <c r="J49" i="1"/>
  <c r="A50" i="1"/>
  <c r="H50" i="1"/>
  <c r="J50" i="1"/>
  <c r="A51" i="1"/>
  <c r="H51" i="1"/>
  <c r="J51" i="1"/>
  <c r="A52" i="1"/>
  <c r="H52" i="1"/>
  <c r="J52" i="1"/>
  <c r="A53" i="1"/>
  <c r="H53" i="1"/>
  <c r="J53" i="1"/>
  <c r="A54" i="1"/>
  <c r="H54" i="1"/>
  <c r="J54" i="1"/>
  <c r="A55" i="1"/>
  <c r="H55" i="1"/>
  <c r="J55" i="1"/>
  <c r="A56" i="1"/>
  <c r="H56" i="1"/>
  <c r="J56" i="1"/>
  <c r="A57" i="1"/>
  <c r="H57" i="1"/>
  <c r="J57" i="1"/>
  <c r="A58" i="1"/>
  <c r="H58" i="1"/>
  <c r="J58" i="1"/>
  <c r="A59" i="1"/>
  <c r="H59" i="1"/>
  <c r="J59" i="1"/>
  <c r="A60" i="1"/>
  <c r="H60" i="1"/>
  <c r="J60" i="1"/>
  <c r="A61" i="1"/>
  <c r="H61" i="1"/>
  <c r="J61" i="1"/>
  <c r="A62" i="1"/>
  <c r="H62" i="1"/>
  <c r="J62" i="1"/>
  <c r="A63" i="1"/>
  <c r="H63" i="1"/>
  <c r="J63" i="1"/>
  <c r="A64" i="1"/>
  <c r="H64" i="1"/>
  <c r="J64" i="1"/>
  <c r="A65" i="1"/>
  <c r="E65" i="1"/>
  <c r="H65" i="1"/>
  <c r="J65" i="1"/>
  <c r="A66" i="1"/>
  <c r="E66" i="1"/>
  <c r="H66" i="1"/>
  <c r="J66" i="1"/>
  <c r="A67" i="1"/>
  <c r="H67" i="1"/>
  <c r="J67" i="1"/>
  <c r="A68" i="1"/>
  <c r="H68" i="1"/>
  <c r="J68" i="1"/>
</calcChain>
</file>

<file path=xl/sharedStrings.xml><?xml version="1.0" encoding="utf-8"?>
<sst xmlns="http://schemas.openxmlformats.org/spreadsheetml/2006/main" count="2475" uniqueCount="498">
  <si>
    <t>מק"ט</t>
  </si>
  <si>
    <t>יח' מפעל</t>
  </si>
  <si>
    <t>תאור מוצר</t>
  </si>
  <si>
    <t>סטטוס</t>
  </si>
  <si>
    <t>טיפוס P/R/O</t>
  </si>
  <si>
    <t>מנוהל מלאי?</t>
  </si>
  <si>
    <t>פרמטר 1 למוצר</t>
  </si>
  <si>
    <t>איתור</t>
  </si>
  <si>
    <t>פרמטר 8 למוצר</t>
  </si>
  <si>
    <t>פרמטר 9 למוצר</t>
  </si>
  <si>
    <t>ברקור</t>
  </si>
  <si>
    <t>קבוצה בפילוג ABC</t>
  </si>
  <si>
    <t>מע"מ?</t>
  </si>
  <si>
    <t>נפח</t>
  </si>
  <si>
    <t>מחסן</t>
  </si>
  <si>
    <t>משקל</t>
  </si>
  <si>
    <t>יח' משקל</t>
  </si>
  <si>
    <t>פרמטר 10 למוצר</t>
  </si>
  <si>
    <t>פרמטר 2 למוצר</t>
  </si>
  <si>
    <t>פרמטר 3 למוצר</t>
  </si>
  <si>
    <t>פרמטר 4 למוצר</t>
  </si>
  <si>
    <t>פרמטר 5 למוצר</t>
  </si>
  <si>
    <t>פרמטר 6 למוצר</t>
  </si>
  <si>
    <t>פרמטר 7 למוצר</t>
  </si>
  <si>
    <t>ספק מועדף</t>
  </si>
  <si>
    <t>תאור מק"ט ספק</t>
  </si>
  <si>
    <t>מק"ט ספק</t>
  </si>
  <si>
    <t>משיכה ידנית</t>
  </si>
  <si>
    <t>המשך תיאור 1</t>
  </si>
  <si>
    <t>המשך תיאור 2</t>
  </si>
  <si>
    <t>המשך תיאור 3</t>
  </si>
  <si>
    <t>המשך תיאור 4</t>
  </si>
  <si>
    <t>המשך תיאור 5</t>
  </si>
  <si>
    <t>המשך תיאור 6</t>
  </si>
  <si>
    <t>מקסימום לפק"ע</t>
  </si>
  <si>
    <t>מינימום להזמנה</t>
  </si>
  <si>
    <t>שעור המרה לא קבוע</t>
  </si>
  <si>
    <t>מלאי בטחון</t>
  </si>
  <si>
    <t>מנופק לרשימות זווד</t>
  </si>
  <si>
    <t>זמן בדיקות</t>
  </si>
  <si>
    <t>מטבע מחיר אחרון</t>
  </si>
  <si>
    <t>מחיר אחרון</t>
  </si>
  <si>
    <t>זמן אספקה רכש</t>
  </si>
  <si>
    <t>עלות תקן ש"ח</t>
  </si>
  <si>
    <t>תהליך</t>
  </si>
  <si>
    <t>יח' קניה/מכירה</t>
  </si>
  <si>
    <t>טיפוס מדיניות עיתוד</t>
  </si>
  <si>
    <t>מהדורה</t>
  </si>
  <si>
    <t>עלות תקן $</t>
  </si>
  <si>
    <t>מנוהל מס' סידוריים?</t>
  </si>
  <si>
    <t>זמן הובלה</t>
  </si>
  <si>
    <t>מטבע בסיס</t>
  </si>
  <si>
    <t>מחיר בסיס</t>
  </si>
  <si>
    <t>שעור המרת יחידות</t>
  </si>
  <si>
    <t>תאריך מחיר אחרון</t>
  </si>
  <si>
    <t>עלות יבוא אוויר (%)</t>
  </si>
  <si>
    <t>עלות יבוא ים (%)</t>
  </si>
  <si>
    <t>עלות יבוא יבשה (%)</t>
  </si>
  <si>
    <t>סוג עלות יבוא L/S/A</t>
  </si>
  <si>
    <t>תאור לועזי</t>
  </si>
  <si>
    <t>המשך תיאור לועזי 1</t>
  </si>
  <si>
    <t>המשך תיאור לועזי 2</t>
  </si>
  <si>
    <t>המשך תיאור לועזי 3</t>
  </si>
  <si>
    <t>תאור משפחה</t>
  </si>
  <si>
    <t>משפחה</t>
  </si>
  <si>
    <t>מדרגת הזמנה/פק"ע</t>
  </si>
  <si>
    <t>טווח קיבוץ</t>
  </si>
  <si>
    <t>כבל FE180 E90 NHXH 3X1.5</t>
  </si>
  <si>
    <t>צמר מרירון+מופר, 20</t>
  </si>
  <si>
    <t>צינור גמיש שחור 16 EL-018 PG</t>
  </si>
  <si>
    <t>צינור גמיש שחור 29 EL-030 PG</t>
  </si>
  <si>
    <t>צינור 50 קוברה תקני שחור</t>
  </si>
  <si>
    <t>צינור 75 קוברה תקני שחור</t>
  </si>
  <si>
    <t>צינור 110 קוברה תקני שחור</t>
  </si>
  <si>
    <t>צינור 160 קוברה בסלילים</t>
  </si>
  <si>
    <t>צינור שרשור׳ 16 מ"מ</t>
  </si>
  <si>
    <t>צינור שרשורי 20 מ"מ</t>
  </si>
  <si>
    <t>צינור שרשור׳ 25 מ"מ</t>
  </si>
  <si>
    <t>צינור אפור לחשמל 160 דרג 8 עייד 4.9 ממ</t>
  </si>
  <si>
    <t>צינור אפור לחשמל 225 דרג 8 ע״ד 6.9 מם</t>
  </si>
  <si>
    <t>צינור י.ק.ע 50מ"מ 13.5(ד.8)+חוט 4</t>
  </si>
  <si>
    <t>צינור בידוד 10מ"מ שחור</t>
  </si>
  <si>
    <t>צינור בידוד 14 מ"מ שחור</t>
  </si>
  <si>
    <t>מריכף 20 חדש שחור/כתום</t>
  </si>
  <si>
    <t>מריכף 25 חדש שחור/כתום</t>
  </si>
  <si>
    <t>מריכף 32 חדש שחור/כתום</t>
  </si>
  <si>
    <t>מריכף 20 חדש ירוק</t>
  </si>
  <si>
    <t>מריכף 25 חדש ירוק</t>
  </si>
  <si>
    <t>מריכף 32 חדש ירוק</t>
  </si>
  <si>
    <t>מריכף 40 חדש ירוק</t>
  </si>
  <si>
    <t>מריכף 20 חדש אדום</t>
  </si>
  <si>
    <t>מריכף 20 חדש צהוב</t>
  </si>
  <si>
    <t>מריכף 20 חדש חום</t>
  </si>
  <si>
    <t>מריכף 20 חדש לבן</t>
  </si>
  <si>
    <t>מריכף 20 חדש כחול</t>
  </si>
  <si>
    <t>מריכף 25 חדש צהוב</t>
  </si>
  <si>
    <t>מריכף 25 חדש אדום</t>
  </si>
  <si>
    <t>מריכף 32 חדש כחול</t>
  </si>
  <si>
    <t>צינור גמיש אדום 11 EL-014 PG</t>
  </si>
  <si>
    <t>צינור גמיש אדום 16 EL-018 PG</t>
  </si>
  <si>
    <t>מטר כבל (בחבילה) 5X4 N2XY ממ"ר</t>
  </si>
  <si>
    <t>מטר כבל (בחבילה) 5X16 N2XY ממ״ר</t>
  </si>
  <si>
    <t>קופ' IP55 10*10*5 כניסות+ברגי רבע סיב'</t>
  </si>
  <si>
    <t>קופי סעף תה״ט 70*152*196</t>
  </si>
  <si>
    <t>קופ' 55 תקן</t>
  </si>
  <si>
    <t>קופ' 70 תקן</t>
  </si>
  <si>
    <t>קופ' שוודית 8 יציאות 16 (20 חדש)</t>
  </si>
  <si>
    <t>קופ' 55 גבס עומק פטנט תקן</t>
  </si>
  <si>
    <t>קופי לקיר גבס 55(ברגים)תקן</t>
  </si>
  <si>
    <t>קופ' 3 מודול לקיר גבס עם ברגים</t>
  </si>
  <si>
    <t>קופ' תקן 3 מודול תה"ט ללא מחיצות</t>
  </si>
  <si>
    <t>קופ' תקן 4 מודול תה"ט ללא מחיצות</t>
  </si>
  <si>
    <t>פרופיל 2X10X25 U נקוב מגולבן</t>
  </si>
  <si>
    <t>פרופיל 2.5-3X40X40X40 Z נקוב מג'</t>
  </si>
  <si>
    <t>פרופיל 2X25X25X25 Z נקוב מגולבן</t>
  </si>
  <si>
    <t>מחבר לתעלת רשת</t>
  </si>
  <si>
    <t>תעלת פח מלא 100X100X0.8</t>
  </si>
  <si>
    <t>תעלת פח מלא 200X100X0.8</t>
  </si>
  <si>
    <t>מכסה לתעלת פח מלא 100X0.8</t>
  </si>
  <si>
    <t>מכסה לתעלת פח מלא 200X0.8</t>
  </si>
  <si>
    <t>מחבר עליון לעמוד</t>
  </si>
  <si>
    <t>תעלת רשת 100X85 מגול'</t>
  </si>
  <si>
    <t>תעלת רשת 200X85 מגול'</t>
  </si>
  <si>
    <t>תעלת רשת 300X85 מגולי</t>
  </si>
  <si>
    <t>תעלת רשת 500X85 מגולי</t>
  </si>
  <si>
    <t>תעלה פח מחורץ 0.75 60.100 RLVC</t>
  </si>
  <si>
    <t>תעלה פח מחורץ 0.75 60.200 RLVC</t>
  </si>
  <si>
    <t>תעלה פח מחורץ 0.75 60.300 RLVC</t>
  </si>
  <si>
    <t>בורג + אום FLM 6X12</t>
  </si>
  <si>
    <t>תעלה פח מחורץ 1.0 RL110.200</t>
  </si>
  <si>
    <t>זרוע לקיר 200 KTAM</t>
  </si>
  <si>
    <t>זרוע לקיר 400 KTAM</t>
  </si>
  <si>
    <t>זרוע לקיר 500 KTAM</t>
  </si>
  <si>
    <t>זרוע כבדה גלוון חם לקיר ועמוד 100 KTA</t>
  </si>
  <si>
    <t>זרוע כבדה גלוון חם לקיר ועמוד 200 KTA</t>
  </si>
  <si>
    <t>זרוע כבדה גלוון חם לקיר ועמוד 300 KTA</t>
  </si>
  <si>
    <t>מחבר עליון לתקרה 50 KU</t>
  </si>
  <si>
    <t>עמוד לחיבור זרועות 50/3000 U</t>
  </si>
  <si>
    <t>זרוע לעמוד U50 דגם 200 KTUM</t>
  </si>
  <si>
    <t>מחבר עליון לתקרה מגולוון בחום 5050 KU</t>
  </si>
  <si>
    <t>עמוד לחיבור זרועות גילונן חם U5050/3000F</t>
  </si>
  <si>
    <t>מגן לעמוד לחיבור זרועות U5050 דגם K5050</t>
  </si>
  <si>
    <t>ערכה לחיבור זרוע KTA לעמוד HDS 50.50 F</t>
  </si>
  <si>
    <t>(... מטר(ניתן לעריכה NIEDAX-5 תוספת צבע</t>
  </si>
  <si>
    <t>(... יחי(ניתן לעריכה NIEDAX-7 תוספת צבע</t>
  </si>
  <si>
    <t>3X1.5 FR N2XY כבל</t>
  </si>
  <si>
    <t>מטר כבל (בחבילה) 3X1.5 N2XY</t>
  </si>
  <si>
    <t>4X1.5 N2XY כבל</t>
  </si>
  <si>
    <t>מטר כבל (בחבילה) 4X1.5 N2XY</t>
  </si>
  <si>
    <t>כבל 4X1.5 N2XY (כולל גיד צ"׳)</t>
  </si>
  <si>
    <t>5X1.5 FR N2XY כבל</t>
  </si>
  <si>
    <t>מטר כבל (בחבילה) 5X1.5 N2XY</t>
  </si>
  <si>
    <t>כבל 3X2.5 FR N2XY</t>
  </si>
  <si>
    <t>מטר כבל(בחבילה) 3X2.5 N2XY</t>
  </si>
  <si>
    <t>5X2.5 N2XY כבל</t>
  </si>
  <si>
    <t>מטר כבל (בחבילה) 5X2.5 N2XY</t>
  </si>
  <si>
    <t>כבל 5X4 N2XY ממ״ר</t>
  </si>
  <si>
    <t>כבל 3X6 N2XY ממ״ר</t>
  </si>
  <si>
    <t>כבל 5X6 FR N2XY ממ״ר</t>
  </si>
  <si>
    <t>כבל 5X10 N2XY ממ״ר</t>
  </si>
  <si>
    <t>כבל 5X16 FR N2XY ממ״ר</t>
  </si>
  <si>
    <t>כבל 3X25+16 N2XY ממ״ר</t>
  </si>
  <si>
    <t>כבל 4X25 N2XY ממי'ר</t>
  </si>
  <si>
    <t>כבל 4X35 N2XY ממייר</t>
  </si>
  <si>
    <t>כבל 4X150 N2XY עגול</t>
  </si>
  <si>
    <t>תוף קוטר עד 40 0"מ</t>
  </si>
  <si>
    <t>תוף קוטר עד 60 ס"מ</t>
  </si>
  <si>
    <t>תוף קוטר 70 0"מ</t>
  </si>
  <si>
    <t>תוף קוטר 80 0"מ</t>
  </si>
  <si>
    <t>תוף קוטר 90 0"מ</t>
  </si>
  <si>
    <t>תוף קוטר 100 ס"מ</t>
  </si>
  <si>
    <t>תוף+כבל 40 3X2.5 מ' (עד 16A)</t>
  </si>
  <si>
    <t>כבל 4X35 NA2XY סקטור</t>
  </si>
  <si>
    <t>כבל 4X50 NA2XY סקטור</t>
  </si>
  <si>
    <t>כבל 4X70 NA2XY סקטור</t>
  </si>
  <si>
    <t>כבל 4X120 NA2XY סקטור</t>
  </si>
  <si>
    <t>כבל 4X150 NA2XY סקטור</t>
  </si>
  <si>
    <t>כבל 4X185 NA2XY עגול</t>
  </si>
  <si>
    <t>כבל 4X240 NA2XY סקטור</t>
  </si>
  <si>
    <t>כבל גמיש אפור ממוספר 4x0.75</t>
  </si>
  <si>
    <t>כבל גמיש אפור ממוספר 5x0.75</t>
  </si>
  <si>
    <t>כבל גמיש אפור ממוספר 7x0.75</t>
  </si>
  <si>
    <t>כבל גמיש אפור ממוספר 8x0.75</t>
  </si>
  <si>
    <t>כבל גמיש אפור ממוספר 10x0.75</t>
  </si>
  <si>
    <t>כבל גמיש אפור ממוספר 12x0.75</t>
  </si>
  <si>
    <t>חוט 1.5 חום PVC קשיח</t>
  </si>
  <si>
    <t>חוט 1.5 צ/י PVC קשיח</t>
  </si>
  <si>
    <t>חוט 1.5 כחול PVC קשיח</t>
  </si>
  <si>
    <t>חוט 1.5 ח/ש PVC קשיח</t>
  </si>
  <si>
    <t>חוט 1.5 ח/כ PVC קשיח</t>
  </si>
  <si>
    <t>חוט 2.5 חום PVC קשיח</t>
  </si>
  <si>
    <t>חוט 2.5 צ/י PVC קשיח</t>
  </si>
  <si>
    <t>חוט 2.5 כחול PVC קשיח</t>
  </si>
  <si>
    <t>חוט 10 צ/׳ PVC קשיח</t>
  </si>
  <si>
    <t>חוט 16 צ/׳ PVC קשיח</t>
  </si>
  <si>
    <t>חוט 25 צ/׳ PVC קשיח</t>
  </si>
  <si>
    <t>חוט 35 צ/׳ PVC קשיח</t>
  </si>
  <si>
    <t>חוט 50 צ/׳ PVC קשיח</t>
  </si>
  <si>
    <t>חוט 70 צ/׳ PVC קשיח</t>
  </si>
  <si>
    <t>חוט 95 צ/׳ PVC קשיח</t>
  </si>
  <si>
    <t>חוט 120 צ/׳ FVC קשיח</t>
  </si>
  <si>
    <t>חוט 150 צ/׳ PVC קשיח</t>
  </si>
  <si>
    <t>נחושת גלויה 10 ממ״ר בחב’(100-(־1)</t>
  </si>
  <si>
    <t>כבל נאופרן 2X2.5</t>
  </si>
  <si>
    <t>כבל טלפון (בתוף) 2X2X0.5 נחושת תקן 1155</t>
  </si>
  <si>
    <t>כבל טלפון 3X2X0.5 נחושת תקן 1155</t>
  </si>
  <si>
    <t>כבל טלפון 4X2X0.5 נחושת תקן 1155</t>
  </si>
  <si>
    <t>כבל אדום גילוי אש 4X0.8 נחושת</t>
  </si>
  <si>
    <t>כבל TV לבן 6-RG תקני בתוף/מאר־ן</t>
  </si>
  <si>
    <t>FE180 E90 NHXH 5X1.5 כבל</t>
  </si>
  <si>
    <t>FE180 E90 NHXH 3X2.5 כבל</t>
  </si>
  <si>
    <t>FE180 E90 NHXH 5X2.5 כבל</t>
  </si>
  <si>
    <t>FE180 E90 NHXH 5X4 כבל</t>
  </si>
  <si>
    <t>FE180 E90 NHXH 5X6 כבל</t>
  </si>
  <si>
    <t>FE180 E90 NHXH 5X10 כבל</t>
  </si>
  <si>
    <t>FE180 E90 NHXH 5X16 כבל</t>
  </si>
  <si>
    <t>FE180 E90 NHXH 4X95 כבל</t>
  </si>
  <si>
    <t>FE180 E90 NHXH 4x25 כבל</t>
  </si>
  <si>
    <t>FE180 E90 NHXH 4x35 כבל</t>
  </si>
  <si>
    <t>FE180 E90 NHXH 4x50 כבל</t>
  </si>
  <si>
    <t>FE180 E90 NHXH 4X120 כבל</t>
  </si>
  <si>
    <t>FE180 E90 NHXH 4X150 כבל</t>
  </si>
  <si>
    <t>פס השוואה 250*40*4 9 ברגים</t>
  </si>
  <si>
    <t>פס הארקת יסוד בגליל 30X3.5</t>
  </si>
  <si>
    <t>פס הארקת יסוד בגליל 40X4</t>
  </si>
  <si>
    <t>מופה מתסצת 5X6-16 ממ״ר</t>
  </si>
  <si>
    <t>שרוול מתכווץ עם דבק 2/8</t>
  </si>
  <si>
    <t>מופה 50 שחור</t>
  </si>
  <si>
    <t>מופה מצמד מרים 160 לחשמל</t>
  </si>
  <si>
    <t>מופה מצמד מרים 225 לחשמל</t>
  </si>
  <si>
    <t>פקק נקבה לצינור 160</t>
  </si>
  <si>
    <t>פקק נקבה לצינור 225</t>
  </si>
  <si>
    <t>קשת רון 20</t>
  </si>
  <si>
    <t>קשת רון 25</t>
  </si>
  <si>
    <t>שרוול מתכווץ"3/32 2.4 ממ שחור</t>
  </si>
  <si>
    <t>שרוול מתכווץ"3/8 10.0 ממ שחור</t>
  </si>
  <si>
    <t>שרוול לחץ נחושת 2.5 ממ״ר</t>
  </si>
  <si>
    <t>שרוול לחץ נחושת 10 ממ״ר</t>
  </si>
  <si>
    <t>שרוול לחץ נחושת 16 ממ״ר</t>
  </si>
  <si>
    <t>IP-55 800*800*250 TPK ארון</t>
  </si>
  <si>
    <t>לוח פתוח ל-4 ח״א עה״ט MAKEL</t>
  </si>
  <si>
    <t>לוח עה״ט ל-4 ח״א</t>
  </si>
  <si>
    <t>ארון מתכת 300*800*1200 + פלטה</t>
  </si>
  <si>
    <t>לוח תה״ט ל-24 ח״א+דלת אטום</t>
  </si>
  <si>
    <t>לוח עה״ט ל-24 ח״א+דלת אטוס</t>
  </si>
  <si>
    <t>לוח תה״ט ל-48 ח״א+דלת לבן</t>
  </si>
  <si>
    <t>בסיס ללוח 36 תה"ט</t>
  </si>
  <si>
    <t>בסיס תה"ט ללוח תקשורת 36 + גב עץ</t>
  </si>
  <si>
    <t>WW 7W220V GU10 דקרי LED נורה</t>
  </si>
  <si>
    <t>ספק כח לד 12VDC 8A/100W</t>
  </si>
  <si>
    <t>ספק כח לד 12VDC 5A/60W + כבל</t>
  </si>
  <si>
    <t>DL. 14WT5 'נורה פלו</t>
  </si>
  <si>
    <t>נורה נלג 70W/I - מצת פנימי</t>
  </si>
  <si>
    <t>D.L. 36W 'נורה פלור</t>
  </si>
  <si>
    <t>נורה ליבון 60W שקוף</t>
  </si>
  <si>
    <t>נורה פלו' 28W/840 C.W T5</t>
  </si>
  <si>
    <t>נורה פלו' 54W/865 D.L T5</t>
  </si>
  <si>
    <t>נורה פלו' 54W/830 W.WT5</t>
  </si>
  <si>
    <t>מאח 3 נורות ספירלה DL E27 EL28W</t>
  </si>
  <si>
    <t>VEGA1X16C 6KA ח״א</t>
  </si>
  <si>
    <t>VEGA1X20C 6KA ח״א</t>
  </si>
  <si>
    <t>VEGA 3PX16C 6KA ח״א</t>
  </si>
  <si>
    <t>VEGA 3PX20C 6KA ח״א</t>
  </si>
  <si>
    <t>VEGA 3PX32C 6KA ח״א</t>
  </si>
  <si>
    <t>VEGA 3PX40C 6KA ח״א</t>
  </si>
  <si>
    <t>VEGA 3PX63C 6KA ח״א</t>
  </si>
  <si>
    <t>ממסר פחת 4X40A 30MA דגם VEGA A</t>
  </si>
  <si>
    <t>נתיך נאחד 50A</t>
  </si>
  <si>
    <t>שעון שבת+רזרבה</t>
  </si>
  <si>
    <t>1P 10A 6kA C GEWISS מאמ״ת</t>
  </si>
  <si>
    <t>3P 16A 6kA C GEWISS מאמ״ת</t>
  </si>
  <si>
    <t>3P 25A 6kA C GEWISS מאמ״ת</t>
  </si>
  <si>
    <t>ממסר פחת 4*40A 0.03 GEWISS</t>
  </si>
  <si>
    <t>ממסר פחת 4*63A 0.03 GEWISS</t>
  </si>
  <si>
    <t>מגען מיני 5.5 כ״ס LC1K0910P7 1NO</t>
  </si>
  <si>
    <t>מגען 7.5 כ״ס LC1D12P7 230VAC</t>
  </si>
  <si>
    <t>שעון פיקוד ללא רזרבה V86/1STU 240V</t>
  </si>
  <si>
    <t>iTL16A 1NO 230Vac ממסר צעד</t>
  </si>
  <si>
    <t>מגען מיני 4NO 230V נמוך</t>
  </si>
  <si>
    <t>מגען מיני 230V נמוך 3NO+1NC נמוך</t>
  </si>
  <si>
    <t>פס גישור תלת פד</t>
  </si>
  <si>
    <t>פנדל פלסטי 2X0.75</t>
  </si>
  <si>
    <t>פנדל פלסטי 3X0.75</t>
  </si>
  <si>
    <t>פנדל פלסטי 4X0.75</t>
  </si>
  <si>
    <t>דמי לבן 1 מודול לאבתר׳ גוויס</t>
  </si>
  <si>
    <t>שקע עה״ט 1-NK מוגן ילדים</t>
  </si>
  <si>
    <t>שקע עה״ט 4-NK מוגן ילדים</t>
  </si>
  <si>
    <t>פעמון זמזם בית׳ 73 תקני</t>
  </si>
  <si>
    <t>בלדח דקור' קומפלט</t>
  </si>
  <si>
    <t>ארמטורה תקרה / ח.מהיר</t>
  </si>
  <si>
    <t>מכסה כדור לארמטורה חלבי</t>
  </si>
  <si>
    <t>שקע ישראלי 16A 250V לבן GW</t>
  </si>
  <si>
    <t>מפי דו קוטבי+נ.סימון לבן TOP</t>
  </si>
  <si>
    <t>מסגרת COM מ"מ 3 מוד' לבן GW</t>
  </si>
  <si>
    <t>מסגרת COM מ"מ 4 מוד' לבן GW</t>
  </si>
  <si>
    <t>מתאם ל-2 מודול GEWISS TOP</t>
  </si>
  <si>
    <t>קופ׳+לחצן פטריה+מפתח XALK184/188</t>
  </si>
  <si>
    <t>שקע CEE לקיר 3x16</t>
  </si>
  <si>
    <t>שקע CEE לקיר 5x32</t>
  </si>
  <si>
    <t>תקע CEE נייד 3x16</t>
  </si>
  <si>
    <t>תקע CEE נ״ד 5x32</t>
  </si>
  <si>
    <t>לוח 2X12 תה״ט + דלת אטומה</t>
  </si>
  <si>
    <t>שקע קופלונג כח לבן</t>
  </si>
  <si>
    <t>פקט בקופי 3X16A (קופי גדולה 0 12x10x7מ)</t>
  </si>
  <si>
    <t>פקט בקופי 3X100A</t>
  </si>
  <si>
    <t>סרט בידוד רחב 20מ' שחור</t>
  </si>
  <si>
    <t>גלאי מתח פלוק FLUKE 1AC II</t>
  </si>
  <si>
    <t>מפסק זרם שחור(גדול) חיצוני לדוד</t>
  </si>
  <si>
    <t>מפסק דו קוטבי 16A (דוד) LIGHT</t>
  </si>
  <si>
    <t>מפסק לתריס 1-0-2 LIGHT</t>
  </si>
  <si>
    <t>דמי 1 מודול LIGHT</t>
  </si>
  <si>
    <t>שקע כח ישראלי LIGHT</t>
  </si>
  <si>
    <t>שקע טלפון בזק חדש LIGHT</t>
  </si>
  <si>
    <t>SUPER INI N-2 קופסא</t>
  </si>
  <si>
    <t>SUPER NI-Atoמפסק ׳</t>
  </si>
  <si>
    <t>SUPER N-1 שקע כח</t>
  </si>
  <si>
    <t>מפסק יחיד מוגן גמיש SUPER NVV-1AE</t>
  </si>
  <si>
    <t>שקע נח מוגן מים 1-SUPER NW</t>
  </si>
  <si>
    <t>ניסקואופיס ריקה 6 מודול תה״ט</t>
  </si>
  <si>
    <t>זוג שקעי כח</t>
  </si>
  <si>
    <t>מתאם גוויס לניסקו אופיס</t>
  </si>
  <si>
    <t>מודול תקשי קומפ':מחשב כפול+טל' כ</t>
  </si>
  <si>
    <t>מודול תקשורת 1 מחשב + 1 בזק</t>
  </si>
  <si>
    <t>ניסקואופיס ריקה 8 מודול עה״ט</t>
  </si>
  <si>
    <t>פקט בקופסא 4X32/35A ידית מנוף</t>
  </si>
  <si>
    <t>מפסק יחיד חדש מואר LIGHT 1M 16A</t>
  </si>
  <si>
    <t>מפסק חילוף חדש 1 16A מודול LIGHT</t>
  </si>
  <si>
    <t>מפסק צלב 1 16A מודול LIGHT</t>
  </si>
  <si>
    <t>ג'ל השחלה</t>
  </si>
  <si>
    <t>טוש סימון אדום בלתי מחיק שטדלר</t>
  </si>
  <si>
    <t>טוש סימון שחור בלתי מחיק שטדלר</t>
  </si>
  <si>
    <t>מדבקה oo:PVC השוואת 12X8'y^io</t>
  </si>
  <si>
    <t>משקפי מגן וירטואה שקוף/אפור</t>
  </si>
  <si>
    <t>מדבקה P.V.C הארקה לא לפרק4\8 (3)</t>
  </si>
  <si>
    <t>חוט משיכה/קשירה 2 מ"מ (700 מי)</t>
  </si>
  <si>
    <t>חוט משיכה/קשירה 6 מ"מ (500 מי)</t>
  </si>
  <si>
    <t>גיר סימון שמן-אדום (12)</t>
  </si>
  <si>
    <t>גיר סימון שמן-כחול (12)</t>
  </si>
  <si>
    <t>סרט זהירות חשמל צהוב(250 מטר)</t>
  </si>
  <si>
    <t>סרט בידוד 20 מטר ח/ש</t>
  </si>
  <si>
    <t>סרט בידוד 20 מטר צ/׳</t>
  </si>
  <si>
    <t>סרט בידוד 20 מטר חום</t>
  </si>
  <si>
    <t>סרט בידוד 20 מטר כחול</t>
  </si>
  <si>
    <t>סרט בידוד 20 מטר ח/כ</t>
  </si>
  <si>
    <t>סיליקון שקוף</t>
  </si>
  <si>
    <t>ג״ת מוגן מים 2X54W T5 + נורות</t>
  </si>
  <si>
    <t>פרימה מ.מ 0 T5 2X28Wק+נורה 840</t>
  </si>
  <si>
    <t>פס אמריקאי 2X54W T5 + נורות</t>
  </si>
  <si>
    <t>פרימה 0 2X28W +נורות 840+חרום 60דק'</t>
  </si>
  <si>
    <t>פ.הצפה שחור SMD לד DL 50W VEGA DORF</t>
  </si>
  <si>
    <t>אגם מיני B-3500D כסף</t>
  </si>
  <si>
    <t>חבק לבן 4.5 200 100) SAPISELCO)</t>
  </si>
  <si>
    <t>חבק לבן 100) SAPISELCO 280 4.5)</t>
  </si>
  <si>
    <t>סט תליה לארונות</t>
  </si>
  <si>
    <t>חבק שחור 4.5 250 100) SAPISELCO)</t>
  </si>
  <si>
    <t>חבק שחור 7.5 450 100) SAPISELCO)</t>
  </si>
  <si>
    <t>דיבל 6 מ"מ (100)</t>
  </si>
  <si>
    <t>דיבל פרפר לקיר גבס (100 יחי)</t>
  </si>
  <si>
    <t>שלה פלס' בודד 16/20 (100יח')</t>
  </si>
  <si>
    <t>שלה פלס' בודד 23/25 (100 יחי)</t>
  </si>
  <si>
    <t>שלה פלס' כפול 16/20 (100יח')</t>
  </si>
  <si>
    <t>בורג סיבית 4X40</t>
  </si>
  <si>
    <t>בורג סיבית 4X50</t>
  </si>
  <si>
    <t>בורג סיבית 4X60</t>
  </si>
  <si>
    <t>בורג סיבית 5X50</t>
  </si>
  <si>
    <t>בורג פח פח 4.2X13</t>
  </si>
  <si>
    <t>אום 3/8</t>
  </si>
  <si>
    <t>שייבות 3/8</t>
  </si>
  <si>
    <t>עוגן פליז 3/8</t>
  </si>
  <si>
    <t>פנס ראש 3 3W מצבי תאורה</t>
  </si>
  <si>
    <t>תוף+כבל כתום 50 מ' 4) 3X1.5 שקעי</t>
  </si>
  <si>
    <t>דיסק יהלום "9 פתוח</t>
  </si>
  <si>
    <t>SDS-PLUS 6*50/110 מקדח</t>
  </si>
  <si>
    <t>SDS-PLUS 7*50/110 מקדח</t>
  </si>
  <si>
    <t>SDS-PLUS 7*100/160 מקדח</t>
  </si>
  <si>
    <t>SDS-PLUS 8*50/110 מקדח</t>
  </si>
  <si>
    <t>SDS-PLUS 8*100/160 מקדח</t>
  </si>
  <si>
    <t>SDS-PLUS 9*150/210 מקדח</t>
  </si>
  <si>
    <t>SDS-PLUS 10*100/160 מקדח</t>
  </si>
  <si>
    <t>SDS-PLUS 22*400/450 מקדח</t>
  </si>
  <si>
    <t>נר דבק חם איכותי ZI</t>
  </si>
  <si>
    <t>פוטר 13 מ"מ + מעבר 3/8" 1-10 SDS</t>
  </si>
  <si>
    <t>דיסק 4.5X1.6 מ"מ לחיתוך בחל</t>
  </si>
  <si>
    <t>סט להבים לסכין יפני רחב</t>
  </si>
  <si>
    <t>מספרי קומבי נירוסטה</t>
  </si>
  <si>
    <t>מברג שען מתחלף טורקס</t>
  </si>
  <si>
    <t>מוביל ביט מגנטי</t>
  </si>
  <si>
    <t>מטר 5 מטר מגנטי מקצועי</t>
  </si>
  <si>
    <t>נועץ קרונה</t>
  </si>
  <si>
    <t>מקדח כוס "3 76 מ"מ</t>
  </si>
  <si>
    <t>מוט הברגה 3/8 מגולוון</t>
  </si>
  <si>
    <t>דיסק לבטון 4.5X1/8</t>
  </si>
  <si>
    <t>עוגן גימבו מתכת ראש בורג 3/8</t>
  </si>
  <si>
    <t>אקדח דבק חם 40W זיקו + תקן</t>
  </si>
  <si>
    <t>אחמל שטוח לפטישון</t>
  </si>
  <si>
    <t>פלייר שפיץ 160 מבודד VDE 1000V</t>
  </si>
  <si>
    <t>פלייר מבודד 180 VDE 1000V</t>
  </si>
  <si>
    <t>10לם עץ תקני 5 שלבים</t>
  </si>
  <si>
    <t>סולם עץ תקני 6 שלבים</t>
  </si>
  <si>
    <t>תרסיס 40 - 330) WD)</t>
  </si>
  <si>
    <t>נ.כ 35-קדח 10.0 DIN</t>
  </si>
  <si>
    <t>נ.כ 50-קדח 13.0 DIN</t>
  </si>
  <si>
    <t>סטלבנד שבלול 50 מטר מסולסל 7 מ"מ</t>
  </si>
  <si>
    <t>מקדח מדורג לאימפקט 4-32</t>
  </si>
  <si>
    <t>מקדח מדורג לאימפקט 6-30</t>
  </si>
  <si>
    <t>סט 5 משוריות לגיקסון(בוש) בחל</t>
  </si>
  <si>
    <t>פלס 781 KAPRO אורך 60 0"מ מגנטי</t>
  </si>
  <si>
    <t>סט להבים לסכין 50) OLFA יח)</t>
  </si>
  <si>
    <t>חותך ומקלף כבלים 38-CA-38 / CC</t>
  </si>
  <si>
    <t>אקדח סיליקון מיקצוע׳ CY-E017-C</t>
  </si>
  <si>
    <t>מסור לגבס 255</t>
  </si>
  <si>
    <t>נשמיה עם פילטר דגם 9312</t>
  </si>
  <si>
    <t>נ.כ 16-קדח 10.5 DIN</t>
  </si>
  <si>
    <t>נ.כ25-קדח 13.0 DIN</t>
  </si>
  <si>
    <t>חותך ומקלף כבלים 22-CA</t>
  </si>
  <si>
    <t>WERA 1000V 3.0X100 מבת</t>
  </si>
  <si>
    <t>WERA 1000V 4.0X100 מברג</t>
  </si>
  <si>
    <t>WERA 1000V 6.5X150 מברג</t>
  </si>
  <si>
    <t>מברג פליפס WERA 1000V 1X80</t>
  </si>
  <si>
    <t>מברג שטוח למהדקים WERA 4X100</t>
  </si>
  <si>
    <t>סט ביטים פליפס 10 PH2X25 יחי בקופ</t>
  </si>
  <si>
    <t>6-FTP-CAT נחושת מסוכך בחבילה</t>
  </si>
  <si>
    <t>מברג - טסטר גרמני קצר</t>
  </si>
  <si>
    <t>משחזת זווית "9</t>
  </si>
  <si>
    <t>מהדק מס 2 פלסטי ווי0בורד/א,נתן</t>
  </si>
  <si>
    <t>מהדק הארקה כבד 8 מ"מ (לגא־ז)</t>
  </si>
  <si>
    <t>אלקטרודה לריתוך 2.5 מ"מ (2.8ק"ג)</t>
  </si>
  <si>
    <t>מהדק מס 1 פלסטי וויסבורד/א.נתך</t>
  </si>
  <si>
    <t>מהדק גמיש TRIDONIC מסי 2 (שורה של 12 יח)</t>
  </si>
  <si>
    <t>מהדק מס 4 פלסטי א.נתך</t>
  </si>
  <si>
    <t>מהדק הארקה כבד 10 מ"מ (לגאז)</t>
  </si>
  <si>
    <t>מחבר לחץ אלי 50 ללא מתיחה</t>
  </si>
  <si>
    <t>מחבר לחץ אלי 95 ללא מתיחה</t>
  </si>
  <si>
    <t>מהדק חיבור מהיר 1.5/2.5*5</t>
  </si>
  <si>
    <t>מהדק חיבור מהיר 1.5/2.5*8</t>
  </si>
  <si>
    <t>מהדק כתף 50 מ"מ</t>
  </si>
  <si>
    <t>מהדק לפס 2.5 ממ״ר</t>
  </si>
  <si>
    <t>מהדק לפס 16 ממ״ר</t>
  </si>
  <si>
    <t>מהדק 2 קומות 2.5ממ"ר 2.5 WDK</t>
  </si>
  <si>
    <t>מטר</t>
  </si>
  <si>
    <t xml:space="preserve">יחידה </t>
  </si>
  <si>
    <t>קופ' מרובעת לחיבורים 10*10 תה״ט</t>
  </si>
  <si>
    <t>קופ' רון 20 תקן סגור</t>
  </si>
  <si>
    <t>קופ' רון 20 תקן 2 פתחים</t>
  </si>
  <si>
    <t>קופ' רון 20 תקן 3 פתחים</t>
  </si>
  <si>
    <t>קופ' 8 פתחים לת.אקוסטית תקן קרם</t>
  </si>
  <si>
    <t>D-8P קופ' אטומה+פטמות 50*80*80</t>
  </si>
  <si>
    <t>D-1P קופ' אטומה+פטמות 50*100*100</t>
  </si>
  <si>
    <t>קופ' D-2P כניסות אפור אטום 80*150*190</t>
  </si>
  <si>
    <t>קופ' 2-D אפור אטום 100*150*190 חלק</t>
  </si>
  <si>
    <t>קופ' 2-D אפור אטום 80*150*190 חלק</t>
  </si>
  <si>
    <t>קופ' D25 שקעים 3316</t>
  </si>
  <si>
    <t>קופ' NPL ריקה</t>
  </si>
  <si>
    <t>קופ' ללא ח״א 516.2316 NA</t>
  </si>
  <si>
    <t>קופ' ללא ח״א 2532</t>
  </si>
  <si>
    <t>קופ' ללא ח״א 516.210 NA</t>
  </si>
  <si>
    <t>קופ' ללא ח״א 2532.110 NA</t>
  </si>
  <si>
    <t>קופ' תקן פטנט 3 ממודול לגבס ללא מחיצות</t>
  </si>
  <si>
    <t>קופ' 4 מק' פטנט גבס+ברגים ללא מחיצות</t>
  </si>
  <si>
    <t>קופ' 4 מודול לגבס+ברגים ללא מחיצו</t>
  </si>
  <si>
    <t>קופ' תקן 6 מקום תה״ט ללא מחיצות</t>
  </si>
  <si>
    <t>קופ' 6 מקוס לקיר גבס+ברג׳ם ללא מחיצות</t>
  </si>
  <si>
    <t>קופ' סעף לגבס+מכסה 75*149*195 PW6</t>
  </si>
  <si>
    <t>קופ' 3-130-BDI חלק אפור אטום</t>
  </si>
  <si>
    <t>קופ'  2-D אפור 130*150*190 חלק גבוה</t>
  </si>
  <si>
    <t>זרוע תמיכה 200 לעמוד</t>
  </si>
  <si>
    <t>מוליך אלומ' AL1X70 750V צפו׳ PVC צ/י</t>
  </si>
  <si>
    <t>פס/פלח הארקת יסוד 4*40</t>
  </si>
  <si>
    <t>מופה לצינור אדום 16 (20 חדש)</t>
  </si>
  <si>
    <t>ספריי צבע כחול</t>
  </si>
  <si>
    <t>חבילה</t>
  </si>
  <si>
    <t>פעיל</t>
  </si>
  <si>
    <t>p</t>
  </si>
  <si>
    <t>Y</t>
  </si>
  <si>
    <t>245GA9050</t>
  </si>
  <si>
    <t xml:space="preserve">20 86 </t>
  </si>
  <si>
    <t>039</t>
  </si>
  <si>
    <t>021</t>
  </si>
  <si>
    <t>022</t>
  </si>
  <si>
    <t>023</t>
  </si>
  <si>
    <t>031</t>
  </si>
  <si>
    <t>034</t>
  </si>
  <si>
    <t>035</t>
  </si>
  <si>
    <t>036</t>
  </si>
  <si>
    <t>037</t>
  </si>
  <si>
    <t>040</t>
  </si>
  <si>
    <t>043</t>
  </si>
  <si>
    <t>061</t>
  </si>
  <si>
    <t>062</t>
  </si>
  <si>
    <t>064</t>
  </si>
  <si>
    <t>070</t>
  </si>
  <si>
    <t>079</t>
  </si>
  <si>
    <t>081</t>
  </si>
  <si>
    <t>082</t>
  </si>
  <si>
    <t>084</t>
  </si>
  <si>
    <t>091</t>
  </si>
  <si>
    <t>092</t>
  </si>
  <si>
    <t>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</si>
</sst>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color rgb="FF00000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ont="1" applyBorder="1"/>
    <xf numFmtId="0" fontId="0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 readingOrder="2"/>
    </xf>
    <xf numFmtId="0" fontId="0" fillId="0" borderId="0" xfId="0" applyFont="1" applyBorder="1" applyAlignment="1">
      <alignment horizontal="right"/>
    </xf>
    <xf numFmtId="4" fontId="0" fillId="0" borderId="0" xfId="0" applyNumberFormat="1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rightToLeft="1" topLeftCell="A37" workbookViewId="0">
      <selection activeCell="A2" sqref="A2:A68"/>
    </sheetView>
  </sheetViews>
  <sheetFormatPr defaultRowHeight="13.5" x14ac:dyDescent="0.15"/>
  <sheetData>
    <row r="1" spans="1:10" x14ac:dyDescent="0.15">
      <c r="A1" t="str">
        <f>"כותרת"</f>
        <v>כותרת</v>
      </c>
      <c r="B1" t="str">
        <f>"תו ראשון"</f>
        <v>תו ראשון</v>
      </c>
      <c r="C1" t="str">
        <f>"תו אחרון"</f>
        <v>תו אחרון</v>
      </c>
      <c r="D1" t="str">
        <f>"רוחב"</f>
        <v>רוחב</v>
      </c>
      <c r="E1" t="str">
        <f>"היפוך תווים?"</f>
        <v>היפוך תווים?</v>
      </c>
      <c r="F1" t="str">
        <f>"פורמט התאריך הנקלט"</f>
        <v>פורמט התאריך הנקלט</v>
      </c>
      <c r="G1" t="str">
        <f>"רוחב מירבי"</f>
        <v>רוחב מירבי</v>
      </c>
      <c r="H1" t="str">
        <f>"טיפוס במשטח"</f>
        <v>טיפוס במשטח</v>
      </c>
      <c r="I1" t="str">
        <f>"לא פעיל?"</f>
        <v>לא פעיל?</v>
      </c>
      <c r="J1" t="str">
        <f>"כותרת (שפה נוכחית)"</f>
        <v>כותרת (שפה נוכחית)</v>
      </c>
    </row>
    <row r="2" spans="1:10" x14ac:dyDescent="0.15">
      <c r="A2" t="str">
        <f>"מק""ט"</f>
        <v>מק"ט</v>
      </c>
      <c r="B2">
        <v>1</v>
      </c>
      <c r="C2">
        <v>1</v>
      </c>
      <c r="D2">
        <v>1</v>
      </c>
      <c r="G2">
        <v>22</v>
      </c>
      <c r="H2" t="str">
        <f>"CHAR"</f>
        <v>CHAR</v>
      </c>
      <c r="J2" t="str">
        <f>"מק""ט"</f>
        <v>מק"ט</v>
      </c>
    </row>
    <row r="3" spans="1:10" x14ac:dyDescent="0.15">
      <c r="A3" t="str">
        <f>"יח' מפעל"</f>
        <v>יח' מפעל</v>
      </c>
      <c r="B3">
        <v>2</v>
      </c>
      <c r="C3">
        <v>2</v>
      </c>
      <c r="D3">
        <v>1</v>
      </c>
      <c r="E3" t="str">
        <f>"Y"</f>
        <v>Y</v>
      </c>
      <c r="G3">
        <v>3</v>
      </c>
      <c r="H3" t="str">
        <f>"RCHAR"</f>
        <v>RCHAR</v>
      </c>
      <c r="J3" t="str">
        <f>"יח' מפעל"</f>
        <v>יח' מפעל</v>
      </c>
    </row>
    <row r="4" spans="1:10" x14ac:dyDescent="0.15">
      <c r="A4" t="str">
        <f>"תאור מוצר"</f>
        <v>תאור מוצר</v>
      </c>
      <c r="B4">
        <v>3</v>
      </c>
      <c r="C4">
        <v>3</v>
      </c>
      <c r="D4">
        <v>1</v>
      </c>
      <c r="E4" t="str">
        <f>"Y"</f>
        <v>Y</v>
      </c>
      <c r="G4">
        <v>48</v>
      </c>
      <c r="H4" t="str">
        <f>"RCHAR"</f>
        <v>RCHAR</v>
      </c>
      <c r="J4" t="str">
        <f>"תאור מוצר"</f>
        <v>תאור מוצר</v>
      </c>
    </row>
    <row r="5" spans="1:10" x14ac:dyDescent="0.15">
      <c r="A5" t="str">
        <f>"סטטוס"</f>
        <v>סטטוס</v>
      </c>
      <c r="B5">
        <v>4</v>
      </c>
      <c r="C5">
        <v>4</v>
      </c>
      <c r="D5">
        <v>1</v>
      </c>
      <c r="E5" t="str">
        <f>"Y"</f>
        <v>Y</v>
      </c>
      <c r="G5">
        <v>12</v>
      </c>
      <c r="H5" t="str">
        <f>"RCHAR"</f>
        <v>RCHAR</v>
      </c>
      <c r="J5" t="str">
        <f>"סטטוס"</f>
        <v>סטטוס</v>
      </c>
    </row>
    <row r="6" spans="1:10" x14ac:dyDescent="0.15">
      <c r="A6" t="str">
        <f>"טיפוס P/R/O"</f>
        <v>טיפוס P/R/O</v>
      </c>
      <c r="B6">
        <v>5</v>
      </c>
      <c r="C6">
        <v>5</v>
      </c>
      <c r="D6">
        <v>1</v>
      </c>
      <c r="G6">
        <v>1</v>
      </c>
      <c r="H6" t="str">
        <f>"CHAR"</f>
        <v>CHAR</v>
      </c>
      <c r="J6" t="str">
        <f>"טיפוס P/R/O"</f>
        <v>טיפוס P/R/O</v>
      </c>
    </row>
    <row r="7" spans="1:10" x14ac:dyDescent="0.15">
      <c r="A7" t="str">
        <f>"מנוהל מלאי?"</f>
        <v>מנוהל מלאי?</v>
      </c>
      <c r="B7">
        <v>6</v>
      </c>
      <c r="C7">
        <v>6</v>
      </c>
      <c r="D7">
        <v>1</v>
      </c>
      <c r="G7">
        <v>1</v>
      </c>
      <c r="H7" t="str">
        <f>"CHAR"</f>
        <v>CHAR</v>
      </c>
      <c r="J7" t="str">
        <f>"מנוהל מלאי?"</f>
        <v>מנוהל מלאי?</v>
      </c>
    </row>
    <row r="8" spans="1:10" x14ac:dyDescent="0.15">
      <c r="A8" t="str">
        <f>"פרמטר 1 למוצר"</f>
        <v>פרמטר 1 למוצר</v>
      </c>
      <c r="B8">
        <v>7</v>
      </c>
      <c r="C8">
        <v>7</v>
      </c>
      <c r="D8">
        <v>1</v>
      </c>
      <c r="G8">
        <v>48</v>
      </c>
      <c r="H8" t="str">
        <f>"RCHAR"</f>
        <v>RCHAR</v>
      </c>
      <c r="J8" t="str">
        <f>"פרמטר 1 למוצר"</f>
        <v>פרמטר 1 למוצר</v>
      </c>
    </row>
    <row r="9" spans="1:10" x14ac:dyDescent="0.15">
      <c r="A9" t="str">
        <f>"איתור"</f>
        <v>איתור</v>
      </c>
      <c r="B9">
        <v>8</v>
      </c>
      <c r="C9">
        <v>8</v>
      </c>
      <c r="D9">
        <v>1</v>
      </c>
      <c r="G9">
        <v>14</v>
      </c>
      <c r="H9" t="str">
        <f>"CHAR"</f>
        <v>CHAR</v>
      </c>
      <c r="J9" t="str">
        <f>"איתור"</f>
        <v>איתור</v>
      </c>
    </row>
    <row r="10" spans="1:10" x14ac:dyDescent="0.15">
      <c r="A10" t="str">
        <f>"פרמטר 8 למוצר"</f>
        <v>פרמטר 8 למוצר</v>
      </c>
      <c r="B10">
        <v>9</v>
      </c>
      <c r="C10">
        <v>9</v>
      </c>
      <c r="D10">
        <v>1</v>
      </c>
      <c r="E10" t="str">
        <f>"Y"</f>
        <v>Y</v>
      </c>
      <c r="G10">
        <v>20</v>
      </c>
      <c r="H10" t="str">
        <f>"RCHAR"</f>
        <v>RCHAR</v>
      </c>
      <c r="J10" t="str">
        <f>"פרמטר 8 למוצר"</f>
        <v>פרמטר 8 למוצר</v>
      </c>
    </row>
    <row r="11" spans="1:10" x14ac:dyDescent="0.15">
      <c r="A11" t="str">
        <f>"פרמטר 9 למוצר"</f>
        <v>פרמטר 9 למוצר</v>
      </c>
      <c r="B11">
        <v>10</v>
      </c>
      <c r="C11">
        <v>10</v>
      </c>
      <c r="D11">
        <v>1</v>
      </c>
      <c r="E11" t="str">
        <f>"Y"</f>
        <v>Y</v>
      </c>
      <c r="G11">
        <v>20</v>
      </c>
      <c r="H11" t="str">
        <f>"RCHAR"</f>
        <v>RCHAR</v>
      </c>
      <c r="J11" t="str">
        <f>"פרמטר 9 למוצר"</f>
        <v>פרמטר 9 למוצר</v>
      </c>
    </row>
    <row r="12" spans="1:10" x14ac:dyDescent="0.15">
      <c r="A12" t="str">
        <f>"ברקור"</f>
        <v>ברקור</v>
      </c>
      <c r="B12">
        <v>11</v>
      </c>
      <c r="C12">
        <v>11</v>
      </c>
      <c r="D12">
        <v>1</v>
      </c>
      <c r="G12">
        <v>16</v>
      </c>
      <c r="H12" t="str">
        <f>"CHAR"</f>
        <v>CHAR</v>
      </c>
      <c r="J12" t="str">
        <f>"ברקור"</f>
        <v>ברקור</v>
      </c>
    </row>
    <row r="13" spans="1:10" x14ac:dyDescent="0.15">
      <c r="A13" t="str">
        <f>"קבוצה בפילוג ABC"</f>
        <v>קבוצה בפילוג ABC</v>
      </c>
      <c r="B13">
        <v>11</v>
      </c>
      <c r="C13">
        <v>11</v>
      </c>
      <c r="D13">
        <v>1</v>
      </c>
      <c r="G13">
        <v>1</v>
      </c>
      <c r="H13" t="str">
        <f>"CHAR"</f>
        <v>CHAR</v>
      </c>
      <c r="J13" t="str">
        <f>"קבוצה בפילוג ABC"</f>
        <v>קבוצה בפילוג ABC</v>
      </c>
    </row>
    <row r="14" spans="1:10" x14ac:dyDescent="0.15">
      <c r="A14" t="str">
        <f>"מע""מ?"</f>
        <v>מע"מ?</v>
      </c>
      <c r="B14">
        <v>12</v>
      </c>
      <c r="C14">
        <v>12</v>
      </c>
      <c r="D14">
        <v>1</v>
      </c>
      <c r="G14">
        <v>1</v>
      </c>
      <c r="H14" t="str">
        <f>"CHAR"</f>
        <v>CHAR</v>
      </c>
      <c r="J14" t="str">
        <f>"מע""מ?"</f>
        <v>מע"מ?</v>
      </c>
    </row>
    <row r="15" spans="1:10" x14ac:dyDescent="0.15">
      <c r="A15" t="str">
        <f>"נפח"</f>
        <v>נפח</v>
      </c>
      <c r="B15">
        <v>13</v>
      </c>
      <c r="C15">
        <v>13</v>
      </c>
      <c r="D15">
        <v>1</v>
      </c>
      <c r="G15">
        <v>16</v>
      </c>
      <c r="H15" t="str">
        <f>"REAL"</f>
        <v>REAL</v>
      </c>
      <c r="J15" t="str">
        <f>"נפח"</f>
        <v>נפח</v>
      </c>
    </row>
    <row r="16" spans="1:10" x14ac:dyDescent="0.15">
      <c r="A16" t="str">
        <f>"מחסן"</f>
        <v>מחסן</v>
      </c>
      <c r="B16">
        <v>14</v>
      </c>
      <c r="C16">
        <v>14</v>
      </c>
      <c r="D16">
        <v>1</v>
      </c>
      <c r="G16">
        <v>4</v>
      </c>
      <c r="H16" t="str">
        <f>"CHAR"</f>
        <v>CHAR</v>
      </c>
      <c r="J16" t="str">
        <f>"מחסן"</f>
        <v>מחסן</v>
      </c>
    </row>
    <row r="17" spans="1:10" x14ac:dyDescent="0.15">
      <c r="A17" t="str">
        <f>"משקל"</f>
        <v>משקל</v>
      </c>
      <c r="B17">
        <v>15</v>
      </c>
      <c r="C17">
        <v>15</v>
      </c>
      <c r="D17">
        <v>1</v>
      </c>
      <c r="G17">
        <v>13</v>
      </c>
      <c r="H17" t="str">
        <f>"REAL"</f>
        <v>REAL</v>
      </c>
      <c r="J17" t="str">
        <f>"משקל"</f>
        <v>משקל</v>
      </c>
    </row>
    <row r="18" spans="1:10" x14ac:dyDescent="0.15">
      <c r="A18" t="str">
        <f>"יח' משקל"</f>
        <v>יח' משקל</v>
      </c>
      <c r="B18">
        <v>16</v>
      </c>
      <c r="C18">
        <v>16</v>
      </c>
      <c r="D18">
        <v>1</v>
      </c>
      <c r="G18">
        <v>3</v>
      </c>
      <c r="H18" t="str">
        <f t="shared" ref="H18:H25" si="0">"RCHAR"</f>
        <v>RCHAR</v>
      </c>
      <c r="J18" t="str">
        <f>"יח' משקל"</f>
        <v>יח' משקל</v>
      </c>
    </row>
    <row r="19" spans="1:10" x14ac:dyDescent="0.15">
      <c r="A19" t="str">
        <f>"פרמטר 10 למוצר"</f>
        <v>פרמטר 10 למוצר</v>
      </c>
      <c r="B19">
        <v>17</v>
      </c>
      <c r="C19">
        <v>17</v>
      </c>
      <c r="D19">
        <v>1</v>
      </c>
      <c r="E19" t="str">
        <f t="shared" ref="E19:E25" si="1">"Y"</f>
        <v>Y</v>
      </c>
      <c r="G19">
        <v>20</v>
      </c>
      <c r="H19" t="str">
        <f t="shared" si="0"/>
        <v>RCHAR</v>
      </c>
      <c r="J19" t="str">
        <f>"פרמטר 10 למוצר"</f>
        <v>פרמטר 10 למוצר</v>
      </c>
    </row>
    <row r="20" spans="1:10" x14ac:dyDescent="0.15">
      <c r="A20" t="str">
        <f>"פרמטר 2 למוצר"</f>
        <v>פרמטר 2 למוצר</v>
      </c>
      <c r="B20">
        <v>18</v>
      </c>
      <c r="C20">
        <v>18</v>
      </c>
      <c r="D20">
        <v>1</v>
      </c>
      <c r="E20" t="str">
        <f t="shared" si="1"/>
        <v>Y</v>
      </c>
      <c r="G20">
        <v>20</v>
      </c>
      <c r="H20" t="str">
        <f t="shared" si="0"/>
        <v>RCHAR</v>
      </c>
      <c r="J20" t="str">
        <f>"פרמטר 2 למוצר"</f>
        <v>פרמטר 2 למוצר</v>
      </c>
    </row>
    <row r="21" spans="1:10" x14ac:dyDescent="0.15">
      <c r="A21" t="str">
        <f>"פרמטר 3 למוצר"</f>
        <v>פרמטר 3 למוצר</v>
      </c>
      <c r="B21">
        <v>19</v>
      </c>
      <c r="C21">
        <v>19</v>
      </c>
      <c r="D21">
        <v>1</v>
      </c>
      <c r="E21" t="str">
        <f t="shared" si="1"/>
        <v>Y</v>
      </c>
      <c r="G21">
        <v>20</v>
      </c>
      <c r="H21" t="str">
        <f t="shared" si="0"/>
        <v>RCHAR</v>
      </c>
      <c r="J21" t="str">
        <f>"פרמטר 3 למוצר"</f>
        <v>פרמטר 3 למוצר</v>
      </c>
    </row>
    <row r="22" spans="1:10" x14ac:dyDescent="0.15">
      <c r="A22" t="str">
        <f>"פרמטר 4 למוצר"</f>
        <v>פרמטר 4 למוצר</v>
      </c>
      <c r="B22">
        <v>20</v>
      </c>
      <c r="C22">
        <v>20</v>
      </c>
      <c r="D22">
        <v>1</v>
      </c>
      <c r="E22" t="str">
        <f t="shared" si="1"/>
        <v>Y</v>
      </c>
      <c r="G22">
        <v>20</v>
      </c>
      <c r="H22" t="str">
        <f t="shared" si="0"/>
        <v>RCHAR</v>
      </c>
      <c r="J22" t="str">
        <f>"פרמטר 4 למוצר"</f>
        <v>פרמטר 4 למוצר</v>
      </c>
    </row>
    <row r="23" spans="1:10" x14ac:dyDescent="0.15">
      <c r="A23" t="str">
        <f>"פרמטר 5 למוצר"</f>
        <v>פרמטר 5 למוצר</v>
      </c>
      <c r="B23">
        <v>21</v>
      </c>
      <c r="C23">
        <v>21</v>
      </c>
      <c r="D23">
        <v>1</v>
      </c>
      <c r="E23" t="str">
        <f t="shared" si="1"/>
        <v>Y</v>
      </c>
      <c r="G23">
        <v>20</v>
      </c>
      <c r="H23" t="str">
        <f t="shared" si="0"/>
        <v>RCHAR</v>
      </c>
      <c r="J23" t="str">
        <f>"פרמטר 5 למוצר"</f>
        <v>פרמטר 5 למוצר</v>
      </c>
    </row>
    <row r="24" spans="1:10" x14ac:dyDescent="0.15">
      <c r="A24" t="str">
        <f>"פרמטר 6 למוצר"</f>
        <v>פרמטר 6 למוצר</v>
      </c>
      <c r="B24">
        <v>22</v>
      </c>
      <c r="C24">
        <v>22</v>
      </c>
      <c r="D24">
        <v>1</v>
      </c>
      <c r="E24" t="str">
        <f t="shared" si="1"/>
        <v>Y</v>
      </c>
      <c r="G24">
        <v>20</v>
      </c>
      <c r="H24" t="str">
        <f t="shared" si="0"/>
        <v>RCHAR</v>
      </c>
      <c r="J24" t="str">
        <f>"פרמטר 6 למוצר"</f>
        <v>פרמטר 6 למוצר</v>
      </c>
    </row>
    <row r="25" spans="1:10" x14ac:dyDescent="0.15">
      <c r="A25" t="str">
        <f>"פרמטר 7 למוצר"</f>
        <v>פרמטר 7 למוצר</v>
      </c>
      <c r="B25">
        <v>23</v>
      </c>
      <c r="C25">
        <v>23</v>
      </c>
      <c r="D25">
        <v>1</v>
      </c>
      <c r="E25" t="str">
        <f t="shared" si="1"/>
        <v>Y</v>
      </c>
      <c r="G25">
        <v>20</v>
      </c>
      <c r="H25" t="str">
        <f t="shared" si="0"/>
        <v>RCHAR</v>
      </c>
      <c r="J25" t="str">
        <f>"פרמטר 7 למוצר"</f>
        <v>פרמטר 7 למוצר</v>
      </c>
    </row>
    <row r="26" spans="1:10" x14ac:dyDescent="0.15">
      <c r="A26" t="str">
        <f>"ספק מועדף"</f>
        <v>ספק מועדף</v>
      </c>
      <c r="B26">
        <v>24</v>
      </c>
      <c r="C26">
        <v>24</v>
      </c>
      <c r="D26">
        <v>1</v>
      </c>
      <c r="G26">
        <v>16</v>
      </c>
      <c r="H26" t="str">
        <f>"CHAR"</f>
        <v>CHAR</v>
      </c>
      <c r="J26" t="str">
        <f>"ספק מועדף"</f>
        <v>ספק מועדף</v>
      </c>
    </row>
    <row r="27" spans="1:10" x14ac:dyDescent="0.15">
      <c r="A27" t="str">
        <f>"תאור מק""ט ספק"</f>
        <v>תאור מק"ט ספק</v>
      </c>
      <c r="B27">
        <v>25</v>
      </c>
      <c r="C27">
        <v>25</v>
      </c>
      <c r="D27">
        <v>1</v>
      </c>
      <c r="E27" t="str">
        <f>"Y"</f>
        <v>Y</v>
      </c>
      <c r="G27">
        <v>32</v>
      </c>
      <c r="H27" t="str">
        <f>"RCHAR"</f>
        <v>RCHAR</v>
      </c>
      <c r="J27" t="str">
        <f>"תאור מק""ט ספק"</f>
        <v>תאור מק"ט ספק</v>
      </c>
    </row>
    <row r="28" spans="1:10" x14ac:dyDescent="0.15">
      <c r="A28" t="str">
        <f>"מק""ט ספק"</f>
        <v>מק"ט ספק</v>
      </c>
      <c r="B28">
        <v>26</v>
      </c>
      <c r="C28">
        <v>26</v>
      </c>
      <c r="D28">
        <v>1</v>
      </c>
      <c r="G28">
        <v>30</v>
      </c>
      <c r="H28" t="str">
        <f>"CHAR"</f>
        <v>CHAR</v>
      </c>
      <c r="J28" t="str">
        <f>"מק""ט ספק"</f>
        <v>מק"ט ספק</v>
      </c>
    </row>
    <row r="29" spans="1:10" x14ac:dyDescent="0.15">
      <c r="A29" t="str">
        <f>"משיכה ידנית"</f>
        <v>משיכה ידנית</v>
      </c>
      <c r="B29">
        <v>27</v>
      </c>
      <c r="C29">
        <v>27</v>
      </c>
      <c r="D29">
        <v>1</v>
      </c>
      <c r="G29">
        <v>1</v>
      </c>
      <c r="H29" t="str">
        <f>"CHAR"</f>
        <v>CHAR</v>
      </c>
      <c r="J29" t="str">
        <f>"משיכה ידנית"</f>
        <v>משיכה ידנית</v>
      </c>
    </row>
    <row r="30" spans="1:10" x14ac:dyDescent="0.15">
      <c r="A30" t="str">
        <f>"המשך תיאור 1"</f>
        <v>המשך תיאור 1</v>
      </c>
      <c r="B30">
        <v>28</v>
      </c>
      <c r="C30">
        <v>28</v>
      </c>
      <c r="D30">
        <v>1</v>
      </c>
      <c r="E30" t="str">
        <f t="shared" ref="E30:E35" si="2">"Y"</f>
        <v>Y</v>
      </c>
      <c r="G30">
        <v>48</v>
      </c>
      <c r="H30" t="str">
        <f t="shared" ref="H30:H35" si="3">"RCHAR"</f>
        <v>RCHAR</v>
      </c>
      <c r="J30" t="str">
        <f>"המשך תיאור 1"</f>
        <v>המשך תיאור 1</v>
      </c>
    </row>
    <row r="31" spans="1:10" x14ac:dyDescent="0.15">
      <c r="A31" t="str">
        <f>"המשך תיאור 2"</f>
        <v>המשך תיאור 2</v>
      </c>
      <c r="B31">
        <v>29</v>
      </c>
      <c r="C31">
        <v>29</v>
      </c>
      <c r="D31">
        <v>1</v>
      </c>
      <c r="E31" t="str">
        <f t="shared" si="2"/>
        <v>Y</v>
      </c>
      <c r="G31">
        <v>48</v>
      </c>
      <c r="H31" t="str">
        <f t="shared" si="3"/>
        <v>RCHAR</v>
      </c>
      <c r="J31" t="str">
        <f>"המשך תיאור 2"</f>
        <v>המשך תיאור 2</v>
      </c>
    </row>
    <row r="32" spans="1:10" x14ac:dyDescent="0.15">
      <c r="A32" t="str">
        <f>"המשך תיאור 3"</f>
        <v>המשך תיאור 3</v>
      </c>
      <c r="B32">
        <v>30</v>
      </c>
      <c r="C32">
        <v>30</v>
      </c>
      <c r="D32">
        <v>1</v>
      </c>
      <c r="E32" t="str">
        <f t="shared" si="2"/>
        <v>Y</v>
      </c>
      <c r="G32">
        <v>48</v>
      </c>
      <c r="H32" t="str">
        <f t="shared" si="3"/>
        <v>RCHAR</v>
      </c>
      <c r="J32" t="str">
        <f>"המשך תיאור 3"</f>
        <v>המשך תיאור 3</v>
      </c>
    </row>
    <row r="33" spans="1:10" x14ac:dyDescent="0.15">
      <c r="A33" t="str">
        <f>"המשך תיאור 4"</f>
        <v>המשך תיאור 4</v>
      </c>
      <c r="B33">
        <v>31</v>
      </c>
      <c r="C33">
        <v>31</v>
      </c>
      <c r="D33">
        <v>1</v>
      </c>
      <c r="E33" t="str">
        <f t="shared" si="2"/>
        <v>Y</v>
      </c>
      <c r="G33">
        <v>48</v>
      </c>
      <c r="H33" t="str">
        <f t="shared" si="3"/>
        <v>RCHAR</v>
      </c>
      <c r="J33" t="str">
        <f>"המשך תיאור 4"</f>
        <v>המשך תיאור 4</v>
      </c>
    </row>
    <row r="34" spans="1:10" x14ac:dyDescent="0.15">
      <c r="A34" t="str">
        <f>"המשך תיאור 5"</f>
        <v>המשך תיאור 5</v>
      </c>
      <c r="B34">
        <v>32</v>
      </c>
      <c r="C34">
        <v>32</v>
      </c>
      <c r="D34">
        <v>1</v>
      </c>
      <c r="E34" t="str">
        <f t="shared" si="2"/>
        <v>Y</v>
      </c>
      <c r="G34">
        <v>48</v>
      </c>
      <c r="H34" t="str">
        <f t="shared" si="3"/>
        <v>RCHAR</v>
      </c>
      <c r="J34" t="str">
        <f>"המשך תיאור 5"</f>
        <v>המשך תיאור 5</v>
      </c>
    </row>
    <row r="35" spans="1:10" x14ac:dyDescent="0.15">
      <c r="A35" t="str">
        <f>"המשך תיאור 6"</f>
        <v>המשך תיאור 6</v>
      </c>
      <c r="B35">
        <v>33</v>
      </c>
      <c r="C35">
        <v>33</v>
      </c>
      <c r="D35">
        <v>1</v>
      </c>
      <c r="E35" t="str">
        <f t="shared" si="2"/>
        <v>Y</v>
      </c>
      <c r="G35">
        <v>48</v>
      </c>
      <c r="H35" t="str">
        <f t="shared" si="3"/>
        <v>RCHAR</v>
      </c>
      <c r="J35" t="str">
        <f>"המשך תיאור 6"</f>
        <v>המשך תיאור 6</v>
      </c>
    </row>
    <row r="36" spans="1:10" x14ac:dyDescent="0.15">
      <c r="A36" t="str">
        <f>"מקסימום לפק""ע"</f>
        <v>מקסימום לפק"ע</v>
      </c>
      <c r="B36">
        <v>34</v>
      </c>
      <c r="C36">
        <v>34</v>
      </c>
      <c r="D36">
        <v>1</v>
      </c>
      <c r="G36">
        <v>16</v>
      </c>
      <c r="H36" t="str">
        <f>"REAL"</f>
        <v>REAL</v>
      </c>
      <c r="J36" t="str">
        <f>"מקסימום לפק""ע"</f>
        <v>מקסימום לפק"ע</v>
      </c>
    </row>
    <row r="37" spans="1:10" x14ac:dyDescent="0.15">
      <c r="A37" t="str">
        <f>"מינימום להזמנה"</f>
        <v>מינימום להזמנה</v>
      </c>
      <c r="B37">
        <v>35</v>
      </c>
      <c r="C37">
        <v>35</v>
      </c>
      <c r="D37">
        <v>1</v>
      </c>
      <c r="G37">
        <v>17</v>
      </c>
      <c r="H37" t="str">
        <f>"INT"</f>
        <v>INT</v>
      </c>
      <c r="J37" t="str">
        <f>"מינימום להזמנה"</f>
        <v>מינימום להזמנה</v>
      </c>
    </row>
    <row r="38" spans="1:10" x14ac:dyDescent="0.15">
      <c r="A38" t="str">
        <f>"שעור המרה לא קבוע"</f>
        <v>שעור המרה לא קבוע</v>
      </c>
      <c r="B38">
        <v>36</v>
      </c>
      <c r="C38">
        <v>36</v>
      </c>
      <c r="D38">
        <v>1</v>
      </c>
      <c r="G38">
        <v>1</v>
      </c>
      <c r="H38" t="str">
        <f>"CHAR"</f>
        <v>CHAR</v>
      </c>
      <c r="J38" t="str">
        <f>"שעור המרה לא קבוע"</f>
        <v>שעור המרה לא קבוע</v>
      </c>
    </row>
    <row r="39" spans="1:10" x14ac:dyDescent="0.15">
      <c r="A39" t="str">
        <f>"מלאי בטחון"</f>
        <v>מלאי בטחון</v>
      </c>
      <c r="B39">
        <v>37</v>
      </c>
      <c r="C39">
        <v>37</v>
      </c>
      <c r="D39">
        <v>1</v>
      </c>
      <c r="G39">
        <v>17</v>
      </c>
      <c r="H39" t="str">
        <f>"INT"</f>
        <v>INT</v>
      </c>
      <c r="J39" t="str">
        <f>"מלאי בטחון"</f>
        <v>מלאי בטחון</v>
      </c>
    </row>
    <row r="40" spans="1:10" x14ac:dyDescent="0.15">
      <c r="A40" t="str">
        <f>"מנופק לרשימות זווד"</f>
        <v>מנופק לרשימות זווד</v>
      </c>
      <c r="B40">
        <v>38</v>
      </c>
      <c r="C40">
        <v>38</v>
      </c>
      <c r="D40">
        <v>1</v>
      </c>
      <c r="G40">
        <v>1</v>
      </c>
      <c r="H40" t="str">
        <f>"CHAR"</f>
        <v>CHAR</v>
      </c>
      <c r="J40" t="str">
        <f>"מנופק לרשימות זווד"</f>
        <v>מנופק לרשימות זווד</v>
      </c>
    </row>
    <row r="41" spans="1:10" x14ac:dyDescent="0.15">
      <c r="A41" t="str">
        <f>"זמן בדיקות"</f>
        <v>זמן בדיקות</v>
      </c>
      <c r="B41">
        <v>39</v>
      </c>
      <c r="C41">
        <v>39</v>
      </c>
      <c r="D41">
        <v>1</v>
      </c>
      <c r="G41">
        <v>6</v>
      </c>
      <c r="H41" t="str">
        <f>"INT"</f>
        <v>INT</v>
      </c>
      <c r="J41" t="str">
        <f>"זמן בדיקות"</f>
        <v>זמן בדיקות</v>
      </c>
    </row>
    <row r="42" spans="1:10" x14ac:dyDescent="0.15">
      <c r="A42" t="str">
        <f>"מטבע מחיר אחרון"</f>
        <v>מטבע מחיר אחרון</v>
      </c>
      <c r="B42">
        <v>40</v>
      </c>
      <c r="C42">
        <v>40</v>
      </c>
      <c r="D42">
        <v>1</v>
      </c>
      <c r="G42">
        <v>3</v>
      </c>
      <c r="H42" t="str">
        <f>"CHAR"</f>
        <v>CHAR</v>
      </c>
      <c r="J42" t="str">
        <f>"מטבע מחיר אחרון"</f>
        <v>מטבע מחיר אחרון</v>
      </c>
    </row>
    <row r="43" spans="1:10" x14ac:dyDescent="0.15">
      <c r="A43" t="str">
        <f>"מחיר אחרון"</f>
        <v>מחיר אחרון</v>
      </c>
      <c r="B43">
        <v>41</v>
      </c>
      <c r="C43">
        <v>41</v>
      </c>
      <c r="D43">
        <v>1</v>
      </c>
      <c r="G43">
        <v>13</v>
      </c>
      <c r="H43" t="str">
        <f>"REAL"</f>
        <v>REAL</v>
      </c>
      <c r="J43" t="str">
        <f>"מחיר אחרון"</f>
        <v>מחיר אחרון</v>
      </c>
    </row>
    <row r="44" spans="1:10" x14ac:dyDescent="0.15">
      <c r="A44" t="str">
        <f>"זמן אספקה רכש"</f>
        <v>זמן אספקה רכש</v>
      </c>
      <c r="B44">
        <v>42</v>
      </c>
      <c r="C44">
        <v>42</v>
      </c>
      <c r="D44">
        <v>1</v>
      </c>
      <c r="G44">
        <v>8</v>
      </c>
      <c r="H44" t="str">
        <f>"INT"</f>
        <v>INT</v>
      </c>
      <c r="J44" t="str">
        <f>"זמן אספקה רכש"</f>
        <v>זמן אספקה רכש</v>
      </c>
    </row>
    <row r="45" spans="1:10" x14ac:dyDescent="0.15">
      <c r="A45" t="str">
        <f>"עלות תקן ש""ח"</f>
        <v>עלות תקן ש"ח</v>
      </c>
      <c r="B45">
        <v>43</v>
      </c>
      <c r="C45">
        <v>43</v>
      </c>
      <c r="D45">
        <v>1</v>
      </c>
      <c r="G45">
        <v>16</v>
      </c>
      <c r="H45" t="str">
        <f>"REAL"</f>
        <v>REAL</v>
      </c>
      <c r="J45" t="str">
        <f>"עלות תקן ש""ח"</f>
        <v>עלות תקן ש"ח</v>
      </c>
    </row>
    <row r="46" spans="1:10" x14ac:dyDescent="0.15">
      <c r="A46" t="str">
        <f>"תהליך"</f>
        <v>תהליך</v>
      </c>
      <c r="B46">
        <v>44</v>
      </c>
      <c r="C46">
        <v>44</v>
      </c>
      <c r="D46">
        <v>1</v>
      </c>
      <c r="G46">
        <v>6</v>
      </c>
      <c r="H46" t="str">
        <f>"CHAR"</f>
        <v>CHAR</v>
      </c>
      <c r="J46" t="str">
        <f>"תהליך"</f>
        <v>תהליך</v>
      </c>
    </row>
    <row r="47" spans="1:10" x14ac:dyDescent="0.15">
      <c r="A47" t="str">
        <f>"יח' קניה/מכירה"</f>
        <v>יח' קניה/מכירה</v>
      </c>
      <c r="B47">
        <v>45</v>
      </c>
      <c r="C47">
        <v>45</v>
      </c>
      <c r="D47">
        <v>1</v>
      </c>
      <c r="E47" t="str">
        <f>"Y"</f>
        <v>Y</v>
      </c>
      <c r="G47">
        <v>3</v>
      </c>
      <c r="H47" t="str">
        <f>"RCHAR"</f>
        <v>RCHAR</v>
      </c>
      <c r="J47" t="str">
        <f>"יח' קניה/מכירה"</f>
        <v>יח' קניה/מכירה</v>
      </c>
    </row>
    <row r="48" spans="1:10" x14ac:dyDescent="0.15">
      <c r="A48" t="str">
        <f>"טיפוס מדיניות עיתוד"</f>
        <v>טיפוס מדיניות עיתוד</v>
      </c>
      <c r="B48">
        <v>46</v>
      </c>
      <c r="C48">
        <v>46</v>
      </c>
      <c r="D48">
        <v>1</v>
      </c>
      <c r="G48">
        <v>1</v>
      </c>
      <c r="H48" t="str">
        <f>"CHAR"</f>
        <v>CHAR</v>
      </c>
      <c r="J48" t="str">
        <f>"טיפוס מדיניות עיתוד"</f>
        <v>טיפוס מדיניות עיתוד</v>
      </c>
    </row>
    <row r="49" spans="1:10" x14ac:dyDescent="0.15">
      <c r="A49" t="str">
        <f>"מהדורה"</f>
        <v>מהדורה</v>
      </c>
      <c r="B49">
        <v>47</v>
      </c>
      <c r="C49">
        <v>47</v>
      </c>
      <c r="D49">
        <v>1</v>
      </c>
      <c r="G49">
        <v>10</v>
      </c>
      <c r="H49" t="str">
        <f>"CHAR"</f>
        <v>CHAR</v>
      </c>
      <c r="J49" t="str">
        <f>"מהדורה"</f>
        <v>מהדורה</v>
      </c>
    </row>
    <row r="50" spans="1:10" x14ac:dyDescent="0.15">
      <c r="A50" t="str">
        <f>"עלות תקן $"</f>
        <v>עלות תקן $</v>
      </c>
      <c r="B50">
        <v>48</v>
      </c>
      <c r="C50">
        <v>48</v>
      </c>
      <c r="D50">
        <v>1</v>
      </c>
      <c r="G50">
        <v>16</v>
      </c>
      <c r="H50" t="str">
        <f>"REAL"</f>
        <v>REAL</v>
      </c>
      <c r="J50" t="str">
        <f>"עלות תקן $"</f>
        <v>עלות תקן $</v>
      </c>
    </row>
    <row r="51" spans="1:10" x14ac:dyDescent="0.15">
      <c r="A51" t="str">
        <f>"מנוהל מס' סידוריים?"</f>
        <v>מנוהל מס' סידוריים?</v>
      </c>
      <c r="B51">
        <v>49</v>
      </c>
      <c r="C51">
        <v>49</v>
      </c>
      <c r="D51">
        <v>1</v>
      </c>
      <c r="G51">
        <v>1</v>
      </c>
      <c r="H51" t="str">
        <f>"CHAR"</f>
        <v>CHAR</v>
      </c>
      <c r="J51" t="str">
        <f>"מנוהל מס' סידוריים?"</f>
        <v>מנוהל מס' סידוריים?</v>
      </c>
    </row>
    <row r="52" spans="1:10" x14ac:dyDescent="0.15">
      <c r="A52" t="str">
        <f>"זמן הובלה"</f>
        <v>זמן הובלה</v>
      </c>
      <c r="B52">
        <v>50</v>
      </c>
      <c r="C52">
        <v>50</v>
      </c>
      <c r="D52">
        <v>1</v>
      </c>
      <c r="G52">
        <v>6</v>
      </c>
      <c r="H52" t="str">
        <f>"INT"</f>
        <v>INT</v>
      </c>
      <c r="J52" t="str">
        <f>"זמן הובלה"</f>
        <v>זמן הובלה</v>
      </c>
    </row>
    <row r="53" spans="1:10" x14ac:dyDescent="0.15">
      <c r="A53" t="str">
        <f>"מטבע בסיס"</f>
        <v>מטבע בסיס</v>
      </c>
      <c r="B53">
        <v>51</v>
      </c>
      <c r="C53">
        <v>51</v>
      </c>
      <c r="D53">
        <v>1</v>
      </c>
      <c r="G53">
        <v>3</v>
      </c>
      <c r="H53" t="str">
        <f>"CHAR"</f>
        <v>CHAR</v>
      </c>
      <c r="J53" t="str">
        <f>"מטבע בסיס"</f>
        <v>מטבע בסיס</v>
      </c>
    </row>
    <row r="54" spans="1:10" x14ac:dyDescent="0.15">
      <c r="A54" t="str">
        <f>"מחיר בסיס"</f>
        <v>מחיר בסיס</v>
      </c>
      <c r="B54">
        <v>52</v>
      </c>
      <c r="C54">
        <v>52</v>
      </c>
      <c r="D54">
        <v>1</v>
      </c>
      <c r="G54">
        <v>16</v>
      </c>
      <c r="H54" t="str">
        <f>"REAL"</f>
        <v>REAL</v>
      </c>
      <c r="J54" t="str">
        <f>"מחיר בסיס"</f>
        <v>מחיר בסיס</v>
      </c>
    </row>
    <row r="55" spans="1:10" x14ac:dyDescent="0.15">
      <c r="A55" t="str">
        <f>"שעור המרת יחידות"</f>
        <v>שעור המרת יחידות</v>
      </c>
      <c r="B55">
        <v>53</v>
      </c>
      <c r="C55">
        <v>53</v>
      </c>
      <c r="D55">
        <v>1</v>
      </c>
      <c r="G55">
        <v>14</v>
      </c>
      <c r="H55" t="str">
        <f>"REAL"</f>
        <v>REAL</v>
      </c>
      <c r="J55" t="str">
        <f>"שעור המרת יחידות"</f>
        <v>שעור המרת יחידות</v>
      </c>
    </row>
    <row r="56" spans="1:10" x14ac:dyDescent="0.15">
      <c r="A56" t="str">
        <f>"תאריך מחיר אחרון"</f>
        <v>תאריך מחיר אחרון</v>
      </c>
      <c r="B56">
        <v>54</v>
      </c>
      <c r="C56">
        <v>54</v>
      </c>
      <c r="D56">
        <v>1</v>
      </c>
      <c r="G56">
        <v>8</v>
      </c>
      <c r="H56" t="str">
        <f>"DATE"</f>
        <v>DATE</v>
      </c>
      <c r="J56" t="str">
        <f>"תאריך מחיר אחרון"</f>
        <v>תאריך מחיר אחרון</v>
      </c>
    </row>
    <row r="57" spans="1:10" x14ac:dyDescent="0.15">
      <c r="A57" t="str">
        <f>"עלות יבוא אוויר (%)"</f>
        <v>עלות יבוא אוויר (%)</v>
      </c>
      <c r="B57">
        <v>55</v>
      </c>
      <c r="C57">
        <v>55</v>
      </c>
      <c r="D57">
        <v>1</v>
      </c>
      <c r="G57">
        <v>6</v>
      </c>
      <c r="H57" t="str">
        <f>"REAL"</f>
        <v>REAL</v>
      </c>
      <c r="J57" t="str">
        <f>"עלות יבוא אוויר (%)"</f>
        <v>עלות יבוא אוויר (%)</v>
      </c>
    </row>
    <row r="58" spans="1:10" x14ac:dyDescent="0.15">
      <c r="A58" t="str">
        <f>"עלות יבוא ים (%)"</f>
        <v>עלות יבוא ים (%)</v>
      </c>
      <c r="B58">
        <v>56</v>
      </c>
      <c r="C58">
        <v>56</v>
      </c>
      <c r="D58">
        <v>1</v>
      </c>
      <c r="G58">
        <v>6</v>
      </c>
      <c r="H58" t="str">
        <f>"REAL"</f>
        <v>REAL</v>
      </c>
      <c r="J58" t="str">
        <f>"עלות יבוא ים (%)"</f>
        <v>עלות יבוא ים (%)</v>
      </c>
    </row>
    <row r="59" spans="1:10" x14ac:dyDescent="0.15">
      <c r="A59" t="str">
        <f>"עלות יבוא יבשה (%)"</f>
        <v>עלות יבוא יבשה (%)</v>
      </c>
      <c r="B59">
        <v>57</v>
      </c>
      <c r="C59">
        <v>57</v>
      </c>
      <c r="D59">
        <v>1</v>
      </c>
      <c r="G59">
        <v>6</v>
      </c>
      <c r="H59" t="str">
        <f>"REAL"</f>
        <v>REAL</v>
      </c>
      <c r="J59" t="str">
        <f>"עלות יבוא יבשה (%)"</f>
        <v>עלות יבוא יבשה (%)</v>
      </c>
    </row>
    <row r="60" spans="1:10" x14ac:dyDescent="0.15">
      <c r="A60" t="str">
        <f>"סוג עלות יבוא L/S/A"</f>
        <v>סוג עלות יבוא L/S/A</v>
      </c>
      <c r="B60">
        <v>58</v>
      </c>
      <c r="C60">
        <v>58</v>
      </c>
      <c r="D60">
        <v>1</v>
      </c>
      <c r="G60">
        <v>1</v>
      </c>
      <c r="H60" t="str">
        <f>"CHAR"</f>
        <v>CHAR</v>
      </c>
      <c r="J60" t="str">
        <f>"סוג עלות יבוא L/S/A"</f>
        <v>סוג עלות יבוא L/S/A</v>
      </c>
    </row>
    <row r="61" spans="1:10" x14ac:dyDescent="0.15">
      <c r="A61" t="str">
        <f>"תאור לועזי"</f>
        <v>תאור לועזי</v>
      </c>
      <c r="B61">
        <v>59</v>
      </c>
      <c r="C61">
        <v>59</v>
      </c>
      <c r="D61">
        <v>1</v>
      </c>
      <c r="G61">
        <v>48</v>
      </c>
      <c r="H61" t="str">
        <f>"CHAR"</f>
        <v>CHAR</v>
      </c>
      <c r="J61" t="str">
        <f>"תאור לועזי"</f>
        <v>תאור לועזי</v>
      </c>
    </row>
    <row r="62" spans="1:10" x14ac:dyDescent="0.15">
      <c r="A62" t="str">
        <f>"המשך תיאור לועזי 1"</f>
        <v>המשך תיאור לועזי 1</v>
      </c>
      <c r="B62">
        <v>60</v>
      </c>
      <c r="C62">
        <v>60</v>
      </c>
      <c r="D62">
        <v>1</v>
      </c>
      <c r="G62">
        <v>48</v>
      </c>
      <c r="H62" t="str">
        <f>"CHAR"</f>
        <v>CHAR</v>
      </c>
      <c r="J62" t="str">
        <f>"המשך תיאור לועזי 1"</f>
        <v>המשך תיאור לועזי 1</v>
      </c>
    </row>
    <row r="63" spans="1:10" x14ac:dyDescent="0.15">
      <c r="A63" t="str">
        <f>"המשך תיאור לועזי 2"</f>
        <v>המשך תיאור לועזי 2</v>
      </c>
      <c r="B63">
        <v>61</v>
      </c>
      <c r="C63">
        <v>61</v>
      </c>
      <c r="D63">
        <v>1</v>
      </c>
      <c r="G63">
        <v>48</v>
      </c>
      <c r="H63" t="str">
        <f>"CHAR"</f>
        <v>CHAR</v>
      </c>
      <c r="J63" t="str">
        <f>"המשך תיאור לועזי 2"</f>
        <v>המשך תיאור לועזי 2</v>
      </c>
    </row>
    <row r="64" spans="1:10" x14ac:dyDescent="0.15">
      <c r="A64" t="str">
        <f>"המשך תיאור לועזי 3"</f>
        <v>המשך תיאור לועזי 3</v>
      </c>
      <c r="B64">
        <v>62</v>
      </c>
      <c r="C64">
        <v>62</v>
      </c>
      <c r="D64">
        <v>1</v>
      </c>
      <c r="G64">
        <v>48</v>
      </c>
      <c r="H64" t="str">
        <f>"CHAR"</f>
        <v>CHAR</v>
      </c>
      <c r="J64" t="str">
        <f>"המשך תיאור לועזי 3"</f>
        <v>המשך תיאור לועזי 3</v>
      </c>
    </row>
    <row r="65" spans="1:10" x14ac:dyDescent="0.15">
      <c r="A65" t="str">
        <f>"תאור משפחה"</f>
        <v>תאור משפחה</v>
      </c>
      <c r="B65">
        <v>63</v>
      </c>
      <c r="C65">
        <v>63</v>
      </c>
      <c r="D65">
        <v>1</v>
      </c>
      <c r="E65" t="str">
        <f>"Y"</f>
        <v>Y</v>
      </c>
      <c r="G65">
        <v>32</v>
      </c>
      <c r="H65" t="str">
        <f>"RCHAR"</f>
        <v>RCHAR</v>
      </c>
      <c r="J65" t="str">
        <f>"תאור משפחה"</f>
        <v>תאור משפחה</v>
      </c>
    </row>
    <row r="66" spans="1:10" x14ac:dyDescent="0.15">
      <c r="A66" t="str">
        <f>"משפחה"</f>
        <v>משפחה</v>
      </c>
      <c r="B66">
        <v>64</v>
      </c>
      <c r="C66">
        <v>64</v>
      </c>
      <c r="D66">
        <v>1</v>
      </c>
      <c r="E66" t="str">
        <f>"Y"</f>
        <v>Y</v>
      </c>
      <c r="G66">
        <v>8</v>
      </c>
      <c r="H66" t="str">
        <f>"CHAR"</f>
        <v>CHAR</v>
      </c>
      <c r="J66" t="str">
        <f>"משפחה"</f>
        <v>משפחה</v>
      </c>
    </row>
    <row r="67" spans="1:10" x14ac:dyDescent="0.15">
      <c r="A67" t="str">
        <f>"מדרגת הזמנה/פק""ע"</f>
        <v>מדרגת הזמנה/פק"ע</v>
      </c>
      <c r="B67">
        <v>65</v>
      </c>
      <c r="C67">
        <v>65</v>
      </c>
      <c r="D67">
        <v>1</v>
      </c>
      <c r="G67">
        <v>16</v>
      </c>
      <c r="H67" t="str">
        <f>"REAL"</f>
        <v>REAL</v>
      </c>
      <c r="J67" t="str">
        <f>"מדרגת הזמנה/פק""ע"</f>
        <v>מדרגת הזמנה/פק"ע</v>
      </c>
    </row>
    <row r="68" spans="1:10" x14ac:dyDescent="0.15">
      <c r="A68" t="str">
        <f>"טווח קיבוץ"</f>
        <v>טווח קיבוץ</v>
      </c>
      <c r="B68">
        <v>66</v>
      </c>
      <c r="C68">
        <v>66</v>
      </c>
      <c r="D68">
        <v>1</v>
      </c>
      <c r="G68">
        <v>3</v>
      </c>
      <c r="H68" t="str">
        <f>"INT"</f>
        <v>INT</v>
      </c>
      <c r="J68" t="str">
        <f>"טווח קיבוץ"</f>
        <v>טווח קיבוץ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402"/>
  <sheetViews>
    <sheetView rightToLeft="1" tabSelected="1" topLeftCell="A35" workbookViewId="0">
      <selection activeCell="C1" sqref="C1:C1048576"/>
    </sheetView>
  </sheetViews>
  <sheetFormatPr defaultRowHeight="13.5" x14ac:dyDescent="0.15"/>
  <cols>
    <col min="1" max="1" width="9.0703125" bestFit="1" customWidth="1"/>
    <col min="3" max="3" width="33.8359375" customWidth="1"/>
    <col min="27" max="27" width="11.890625" bestFit="1" customWidth="1"/>
    <col min="28" max="28" width="17.28515625" customWidth="1"/>
    <col min="29" max="29" width="17.65234375" customWidth="1"/>
    <col min="33" max="33" width="12.74609375" customWidth="1"/>
    <col min="34" max="34" width="12.9921875" customWidth="1"/>
    <col min="35" max="35" width="13.1171875" customWidth="1"/>
    <col min="36" max="36" width="13.359375" customWidth="1"/>
    <col min="46" max="46" width="9.0703125" bestFit="1" customWidth="1"/>
  </cols>
  <sheetData>
    <row r="1" spans="1:6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15">
      <c r="A2" s="2">
        <v>398110</v>
      </c>
      <c r="B2" s="1" t="s">
        <v>439</v>
      </c>
      <c r="C2" s="3" t="s">
        <v>67</v>
      </c>
      <c r="D2" s="1" t="s">
        <v>471</v>
      </c>
      <c r="E2" s="1" t="s">
        <v>472</v>
      </c>
      <c r="F2" s="1" t="s">
        <v>473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>
        <v>10603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3">
        <v>13.68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476</v>
      </c>
      <c r="BN2" s="1"/>
      <c r="BO2" s="1"/>
    </row>
    <row r="3" spans="1:67" x14ac:dyDescent="0.15">
      <c r="A3" s="4">
        <v>218110</v>
      </c>
      <c r="B3" s="1" t="s">
        <v>439</v>
      </c>
      <c r="C3" s="4" t="s">
        <v>68</v>
      </c>
      <c r="D3" s="1" t="s">
        <v>471</v>
      </c>
      <c r="E3" s="1" t="s">
        <v>472</v>
      </c>
      <c r="F3" s="1" t="s">
        <v>473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">
        <v>268110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4">
        <v>1.38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 t="s">
        <v>477</v>
      </c>
      <c r="BN3" s="1"/>
      <c r="BO3" s="1"/>
    </row>
    <row r="4" spans="1:67" x14ac:dyDescent="0.15">
      <c r="A4" s="4">
        <v>218120</v>
      </c>
      <c r="B4" s="1" t="s">
        <v>439</v>
      </c>
      <c r="C4" s="4" t="s">
        <v>69</v>
      </c>
      <c r="D4" s="1" t="s">
        <v>471</v>
      </c>
      <c r="E4" s="1" t="s">
        <v>472</v>
      </c>
      <c r="F4" s="1" t="s">
        <v>473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4">
        <v>1020109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4">
        <v>1.8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 t="s">
        <v>477</v>
      </c>
      <c r="BN4" s="1"/>
      <c r="BO4" s="1"/>
    </row>
    <row r="5" spans="1:67" x14ac:dyDescent="0.15">
      <c r="A5" s="4">
        <v>218130</v>
      </c>
      <c r="B5" s="1" t="s">
        <v>439</v>
      </c>
      <c r="C5" s="4" t="s">
        <v>70</v>
      </c>
      <c r="D5" s="1" t="s">
        <v>471</v>
      </c>
      <c r="E5" s="1" t="s">
        <v>472</v>
      </c>
      <c r="F5" s="1" t="s">
        <v>473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4">
        <v>1020113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4">
        <v>3.75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 t="s">
        <v>477</v>
      </c>
      <c r="BN5" s="1"/>
      <c r="BO5" s="1"/>
    </row>
    <row r="6" spans="1:67" x14ac:dyDescent="0.15">
      <c r="A6" s="4">
        <v>218140</v>
      </c>
      <c r="B6" s="1" t="s">
        <v>439</v>
      </c>
      <c r="C6" s="4" t="s">
        <v>71</v>
      </c>
      <c r="D6" s="1" t="s">
        <v>471</v>
      </c>
      <c r="E6" s="1" t="s">
        <v>472</v>
      </c>
      <c r="F6" s="1" t="s">
        <v>473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4">
        <v>3700201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4">
        <v>3.1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 t="s">
        <v>477</v>
      </c>
      <c r="BN6" s="1"/>
      <c r="BO6" s="1"/>
    </row>
    <row r="7" spans="1:67" x14ac:dyDescent="0.15">
      <c r="A7" s="4">
        <v>218150</v>
      </c>
      <c r="B7" s="1" t="s">
        <v>439</v>
      </c>
      <c r="C7" s="4" t="s">
        <v>72</v>
      </c>
      <c r="D7" s="1" t="s">
        <v>471</v>
      </c>
      <c r="E7" s="1" t="s">
        <v>472</v>
      </c>
      <c r="F7" s="1" t="s">
        <v>473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4">
        <v>3700202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4">
        <v>3.8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477</v>
      </c>
      <c r="BN7" s="1"/>
      <c r="BO7" s="1"/>
    </row>
    <row r="8" spans="1:67" x14ac:dyDescent="0.15">
      <c r="A8" s="4">
        <v>218160</v>
      </c>
      <c r="B8" s="1" t="s">
        <v>439</v>
      </c>
      <c r="C8" s="4" t="s">
        <v>73</v>
      </c>
      <c r="D8" s="1" t="s">
        <v>471</v>
      </c>
      <c r="E8" s="1" t="s">
        <v>472</v>
      </c>
      <c r="F8" s="1" t="s">
        <v>473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">
        <v>3700203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4">
        <v>7.6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 t="s">
        <v>477</v>
      </c>
      <c r="BN8" s="1"/>
      <c r="BO8" s="1"/>
    </row>
    <row r="9" spans="1:67" x14ac:dyDescent="0.15">
      <c r="A9" s="4">
        <v>218170</v>
      </c>
      <c r="B9" s="1" t="s">
        <v>439</v>
      </c>
      <c r="C9" s="3" t="s">
        <v>74</v>
      </c>
      <c r="D9" s="1" t="s">
        <v>471</v>
      </c>
      <c r="E9" s="1" t="s">
        <v>472</v>
      </c>
      <c r="F9" s="1" t="s">
        <v>473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>
        <v>3700205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3">
        <v>26.5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 t="s">
        <v>477</v>
      </c>
      <c r="BN9" s="1"/>
      <c r="BO9" s="1"/>
    </row>
    <row r="10" spans="1:67" x14ac:dyDescent="0.15">
      <c r="A10" s="4">
        <v>218180</v>
      </c>
      <c r="B10" s="1" t="s">
        <v>439</v>
      </c>
      <c r="C10" s="4" t="s">
        <v>75</v>
      </c>
      <c r="D10" s="1" t="s">
        <v>471</v>
      </c>
      <c r="E10" s="1" t="s">
        <v>472</v>
      </c>
      <c r="F10" s="1" t="s">
        <v>473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4">
        <v>3700320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4">
        <v>0.54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 t="s">
        <v>477</v>
      </c>
      <c r="BN10" s="1"/>
      <c r="BO10" s="1"/>
    </row>
    <row r="11" spans="1:67" x14ac:dyDescent="0.15">
      <c r="A11" s="4">
        <v>218190</v>
      </c>
      <c r="B11" s="1" t="s">
        <v>439</v>
      </c>
      <c r="C11" s="3" t="s">
        <v>76</v>
      </c>
      <c r="D11" s="1" t="s">
        <v>471</v>
      </c>
      <c r="E11" s="1" t="s">
        <v>472</v>
      </c>
      <c r="F11" s="1" t="s">
        <v>473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>
        <v>3700324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3">
        <v>0.64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 t="s">
        <v>477</v>
      </c>
      <c r="BN11" s="1"/>
      <c r="BO11" s="1"/>
    </row>
    <row r="12" spans="1:67" x14ac:dyDescent="0.15">
      <c r="A12" s="4">
        <v>218200</v>
      </c>
      <c r="B12" s="1" t="s">
        <v>439</v>
      </c>
      <c r="C12" s="4" t="s">
        <v>77</v>
      </c>
      <c r="D12" s="1" t="s">
        <v>471</v>
      </c>
      <c r="E12" s="1" t="s">
        <v>472</v>
      </c>
      <c r="F12" s="1" t="s">
        <v>473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4">
        <v>3700326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4">
        <v>5.86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 t="s">
        <v>477</v>
      </c>
      <c r="BN12" s="1"/>
      <c r="BO12" s="1"/>
    </row>
    <row r="13" spans="1:67" x14ac:dyDescent="0.15">
      <c r="A13" s="4">
        <v>218210</v>
      </c>
      <c r="B13" s="1" t="s">
        <v>439</v>
      </c>
      <c r="C13" s="4" t="s">
        <v>78</v>
      </c>
      <c r="D13" s="1" t="s">
        <v>471</v>
      </c>
      <c r="E13" s="1" t="s">
        <v>472</v>
      </c>
      <c r="F13" s="1" t="s">
        <v>473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4">
        <v>8103006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4">
        <v>20.9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 t="s">
        <v>477</v>
      </c>
      <c r="BN13" s="1"/>
      <c r="BO13" s="1"/>
    </row>
    <row r="14" spans="1:67" x14ac:dyDescent="0.15">
      <c r="A14" s="4">
        <v>218220</v>
      </c>
      <c r="B14" s="1" t="s">
        <v>439</v>
      </c>
      <c r="C14" s="4" t="s">
        <v>79</v>
      </c>
      <c r="D14" s="1" t="s">
        <v>471</v>
      </c>
      <c r="E14" s="1" t="s">
        <v>472</v>
      </c>
      <c r="F14" s="1" t="s">
        <v>473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4">
        <v>8103016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4">
        <v>42.8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 t="s">
        <v>477</v>
      </c>
      <c r="BN14" s="1"/>
      <c r="BO14" s="1"/>
    </row>
    <row r="15" spans="1:67" x14ac:dyDescent="0.15">
      <c r="A15" s="4">
        <v>218230</v>
      </c>
      <c r="B15" s="1" t="s">
        <v>439</v>
      </c>
      <c r="C15" s="4" t="s">
        <v>80</v>
      </c>
      <c r="D15" s="1" t="s">
        <v>471</v>
      </c>
      <c r="E15" s="1" t="s">
        <v>472</v>
      </c>
      <c r="F15" s="1" t="s">
        <v>473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>
        <v>8107004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4">
        <v>6.48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 t="s">
        <v>477</v>
      </c>
      <c r="BN15" s="1"/>
      <c r="BO15" s="1"/>
    </row>
    <row r="16" spans="1:67" x14ac:dyDescent="0.15">
      <c r="A16" s="4">
        <v>218240</v>
      </c>
      <c r="B16" s="1" t="s">
        <v>439</v>
      </c>
      <c r="C16" s="4" t="s">
        <v>81</v>
      </c>
      <c r="D16" s="1" t="s">
        <v>471</v>
      </c>
      <c r="E16" s="1" t="s">
        <v>472</v>
      </c>
      <c r="F16" s="1" t="s">
        <v>473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4">
        <v>8400088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4">
        <v>0.85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 t="s">
        <v>477</v>
      </c>
      <c r="BN16" s="1"/>
      <c r="BO16" s="1"/>
    </row>
    <row r="17" spans="1:67" x14ac:dyDescent="0.15">
      <c r="A17" s="4">
        <v>218250</v>
      </c>
      <c r="B17" s="1" t="s">
        <v>439</v>
      </c>
      <c r="C17" s="4" t="s">
        <v>82</v>
      </c>
      <c r="D17" s="1" t="s">
        <v>471</v>
      </c>
      <c r="E17" s="1" t="s">
        <v>472</v>
      </c>
      <c r="F17" s="1" t="s">
        <v>473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4">
        <v>8400090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4">
        <v>1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 t="s">
        <v>477</v>
      </c>
      <c r="BN17" s="1"/>
      <c r="BO17" s="1"/>
    </row>
    <row r="18" spans="1:67" x14ac:dyDescent="0.15">
      <c r="A18" s="4">
        <v>218260</v>
      </c>
      <c r="B18" s="1" t="s">
        <v>439</v>
      </c>
      <c r="C18" s="3" t="s">
        <v>83</v>
      </c>
      <c r="D18" s="1" t="s">
        <v>471</v>
      </c>
      <c r="E18" s="1" t="s">
        <v>472</v>
      </c>
      <c r="F18" s="1" t="s">
        <v>473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>
        <v>8600003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3">
        <v>0.7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 t="s">
        <v>477</v>
      </c>
      <c r="BN18" s="1"/>
      <c r="BO18" s="1"/>
    </row>
    <row r="19" spans="1:67" x14ac:dyDescent="0.15">
      <c r="A19" s="4">
        <v>218270</v>
      </c>
      <c r="B19" s="1" t="s">
        <v>439</v>
      </c>
      <c r="C19" s="3" t="s">
        <v>84</v>
      </c>
      <c r="D19" s="1" t="s">
        <v>471</v>
      </c>
      <c r="E19" s="1" t="s">
        <v>472</v>
      </c>
      <c r="F19" s="1" t="s">
        <v>473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>
        <v>8600004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3">
        <v>1.4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 t="s">
        <v>477</v>
      </c>
      <c r="BN19" s="1"/>
      <c r="BO19" s="1"/>
    </row>
    <row r="20" spans="1:67" x14ac:dyDescent="0.15">
      <c r="A20" s="4">
        <v>218280</v>
      </c>
      <c r="B20" s="1" t="s">
        <v>439</v>
      </c>
      <c r="C20" s="4" t="s">
        <v>85</v>
      </c>
      <c r="D20" s="1" t="s">
        <v>471</v>
      </c>
      <c r="E20" s="1" t="s">
        <v>472</v>
      </c>
      <c r="F20" s="1" t="s">
        <v>473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4">
        <v>8600005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4">
        <v>2.1800000000000002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 t="s">
        <v>477</v>
      </c>
      <c r="BN20" s="1"/>
      <c r="BO20" s="1"/>
    </row>
    <row r="21" spans="1:67" x14ac:dyDescent="0.15">
      <c r="A21" s="4">
        <v>218290</v>
      </c>
      <c r="B21" s="1" t="s">
        <v>439</v>
      </c>
      <c r="C21" s="3" t="s">
        <v>86</v>
      </c>
      <c r="D21" s="1" t="s">
        <v>471</v>
      </c>
      <c r="E21" s="1" t="s">
        <v>472</v>
      </c>
      <c r="F21" s="1" t="s">
        <v>473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>
        <v>8600103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3">
        <v>1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 t="s">
        <v>477</v>
      </c>
      <c r="BN21" s="1"/>
      <c r="BO21" s="1"/>
    </row>
    <row r="22" spans="1:67" x14ac:dyDescent="0.15">
      <c r="A22" s="4">
        <v>218300</v>
      </c>
      <c r="B22" s="1" t="s">
        <v>439</v>
      </c>
      <c r="C22" s="3" t="s">
        <v>87</v>
      </c>
      <c r="D22" s="1" t="s">
        <v>471</v>
      </c>
      <c r="E22" s="1" t="s">
        <v>472</v>
      </c>
      <c r="F22" s="1" t="s">
        <v>473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>
        <v>8600104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3">
        <v>1.78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 t="s">
        <v>477</v>
      </c>
      <c r="BN22" s="1"/>
      <c r="BO22" s="1"/>
    </row>
    <row r="23" spans="1:67" x14ac:dyDescent="0.15">
      <c r="A23" s="4">
        <v>218310</v>
      </c>
      <c r="B23" s="1" t="s">
        <v>439</v>
      </c>
      <c r="C23" s="3" t="s">
        <v>88</v>
      </c>
      <c r="D23" s="1" t="s">
        <v>471</v>
      </c>
      <c r="E23" s="1" t="s">
        <v>472</v>
      </c>
      <c r="F23" s="1" t="s">
        <v>473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>
        <v>8600105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3">
        <v>2.9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 t="s">
        <v>477</v>
      </c>
      <c r="BN23" s="1"/>
      <c r="BO23" s="1"/>
    </row>
    <row r="24" spans="1:67" x14ac:dyDescent="0.15">
      <c r="A24" s="4">
        <v>218320</v>
      </c>
      <c r="B24" s="1" t="s">
        <v>439</v>
      </c>
      <c r="C24" s="3" t="s">
        <v>89</v>
      </c>
      <c r="D24" s="1" t="s">
        <v>471</v>
      </c>
      <c r="E24" s="1" t="s">
        <v>472</v>
      </c>
      <c r="F24" s="1" t="s">
        <v>473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>
        <v>8600106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3">
        <v>3.78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 t="s">
        <v>477</v>
      </c>
      <c r="BN24" s="1"/>
      <c r="BO24" s="1"/>
    </row>
    <row r="25" spans="1:67" x14ac:dyDescent="0.15">
      <c r="A25" s="4">
        <v>218330</v>
      </c>
      <c r="B25" s="1" t="s">
        <v>439</v>
      </c>
      <c r="C25" s="3" t="s">
        <v>90</v>
      </c>
      <c r="D25" s="1" t="s">
        <v>471</v>
      </c>
      <c r="E25" s="1" t="s">
        <v>472</v>
      </c>
      <c r="F25" s="1" t="s">
        <v>473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>
        <v>8600108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3">
        <v>1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 t="s">
        <v>477</v>
      </c>
      <c r="BN25" s="1"/>
      <c r="BO25" s="1"/>
    </row>
    <row r="26" spans="1:67" x14ac:dyDescent="0.15">
      <c r="A26" s="4">
        <v>218340</v>
      </c>
      <c r="B26" s="1" t="s">
        <v>439</v>
      </c>
      <c r="C26" s="3" t="s">
        <v>91</v>
      </c>
      <c r="D26" s="1" t="s">
        <v>471</v>
      </c>
      <c r="E26" s="1" t="s">
        <v>472</v>
      </c>
      <c r="F26" s="1" t="s">
        <v>473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>
        <v>8600110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3">
        <v>1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 t="s">
        <v>477</v>
      </c>
      <c r="BN26" s="1"/>
      <c r="BO26" s="1"/>
    </row>
    <row r="27" spans="1:67" x14ac:dyDescent="0.15">
      <c r="A27" s="4">
        <v>218350</v>
      </c>
      <c r="B27" s="1" t="s">
        <v>439</v>
      </c>
      <c r="C27" s="3" t="s">
        <v>92</v>
      </c>
      <c r="D27" s="1" t="s">
        <v>471</v>
      </c>
      <c r="E27" s="1" t="s">
        <v>472</v>
      </c>
      <c r="F27" s="1" t="s">
        <v>473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>
        <v>8600112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3">
        <v>1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 t="s">
        <v>477</v>
      </c>
      <c r="BN27" s="1"/>
      <c r="BO27" s="1"/>
    </row>
    <row r="28" spans="1:67" x14ac:dyDescent="0.15">
      <c r="A28" s="4">
        <v>218360</v>
      </c>
      <c r="B28" s="1" t="s">
        <v>439</v>
      </c>
      <c r="C28" s="3" t="s">
        <v>93</v>
      </c>
      <c r="D28" s="1" t="s">
        <v>471</v>
      </c>
      <c r="E28" s="1" t="s">
        <v>472</v>
      </c>
      <c r="F28" s="1" t="s">
        <v>473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>
        <v>8600113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3">
        <v>1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 t="s">
        <v>477</v>
      </c>
      <c r="BN28" s="1"/>
      <c r="BO28" s="1"/>
    </row>
    <row r="29" spans="1:67" x14ac:dyDescent="0.15">
      <c r="A29" s="4">
        <v>218370</v>
      </c>
      <c r="B29" s="1" t="s">
        <v>439</v>
      </c>
      <c r="C29" s="3" t="s">
        <v>94</v>
      </c>
      <c r="D29" s="1" t="s">
        <v>471</v>
      </c>
      <c r="E29" s="1" t="s">
        <v>472</v>
      </c>
      <c r="F29" s="1" t="s">
        <v>473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>
        <v>8600114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3">
        <v>1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 t="s">
        <v>477</v>
      </c>
      <c r="BN29" s="1"/>
      <c r="BO29" s="1"/>
    </row>
    <row r="30" spans="1:67" x14ac:dyDescent="0.15">
      <c r="A30" s="4">
        <v>218380</v>
      </c>
      <c r="B30" s="1" t="s">
        <v>439</v>
      </c>
      <c r="C30" s="4" t="s">
        <v>95</v>
      </c>
      <c r="D30" s="1" t="s">
        <v>471</v>
      </c>
      <c r="E30" s="1" t="s">
        <v>472</v>
      </c>
      <c r="F30" s="1" t="s">
        <v>473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">
        <v>8600115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4">
        <v>1.8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 t="s">
        <v>477</v>
      </c>
      <c r="BN30" s="1"/>
      <c r="BO30" s="1"/>
    </row>
    <row r="31" spans="1:67" x14ac:dyDescent="0.15">
      <c r="A31" s="4">
        <v>218390</v>
      </c>
      <c r="B31" s="1" t="s">
        <v>439</v>
      </c>
      <c r="C31" s="4" t="s">
        <v>96</v>
      </c>
      <c r="D31" s="1" t="s">
        <v>471</v>
      </c>
      <c r="E31" s="1" t="s">
        <v>472</v>
      </c>
      <c r="F31" s="1" t="s">
        <v>473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4">
        <v>8600118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4">
        <v>1.78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 t="s">
        <v>477</v>
      </c>
      <c r="BN31" s="1"/>
      <c r="BO31" s="1"/>
    </row>
    <row r="32" spans="1:67" x14ac:dyDescent="0.15">
      <c r="A32" s="4">
        <v>218400</v>
      </c>
      <c r="B32" s="1" t="s">
        <v>439</v>
      </c>
      <c r="C32" s="4" t="s">
        <v>97</v>
      </c>
      <c r="D32" s="1" t="s">
        <v>471</v>
      </c>
      <c r="E32" s="1" t="s">
        <v>472</v>
      </c>
      <c r="F32" s="1" t="s">
        <v>473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">
        <v>8600121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4">
        <v>2.85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 t="s">
        <v>477</v>
      </c>
      <c r="BN32" s="1"/>
      <c r="BO32" s="1"/>
    </row>
    <row r="33" spans="1:67" x14ac:dyDescent="0.15">
      <c r="A33" s="4">
        <v>218410</v>
      </c>
      <c r="B33" s="1" t="s">
        <v>439</v>
      </c>
      <c r="C33" s="4" t="s">
        <v>98</v>
      </c>
      <c r="D33" s="1" t="s">
        <v>471</v>
      </c>
      <c r="E33" s="1" t="s">
        <v>472</v>
      </c>
      <c r="F33" s="1" t="s">
        <v>473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4">
        <v>10201052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4">
        <v>1.55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 t="s">
        <v>477</v>
      </c>
      <c r="BN33" s="1"/>
      <c r="BO33" s="1"/>
    </row>
    <row r="34" spans="1:67" x14ac:dyDescent="0.15">
      <c r="A34" s="4">
        <v>218420</v>
      </c>
      <c r="B34" s="1" t="s">
        <v>439</v>
      </c>
      <c r="C34" s="4" t="s">
        <v>99</v>
      </c>
      <c r="D34" s="1" t="s">
        <v>471</v>
      </c>
      <c r="E34" s="1" t="s">
        <v>472</v>
      </c>
      <c r="F34" s="1" t="s">
        <v>473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4">
        <v>10201091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4">
        <v>1.8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 t="s">
        <v>477</v>
      </c>
      <c r="BN34" s="1"/>
      <c r="BO34" s="1"/>
    </row>
    <row r="35" spans="1:67" x14ac:dyDescent="0.15">
      <c r="A35" s="4">
        <v>218430</v>
      </c>
      <c r="B35" s="1" t="s">
        <v>439</v>
      </c>
      <c r="C35" s="3" t="s">
        <v>100</v>
      </c>
      <c r="D35" s="1" t="s">
        <v>471</v>
      </c>
      <c r="E35" s="1" t="s">
        <v>472</v>
      </c>
      <c r="F35" s="1" t="s">
        <v>473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>
        <v>59511201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3">
        <v>20.329999999999998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 t="s">
        <v>477</v>
      </c>
      <c r="BN35" s="1"/>
      <c r="BO35" s="1"/>
    </row>
    <row r="36" spans="1:67" x14ac:dyDescent="0.15">
      <c r="A36" s="4">
        <v>218440</v>
      </c>
      <c r="B36" s="1" t="s">
        <v>439</v>
      </c>
      <c r="C36" s="4" t="s">
        <v>101</v>
      </c>
      <c r="D36" s="1" t="s">
        <v>471</v>
      </c>
      <c r="E36" s="1" t="s">
        <v>472</v>
      </c>
      <c r="F36" s="1" t="s">
        <v>473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4">
        <v>59520701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4">
        <v>19.22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 t="s">
        <v>477</v>
      </c>
      <c r="BN36" s="1"/>
      <c r="BO36" s="1"/>
    </row>
    <row r="37" spans="1:67" x14ac:dyDescent="0.15">
      <c r="A37" s="4">
        <v>228110</v>
      </c>
      <c r="B37" s="1" t="s">
        <v>440</v>
      </c>
      <c r="C37" s="3" t="s">
        <v>102</v>
      </c>
      <c r="D37" s="1" t="s">
        <v>471</v>
      </c>
      <c r="E37" s="1" t="s">
        <v>472</v>
      </c>
      <c r="F37" s="1" t="s">
        <v>473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>
        <v>3944024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3">
        <v>19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 t="s">
        <v>478</v>
      </c>
      <c r="BN37" s="1"/>
      <c r="BO37" s="1"/>
    </row>
    <row r="38" spans="1:67" x14ac:dyDescent="0.15">
      <c r="A38" s="4">
        <v>228120</v>
      </c>
      <c r="B38" s="1" t="s">
        <v>440</v>
      </c>
      <c r="C38" s="4" t="s">
        <v>103</v>
      </c>
      <c r="D38" s="1" t="s">
        <v>471</v>
      </c>
      <c r="E38" s="1" t="s">
        <v>472</v>
      </c>
      <c r="F38" s="1" t="s">
        <v>473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4">
        <v>3948006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4">
        <v>9.1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 t="s">
        <v>478</v>
      </c>
      <c r="BN38" s="1"/>
      <c r="BO38" s="1"/>
    </row>
    <row r="39" spans="1:67" x14ac:dyDescent="0.15">
      <c r="A39" s="4">
        <v>228130</v>
      </c>
      <c r="B39" s="1" t="s">
        <v>440</v>
      </c>
      <c r="C39" s="3" t="s">
        <v>104</v>
      </c>
      <c r="D39" s="1" t="s">
        <v>471</v>
      </c>
      <c r="E39" s="1" t="s">
        <v>472</v>
      </c>
      <c r="F39" s="1" t="s">
        <v>473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>
        <v>8400004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3">
        <v>0.8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 t="s">
        <v>478</v>
      </c>
      <c r="BN39" s="1"/>
      <c r="BO39" s="1"/>
    </row>
    <row r="40" spans="1:67" x14ac:dyDescent="0.15">
      <c r="A40" s="4">
        <v>228140</v>
      </c>
      <c r="B40" s="1" t="s">
        <v>440</v>
      </c>
      <c r="C40" s="3" t="s">
        <v>105</v>
      </c>
      <c r="D40" s="1" t="s">
        <v>471</v>
      </c>
      <c r="E40" s="1" t="s">
        <v>472</v>
      </c>
      <c r="F40" s="1" t="s">
        <v>473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>
        <v>8400005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3">
        <v>0.9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 t="s">
        <v>478</v>
      </c>
      <c r="BN40" s="1"/>
      <c r="BO40" s="1"/>
    </row>
    <row r="41" spans="1:67" x14ac:dyDescent="0.15">
      <c r="A41" s="4">
        <v>228150</v>
      </c>
      <c r="B41" s="1" t="s">
        <v>440</v>
      </c>
      <c r="C41" s="3" t="s">
        <v>106</v>
      </c>
      <c r="D41" s="1" t="s">
        <v>471</v>
      </c>
      <c r="E41" s="1" t="s">
        <v>472</v>
      </c>
      <c r="F41" s="1" t="s">
        <v>473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>
        <v>8400010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3">
        <v>1.7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 t="s">
        <v>478</v>
      </c>
      <c r="BN41" s="1"/>
      <c r="BO41" s="1"/>
    </row>
    <row r="42" spans="1:67" x14ac:dyDescent="0.15">
      <c r="A42" s="4">
        <v>228160</v>
      </c>
      <c r="B42" s="1" t="s">
        <v>440</v>
      </c>
      <c r="C42" s="3" t="s">
        <v>107</v>
      </c>
      <c r="D42" s="1" t="s">
        <v>471</v>
      </c>
      <c r="E42" s="1" t="s">
        <v>472</v>
      </c>
      <c r="F42" s="1" t="s">
        <v>473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>
        <v>8400014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3">
        <v>8.23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 t="s">
        <v>478</v>
      </c>
      <c r="BN42" s="1"/>
      <c r="BO42" s="1"/>
    </row>
    <row r="43" spans="1:67" x14ac:dyDescent="0.15">
      <c r="A43" s="4">
        <v>228170</v>
      </c>
      <c r="B43" s="1" t="s">
        <v>440</v>
      </c>
      <c r="C43" s="4" t="s">
        <v>108</v>
      </c>
      <c r="D43" s="1" t="s">
        <v>471</v>
      </c>
      <c r="E43" s="1" t="s">
        <v>472</v>
      </c>
      <c r="F43" s="1" t="s">
        <v>473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">
        <v>8400015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4">
        <v>4.43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 t="s">
        <v>478</v>
      </c>
      <c r="BN43" s="1"/>
      <c r="BO43" s="1"/>
    </row>
    <row r="44" spans="1:67" x14ac:dyDescent="0.15">
      <c r="A44" s="4">
        <v>228180</v>
      </c>
      <c r="B44" s="1" t="s">
        <v>440</v>
      </c>
      <c r="C44" s="3" t="s">
        <v>109</v>
      </c>
      <c r="D44" s="1" t="s">
        <v>471</v>
      </c>
      <c r="E44" s="1" t="s">
        <v>472</v>
      </c>
      <c r="F44" s="1" t="s">
        <v>473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>
        <v>8400017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3">
        <v>6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 t="s">
        <v>478</v>
      </c>
      <c r="BN44" s="1"/>
      <c r="BO44" s="1"/>
    </row>
    <row r="45" spans="1:67" x14ac:dyDescent="0.15">
      <c r="A45" s="4">
        <v>228190</v>
      </c>
      <c r="B45" s="1" t="s">
        <v>440</v>
      </c>
      <c r="C45" s="4" t="s">
        <v>441</v>
      </c>
      <c r="D45" s="1" t="s">
        <v>471</v>
      </c>
      <c r="E45" s="1" t="s">
        <v>472</v>
      </c>
      <c r="F45" s="1" t="s">
        <v>473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4">
        <v>8400020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4">
        <v>1.9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 t="s">
        <v>478</v>
      </c>
      <c r="BN45" s="1"/>
      <c r="BO45" s="1"/>
    </row>
    <row r="46" spans="1:67" x14ac:dyDescent="0.15">
      <c r="A46" s="4">
        <v>228200</v>
      </c>
      <c r="B46" s="1" t="s">
        <v>440</v>
      </c>
      <c r="C46" s="4" t="s">
        <v>442</v>
      </c>
      <c r="D46" s="1" t="s">
        <v>471</v>
      </c>
      <c r="E46" s="1" t="s">
        <v>472</v>
      </c>
      <c r="F46" s="1" t="s">
        <v>473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">
        <v>8400027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4">
        <v>1.3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 t="s">
        <v>478</v>
      </c>
      <c r="BN46" s="1"/>
      <c r="BO46" s="1"/>
    </row>
    <row r="47" spans="1:67" x14ac:dyDescent="0.15">
      <c r="A47" s="4">
        <v>228210</v>
      </c>
      <c r="B47" s="1" t="s">
        <v>440</v>
      </c>
      <c r="C47" s="4" t="s">
        <v>443</v>
      </c>
      <c r="D47" s="1" t="s">
        <v>471</v>
      </c>
      <c r="E47" s="1" t="s">
        <v>472</v>
      </c>
      <c r="F47" s="1" t="s">
        <v>473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">
        <v>8400028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4">
        <v>1.1499999999999999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 t="s">
        <v>478</v>
      </c>
      <c r="BN47" s="1"/>
      <c r="BO47" s="1"/>
    </row>
    <row r="48" spans="1:67" x14ac:dyDescent="0.15">
      <c r="A48" s="4">
        <v>228220</v>
      </c>
      <c r="B48" s="1" t="s">
        <v>440</v>
      </c>
      <c r="C48" s="4" t="s">
        <v>444</v>
      </c>
      <c r="D48" s="1" t="s">
        <v>471</v>
      </c>
      <c r="E48" s="1" t="s">
        <v>472</v>
      </c>
      <c r="F48" s="1" t="s">
        <v>473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">
        <v>8400029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4">
        <v>1.1499999999999999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 t="s">
        <v>478</v>
      </c>
      <c r="BN48" s="1"/>
      <c r="BO48" s="1"/>
    </row>
    <row r="49" spans="1:67" x14ac:dyDescent="0.15">
      <c r="A49" s="4">
        <v>228230</v>
      </c>
      <c r="B49" s="1" t="s">
        <v>440</v>
      </c>
      <c r="C49" s="4" t="s">
        <v>445</v>
      </c>
      <c r="D49" s="1" t="s">
        <v>471</v>
      </c>
      <c r="E49" s="1" t="s">
        <v>472</v>
      </c>
      <c r="F49" s="1" t="s">
        <v>473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4">
        <v>84000101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">
        <v>7.66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 t="s">
        <v>478</v>
      </c>
      <c r="BN49" s="1"/>
      <c r="BO49" s="1"/>
    </row>
    <row r="50" spans="1:67" x14ac:dyDescent="0.15">
      <c r="A50" s="4">
        <v>228240</v>
      </c>
      <c r="B50" s="1" t="s">
        <v>440</v>
      </c>
      <c r="C50" s="4" t="s">
        <v>446</v>
      </c>
      <c r="D50" s="1" t="s">
        <v>471</v>
      </c>
      <c r="E50" s="1" t="s">
        <v>472</v>
      </c>
      <c r="F50" s="1" t="s">
        <v>473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4">
        <v>99761102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4">
        <v>3.8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 t="s">
        <v>478</v>
      </c>
      <c r="BN50" s="1"/>
      <c r="BO50" s="1"/>
    </row>
    <row r="51" spans="1:67" x14ac:dyDescent="0.15">
      <c r="A51" s="4">
        <v>228250</v>
      </c>
      <c r="B51" s="1" t="s">
        <v>440</v>
      </c>
      <c r="C51" s="4" t="s">
        <v>447</v>
      </c>
      <c r="D51" s="1" t="s">
        <v>471</v>
      </c>
      <c r="E51" s="1" t="s">
        <v>472</v>
      </c>
      <c r="F51" s="1" t="s">
        <v>473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">
        <v>99761104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4">
        <v>13.13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 t="s">
        <v>478</v>
      </c>
      <c r="BN51" s="1"/>
      <c r="BO51" s="1"/>
    </row>
    <row r="52" spans="1:67" x14ac:dyDescent="0.15">
      <c r="A52" s="4">
        <v>228260</v>
      </c>
      <c r="B52" s="1" t="s">
        <v>440</v>
      </c>
      <c r="C52" s="4" t="s">
        <v>448</v>
      </c>
      <c r="D52" s="1" t="s">
        <v>471</v>
      </c>
      <c r="E52" s="1" t="s">
        <v>472</v>
      </c>
      <c r="F52" s="1" t="s">
        <v>473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4">
        <v>99761106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4">
        <v>17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 t="s">
        <v>478</v>
      </c>
      <c r="BN52" s="1"/>
      <c r="BO52" s="1"/>
    </row>
    <row r="53" spans="1:67" x14ac:dyDescent="0.15">
      <c r="A53" s="4">
        <v>228270</v>
      </c>
      <c r="B53" s="1" t="s">
        <v>440</v>
      </c>
      <c r="C53" s="4" t="s">
        <v>449</v>
      </c>
      <c r="D53" s="1" t="s">
        <v>471</v>
      </c>
      <c r="E53" s="1" t="s">
        <v>472</v>
      </c>
      <c r="F53" s="1" t="s">
        <v>473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4">
        <v>99761113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4">
        <v>50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 t="s">
        <v>478</v>
      </c>
      <c r="BN53" s="1"/>
      <c r="BO53" s="1"/>
    </row>
    <row r="54" spans="1:67" x14ac:dyDescent="0.15">
      <c r="A54" s="4">
        <v>228280</v>
      </c>
      <c r="B54" s="1" t="s">
        <v>440</v>
      </c>
      <c r="C54" s="4" t="s">
        <v>450</v>
      </c>
      <c r="D54" s="1" t="s">
        <v>471</v>
      </c>
      <c r="E54" s="1" t="s">
        <v>472</v>
      </c>
      <c r="F54" s="1" t="s">
        <v>473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">
        <v>99761114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4">
        <v>32.89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 t="s">
        <v>478</v>
      </c>
      <c r="BN54" s="1"/>
      <c r="BO54" s="1"/>
    </row>
    <row r="55" spans="1:67" x14ac:dyDescent="0.15">
      <c r="A55" s="4">
        <v>228290</v>
      </c>
      <c r="B55" s="1" t="s">
        <v>440</v>
      </c>
      <c r="C55" s="4" t="s">
        <v>451</v>
      </c>
      <c r="D55" s="1" t="s">
        <v>471</v>
      </c>
      <c r="E55" s="1" t="s">
        <v>472</v>
      </c>
      <c r="F55" s="1" t="s">
        <v>473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4">
        <v>99761424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4">
        <v>107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 t="s">
        <v>478</v>
      </c>
      <c r="BN55" s="1"/>
      <c r="BO55" s="1"/>
    </row>
    <row r="56" spans="1:67" x14ac:dyDescent="0.15">
      <c r="A56" s="4">
        <v>228300</v>
      </c>
      <c r="B56" s="1" t="s">
        <v>440</v>
      </c>
      <c r="C56" s="4" t="s">
        <v>452</v>
      </c>
      <c r="D56" s="1" t="s">
        <v>471</v>
      </c>
      <c r="E56" s="1" t="s">
        <v>472</v>
      </c>
      <c r="F56" s="1" t="s">
        <v>473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">
        <v>695642001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4">
        <v>56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 t="s">
        <v>478</v>
      </c>
      <c r="BN56" s="1"/>
      <c r="BO56" s="1"/>
    </row>
    <row r="57" spans="1:67" x14ac:dyDescent="0.15">
      <c r="A57" s="4">
        <v>228310</v>
      </c>
      <c r="B57" s="1" t="s">
        <v>440</v>
      </c>
      <c r="C57" s="4" t="s">
        <v>453</v>
      </c>
      <c r="D57" s="1" t="s">
        <v>471</v>
      </c>
      <c r="E57" s="1" t="s">
        <v>472</v>
      </c>
      <c r="F57" s="1" t="s">
        <v>473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4">
        <v>695642086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4">
        <v>108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 t="s">
        <v>478</v>
      </c>
      <c r="BN57" s="1"/>
      <c r="BO57" s="1"/>
    </row>
    <row r="58" spans="1:67" x14ac:dyDescent="0.15">
      <c r="A58" s="4">
        <v>228320</v>
      </c>
      <c r="B58" s="1" t="s">
        <v>440</v>
      </c>
      <c r="C58" s="4" t="s">
        <v>454</v>
      </c>
      <c r="D58" s="1" t="s">
        <v>471</v>
      </c>
      <c r="E58" s="1" t="s">
        <v>472</v>
      </c>
      <c r="F58" s="1" t="s">
        <v>473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4">
        <v>695642804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4">
        <v>119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 t="s">
        <v>478</v>
      </c>
      <c r="BN58" s="1"/>
      <c r="BO58" s="1"/>
    </row>
    <row r="59" spans="1:67" x14ac:dyDescent="0.15">
      <c r="A59" s="4">
        <v>228330</v>
      </c>
      <c r="B59" s="1" t="s">
        <v>440</v>
      </c>
      <c r="C59" s="4" t="s">
        <v>455</v>
      </c>
      <c r="D59" s="1" t="s">
        <v>471</v>
      </c>
      <c r="E59" s="1" t="s">
        <v>472</v>
      </c>
      <c r="F59" s="1" t="s">
        <v>473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4">
        <v>695642831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4">
        <v>75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 t="s">
        <v>478</v>
      </c>
      <c r="BN59" s="1"/>
      <c r="BO59" s="1"/>
    </row>
    <row r="60" spans="1:67" x14ac:dyDescent="0.15">
      <c r="A60" s="4">
        <v>228340</v>
      </c>
      <c r="B60" s="1" t="s">
        <v>440</v>
      </c>
      <c r="C60" s="4" t="s">
        <v>456</v>
      </c>
      <c r="D60" s="1" t="s">
        <v>471</v>
      </c>
      <c r="E60" s="1" t="s">
        <v>472</v>
      </c>
      <c r="F60" s="1" t="s">
        <v>473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4">
        <v>695642833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4">
        <v>120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 t="s">
        <v>478</v>
      </c>
      <c r="BN60" s="1"/>
      <c r="BO60" s="1"/>
    </row>
    <row r="61" spans="1:67" x14ac:dyDescent="0.15">
      <c r="A61" s="4">
        <v>228350</v>
      </c>
      <c r="B61" s="1" t="s">
        <v>440</v>
      </c>
      <c r="C61" s="3" t="s">
        <v>110</v>
      </c>
      <c r="D61" s="1" t="s">
        <v>471</v>
      </c>
      <c r="E61" s="1" t="s">
        <v>472</v>
      </c>
      <c r="F61" s="1" t="s">
        <v>473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>
        <v>840001800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3">
        <v>3.23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 t="s">
        <v>478</v>
      </c>
      <c r="BN61" s="1"/>
      <c r="BO61" s="1"/>
    </row>
    <row r="62" spans="1:67" x14ac:dyDescent="0.15">
      <c r="A62" s="4">
        <v>228360</v>
      </c>
      <c r="B62" s="1" t="s">
        <v>440</v>
      </c>
      <c r="C62" s="4" t="s">
        <v>457</v>
      </c>
      <c r="D62" s="1" t="s">
        <v>471</v>
      </c>
      <c r="E62" s="1" t="s">
        <v>472</v>
      </c>
      <c r="F62" s="1" t="s">
        <v>473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4">
        <v>840001801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4">
        <v>9.89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 t="s">
        <v>478</v>
      </c>
      <c r="BN62" s="1"/>
      <c r="BO62" s="1"/>
    </row>
    <row r="63" spans="1:67" x14ac:dyDescent="0.15">
      <c r="A63" s="4">
        <v>228370</v>
      </c>
      <c r="B63" s="1" t="s">
        <v>440</v>
      </c>
      <c r="C63" s="3" t="s">
        <v>111</v>
      </c>
      <c r="D63" s="1" t="s">
        <v>471</v>
      </c>
      <c r="E63" s="1" t="s">
        <v>472</v>
      </c>
      <c r="F63" s="1" t="s">
        <v>473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>
        <v>840001810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3">
        <v>6.23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 t="s">
        <v>478</v>
      </c>
      <c r="BN63" s="1"/>
      <c r="BO63" s="1"/>
    </row>
    <row r="64" spans="1:67" x14ac:dyDescent="0.15">
      <c r="A64" s="4">
        <v>228380</v>
      </c>
      <c r="B64" s="1" t="s">
        <v>440</v>
      </c>
      <c r="C64" s="4" t="s">
        <v>458</v>
      </c>
      <c r="D64" s="1" t="s">
        <v>471</v>
      </c>
      <c r="E64" s="1" t="s">
        <v>472</v>
      </c>
      <c r="F64" s="1" t="s">
        <v>473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4">
        <v>840001812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4">
        <v>23.67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 t="s">
        <v>478</v>
      </c>
      <c r="BN64" s="1"/>
      <c r="BO64" s="1"/>
    </row>
    <row r="65" spans="1:67" x14ac:dyDescent="0.15">
      <c r="A65" s="4">
        <v>228390</v>
      </c>
      <c r="B65" s="1" t="s">
        <v>440</v>
      </c>
      <c r="C65" s="3" t="s">
        <v>459</v>
      </c>
      <c r="D65" s="1" t="s">
        <v>471</v>
      </c>
      <c r="E65" s="1" t="s">
        <v>472</v>
      </c>
      <c r="F65" s="1" t="s">
        <v>473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>
        <v>840001813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3">
        <v>10.54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 t="s">
        <v>478</v>
      </c>
      <c r="BN65" s="1"/>
      <c r="BO65" s="1"/>
    </row>
    <row r="66" spans="1:67" x14ac:dyDescent="0.15">
      <c r="A66" s="4">
        <v>228400</v>
      </c>
      <c r="B66" s="1" t="s">
        <v>440</v>
      </c>
      <c r="C66" s="4" t="s">
        <v>460</v>
      </c>
      <c r="D66" s="1" t="s">
        <v>471</v>
      </c>
      <c r="E66" s="1" t="s">
        <v>472</v>
      </c>
      <c r="F66" s="1" t="s">
        <v>473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4">
        <v>840001831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4">
        <v>12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 t="s">
        <v>478</v>
      </c>
      <c r="BN66" s="1"/>
      <c r="BO66" s="1"/>
    </row>
    <row r="67" spans="1:67" x14ac:dyDescent="0.15">
      <c r="A67" s="4">
        <v>228410</v>
      </c>
      <c r="B67" s="1" t="s">
        <v>440</v>
      </c>
      <c r="C67" s="4" t="s">
        <v>461</v>
      </c>
      <c r="D67" s="1" t="s">
        <v>471</v>
      </c>
      <c r="E67" s="1" t="s">
        <v>472</v>
      </c>
      <c r="F67" s="1" t="s">
        <v>473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4">
        <v>840001841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4">
        <v>5.8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 t="s">
        <v>478</v>
      </c>
      <c r="BN67" s="1"/>
      <c r="BO67" s="1"/>
    </row>
    <row r="68" spans="1:67" x14ac:dyDescent="0.15">
      <c r="A68" s="4">
        <v>228420</v>
      </c>
      <c r="B68" s="1" t="s">
        <v>440</v>
      </c>
      <c r="C68" s="4" t="s">
        <v>462</v>
      </c>
      <c r="D68" s="1" t="s">
        <v>471</v>
      </c>
      <c r="E68" s="1" t="s">
        <v>472</v>
      </c>
      <c r="F68" s="1" t="s">
        <v>473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4">
        <v>840005211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4">
        <v>53.33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 t="s">
        <v>478</v>
      </c>
      <c r="BN68" s="1"/>
      <c r="BO68" s="1"/>
    </row>
    <row r="69" spans="1:67" x14ac:dyDescent="0.15">
      <c r="A69" s="4">
        <v>228430</v>
      </c>
      <c r="B69" s="1" t="s">
        <v>440</v>
      </c>
      <c r="C69" s="4" t="s">
        <v>463</v>
      </c>
      <c r="D69" s="1" t="s">
        <v>471</v>
      </c>
      <c r="E69" s="1" t="s">
        <v>472</v>
      </c>
      <c r="F69" s="1" t="s">
        <v>473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4">
        <v>997600221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4">
        <v>110.53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 t="s">
        <v>478</v>
      </c>
      <c r="BN69" s="1"/>
      <c r="BO69" s="1"/>
    </row>
    <row r="70" spans="1:67" x14ac:dyDescent="0.15">
      <c r="A70" s="4">
        <v>228440</v>
      </c>
      <c r="B70" s="1" t="s">
        <v>440</v>
      </c>
      <c r="C70" s="4" t="s">
        <v>464</v>
      </c>
      <c r="D70" s="1" t="s">
        <v>471</v>
      </c>
      <c r="E70" s="1" t="s">
        <v>472</v>
      </c>
      <c r="F70" s="1" t="s">
        <v>473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4">
        <v>997611140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4">
        <v>60.53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 t="s">
        <v>478</v>
      </c>
      <c r="BN70" s="1"/>
      <c r="BO70" s="1"/>
    </row>
    <row r="71" spans="1:67" x14ac:dyDescent="0.15">
      <c r="A71" s="4">
        <v>238110</v>
      </c>
      <c r="B71" s="1" t="s">
        <v>439</v>
      </c>
      <c r="C71" s="4" t="s">
        <v>112</v>
      </c>
      <c r="D71" s="1" t="s">
        <v>471</v>
      </c>
      <c r="E71" s="1" t="s">
        <v>472</v>
      </c>
      <c r="F71" s="1" t="s">
        <v>473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4">
        <v>4932721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4">
        <v>6.9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 t="s">
        <v>479</v>
      </c>
      <c r="BN71" s="1"/>
      <c r="BO71" s="1"/>
    </row>
    <row r="72" spans="1:67" x14ac:dyDescent="0.15">
      <c r="A72" s="4">
        <v>238120</v>
      </c>
      <c r="B72" s="1" t="s">
        <v>439</v>
      </c>
      <c r="C72" s="3" t="s">
        <v>113</v>
      </c>
      <c r="D72" s="1" t="s">
        <v>471</v>
      </c>
      <c r="E72" s="1" t="s">
        <v>472</v>
      </c>
      <c r="F72" s="1" t="s">
        <v>473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>
        <v>4932729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3">
        <v>17.5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 t="s">
        <v>479</v>
      </c>
      <c r="BN72" s="1"/>
      <c r="BO72" s="1"/>
    </row>
    <row r="73" spans="1:67" x14ac:dyDescent="0.15">
      <c r="A73" s="4">
        <v>238130</v>
      </c>
      <c r="B73" s="1" t="s">
        <v>439</v>
      </c>
      <c r="C73" s="4" t="s">
        <v>114</v>
      </c>
      <c r="D73" s="1" t="s">
        <v>471</v>
      </c>
      <c r="E73" s="1" t="s">
        <v>472</v>
      </c>
      <c r="F73" s="1" t="s">
        <v>473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">
        <v>4932731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4">
        <v>9.5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 t="s">
        <v>479</v>
      </c>
      <c r="BN73" s="1"/>
      <c r="BO73" s="1"/>
    </row>
    <row r="74" spans="1:67" x14ac:dyDescent="0.15">
      <c r="A74" s="4">
        <v>238140</v>
      </c>
      <c r="B74" s="1" t="s">
        <v>439</v>
      </c>
      <c r="C74" s="4" t="s">
        <v>115</v>
      </c>
      <c r="D74" s="1" t="s">
        <v>471</v>
      </c>
      <c r="E74" s="1" t="s">
        <v>472</v>
      </c>
      <c r="F74" s="1" t="s">
        <v>473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">
        <v>4932743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4">
        <v>0.42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 t="s">
        <v>479</v>
      </c>
      <c r="BN74" s="1"/>
      <c r="BO74" s="1"/>
    </row>
    <row r="75" spans="1:67" x14ac:dyDescent="0.15">
      <c r="A75" s="4">
        <v>238150</v>
      </c>
      <c r="B75" s="1" t="s">
        <v>440</v>
      </c>
      <c r="C75" s="4" t="s">
        <v>116</v>
      </c>
      <c r="D75" s="1" t="s">
        <v>471</v>
      </c>
      <c r="E75" s="1" t="s">
        <v>472</v>
      </c>
      <c r="F75" s="1" t="s">
        <v>473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">
        <v>6801007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4">
        <v>37.14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 t="s">
        <v>479</v>
      </c>
      <c r="BN75" s="1"/>
      <c r="BO75" s="1"/>
    </row>
    <row r="76" spans="1:67" x14ac:dyDescent="0.15">
      <c r="A76" s="4">
        <v>238160</v>
      </c>
      <c r="B76" s="1" t="s">
        <v>439</v>
      </c>
      <c r="C76" s="4" t="s">
        <v>117</v>
      </c>
      <c r="D76" s="1" t="s">
        <v>471</v>
      </c>
      <c r="E76" s="1" t="s">
        <v>472</v>
      </c>
      <c r="F76" s="1" t="s">
        <v>473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4">
        <v>6801008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4">
        <v>18.5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 t="s">
        <v>479</v>
      </c>
      <c r="BN76" s="1"/>
      <c r="BO76" s="1"/>
    </row>
    <row r="77" spans="1:67" x14ac:dyDescent="0.15">
      <c r="A77" s="4">
        <v>238170</v>
      </c>
      <c r="B77" s="1" t="s">
        <v>439</v>
      </c>
      <c r="C77" s="4" t="s">
        <v>118</v>
      </c>
      <c r="D77" s="1" t="s">
        <v>471</v>
      </c>
      <c r="E77" s="1" t="s">
        <v>472</v>
      </c>
      <c r="F77" s="1" t="s">
        <v>473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4">
        <v>6802003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4">
        <v>14.29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 t="s">
        <v>479</v>
      </c>
      <c r="BN77" s="1"/>
      <c r="BO77" s="1"/>
    </row>
    <row r="78" spans="1:67" x14ac:dyDescent="0.15">
      <c r="A78" s="4">
        <v>238180</v>
      </c>
      <c r="B78" s="1" t="s">
        <v>439</v>
      </c>
      <c r="C78" s="4" t="s">
        <v>119</v>
      </c>
      <c r="D78" s="1" t="s">
        <v>471</v>
      </c>
      <c r="E78" s="1" t="s">
        <v>472</v>
      </c>
      <c r="F78" s="1" t="s">
        <v>473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4">
        <v>6802006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4">
        <v>10.199999999999999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 t="s">
        <v>479</v>
      </c>
      <c r="BN78" s="1"/>
      <c r="BO78" s="1"/>
    </row>
    <row r="79" spans="1:67" x14ac:dyDescent="0.15">
      <c r="A79" s="4">
        <v>238190</v>
      </c>
      <c r="B79" s="1" t="s">
        <v>440</v>
      </c>
      <c r="C79" s="4" t="s">
        <v>465</v>
      </c>
      <c r="D79" s="1" t="s">
        <v>471</v>
      </c>
      <c r="E79" s="1" t="s">
        <v>472</v>
      </c>
      <c r="F79" s="1" t="s">
        <v>473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">
        <v>6814220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4">
        <v>11.5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 t="s">
        <v>479</v>
      </c>
      <c r="BN79" s="1"/>
      <c r="BO79" s="1"/>
    </row>
    <row r="80" spans="1:67" x14ac:dyDescent="0.15">
      <c r="A80" s="4">
        <v>238200</v>
      </c>
      <c r="B80" s="1" t="s">
        <v>440</v>
      </c>
      <c r="C80" s="4" t="s">
        <v>120</v>
      </c>
      <c r="D80" s="1" t="s">
        <v>471</v>
      </c>
      <c r="E80" s="1" t="s">
        <v>472</v>
      </c>
      <c r="F80" s="1" t="s">
        <v>473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">
        <v>6814310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4">
        <v>16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 t="s">
        <v>479</v>
      </c>
      <c r="BN80" s="1"/>
      <c r="BO80" s="1"/>
    </row>
    <row r="81" spans="1:67" x14ac:dyDescent="0.15">
      <c r="A81" s="4">
        <v>238210</v>
      </c>
      <c r="B81" s="1" t="s">
        <v>439</v>
      </c>
      <c r="C81" s="3" t="s">
        <v>121</v>
      </c>
      <c r="D81" s="1" t="s">
        <v>471</v>
      </c>
      <c r="E81" s="1" t="s">
        <v>472</v>
      </c>
      <c r="F81" s="1" t="s">
        <v>473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>
        <v>7000001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3">
        <v>6.9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 t="s">
        <v>479</v>
      </c>
      <c r="BN81" s="1"/>
      <c r="BO81" s="1"/>
    </row>
    <row r="82" spans="1:67" x14ac:dyDescent="0.15">
      <c r="A82" s="4">
        <v>238220</v>
      </c>
      <c r="B82" s="1" t="s">
        <v>439</v>
      </c>
      <c r="C82" s="3" t="s">
        <v>122</v>
      </c>
      <c r="D82" s="1" t="s">
        <v>471</v>
      </c>
      <c r="E82" s="1" t="s">
        <v>472</v>
      </c>
      <c r="F82" s="1" t="s">
        <v>473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>
        <v>7000002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3">
        <v>8.6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 t="s">
        <v>479</v>
      </c>
      <c r="BN82" s="1"/>
      <c r="BO82" s="1"/>
    </row>
    <row r="83" spans="1:67" x14ac:dyDescent="0.15">
      <c r="A83" s="4">
        <v>238230</v>
      </c>
      <c r="B83" s="1" t="s">
        <v>439</v>
      </c>
      <c r="C83" s="4" t="s">
        <v>123</v>
      </c>
      <c r="D83" s="1" t="s">
        <v>471</v>
      </c>
      <c r="E83" s="1" t="s">
        <v>472</v>
      </c>
      <c r="F83" s="1" t="s">
        <v>473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">
        <v>7000003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4">
        <v>11.4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 t="s">
        <v>479</v>
      </c>
      <c r="BN83" s="1"/>
      <c r="BO83" s="1"/>
    </row>
    <row r="84" spans="1:67" x14ac:dyDescent="0.15">
      <c r="A84" s="4">
        <v>238240</v>
      </c>
      <c r="B84" s="1" t="s">
        <v>439</v>
      </c>
      <c r="C84" s="4" t="s">
        <v>124</v>
      </c>
      <c r="D84" s="1" t="s">
        <v>471</v>
      </c>
      <c r="E84" s="1" t="s">
        <v>472</v>
      </c>
      <c r="F84" s="1" t="s">
        <v>473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">
        <v>7000005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4">
        <v>16.100000000000001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 t="s">
        <v>479</v>
      </c>
      <c r="BN84" s="1"/>
      <c r="BO84" s="1"/>
    </row>
    <row r="85" spans="1:67" x14ac:dyDescent="0.15">
      <c r="A85" s="4">
        <v>238250</v>
      </c>
      <c r="B85" s="1" t="s">
        <v>439</v>
      </c>
      <c r="C85" s="4" t="s">
        <v>125</v>
      </c>
      <c r="D85" s="1" t="s">
        <v>471</v>
      </c>
      <c r="E85" s="1" t="s">
        <v>472</v>
      </c>
      <c r="F85" s="1" t="s">
        <v>473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">
        <v>8910026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4">
        <v>14.2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 t="s">
        <v>479</v>
      </c>
      <c r="BN85" s="1"/>
      <c r="BO85" s="1"/>
    </row>
    <row r="86" spans="1:67" x14ac:dyDescent="0.15">
      <c r="A86" s="4">
        <v>238260</v>
      </c>
      <c r="B86" s="1" t="s">
        <v>439</v>
      </c>
      <c r="C86" s="4" t="s">
        <v>126</v>
      </c>
      <c r="D86" s="1" t="s">
        <v>471</v>
      </c>
      <c r="E86" s="1" t="s">
        <v>472</v>
      </c>
      <c r="F86" s="1" t="s">
        <v>473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">
        <v>8910031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4">
        <v>18.5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 t="s">
        <v>479</v>
      </c>
      <c r="BN86" s="1"/>
      <c r="BO86" s="1"/>
    </row>
    <row r="87" spans="1:67" x14ac:dyDescent="0.15">
      <c r="A87" s="4">
        <v>238270</v>
      </c>
      <c r="B87" s="1" t="s">
        <v>439</v>
      </c>
      <c r="C87" s="4" t="s">
        <v>127</v>
      </c>
      <c r="D87" s="1" t="s">
        <v>471</v>
      </c>
      <c r="E87" s="1" t="s">
        <v>472</v>
      </c>
      <c r="F87" s="1" t="s">
        <v>473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4">
        <v>8910036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4">
        <v>23.2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 t="s">
        <v>479</v>
      </c>
      <c r="BN87" s="1"/>
      <c r="BO87" s="1"/>
    </row>
    <row r="88" spans="1:67" x14ac:dyDescent="0.15">
      <c r="A88" s="4">
        <v>238280</v>
      </c>
      <c r="B88" s="1" t="s">
        <v>440</v>
      </c>
      <c r="C88" s="4" t="s">
        <v>128</v>
      </c>
      <c r="D88" s="1" t="s">
        <v>471</v>
      </c>
      <c r="E88" s="1" t="s">
        <v>472</v>
      </c>
      <c r="F88" s="1" t="s">
        <v>473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">
        <v>8910251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4">
        <v>3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 t="s">
        <v>479</v>
      </c>
      <c r="BN88" s="1"/>
      <c r="BO88" s="1"/>
    </row>
    <row r="89" spans="1:67" x14ac:dyDescent="0.15">
      <c r="A89" s="4">
        <v>238290</v>
      </c>
      <c r="B89" s="1" t="s">
        <v>439</v>
      </c>
      <c r="C89" s="4" t="s">
        <v>129</v>
      </c>
      <c r="D89" s="1" t="s">
        <v>471</v>
      </c>
      <c r="E89" s="1" t="s">
        <v>472</v>
      </c>
      <c r="F89" s="1" t="s">
        <v>473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">
        <v>8910736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4">
        <v>30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 t="s">
        <v>479</v>
      </c>
      <c r="BN89" s="1"/>
      <c r="BO89" s="1"/>
    </row>
    <row r="90" spans="1:67" x14ac:dyDescent="0.15">
      <c r="A90" s="4">
        <v>238300</v>
      </c>
      <c r="B90" s="1" t="s">
        <v>440</v>
      </c>
      <c r="C90" s="4" t="s">
        <v>130</v>
      </c>
      <c r="D90" s="1" t="s">
        <v>471</v>
      </c>
      <c r="E90" s="1" t="s">
        <v>472</v>
      </c>
      <c r="F90" s="1" t="s">
        <v>473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">
        <v>8911011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4">
        <v>13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 t="s">
        <v>479</v>
      </c>
      <c r="BN90" s="1"/>
      <c r="BO90" s="1"/>
    </row>
    <row r="91" spans="1:67" x14ac:dyDescent="0.15">
      <c r="A91" s="4">
        <v>238310</v>
      </c>
      <c r="B91" s="1" t="s">
        <v>440</v>
      </c>
      <c r="C91" s="4" t="s">
        <v>131</v>
      </c>
      <c r="D91" s="1" t="s">
        <v>471</v>
      </c>
      <c r="E91" s="1" t="s">
        <v>472</v>
      </c>
      <c r="F91" s="1" t="s">
        <v>473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4">
        <v>8911021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4">
        <v>9.1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 t="s">
        <v>479</v>
      </c>
      <c r="BN91" s="1"/>
      <c r="BO91" s="1"/>
    </row>
    <row r="92" spans="1:67" x14ac:dyDescent="0.15">
      <c r="A92" s="4">
        <v>238320</v>
      </c>
      <c r="B92" s="1" t="s">
        <v>440</v>
      </c>
      <c r="C92" s="4" t="s">
        <v>132</v>
      </c>
      <c r="D92" s="1" t="s">
        <v>471</v>
      </c>
      <c r="E92" s="1" t="s">
        <v>472</v>
      </c>
      <c r="F92" s="1" t="s">
        <v>473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">
        <v>8911026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4">
        <v>51.4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 t="s">
        <v>479</v>
      </c>
      <c r="BN92" s="1"/>
      <c r="BO92" s="1"/>
    </row>
    <row r="93" spans="1:67" x14ac:dyDescent="0.15">
      <c r="A93" s="4">
        <v>238330</v>
      </c>
      <c r="B93" s="1" t="s">
        <v>440</v>
      </c>
      <c r="C93" s="4" t="s">
        <v>133</v>
      </c>
      <c r="D93" s="1" t="s">
        <v>471</v>
      </c>
      <c r="E93" s="1" t="s">
        <v>472</v>
      </c>
      <c r="F93" s="1" t="s">
        <v>473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">
        <v>8911036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4">
        <v>6.8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 t="s">
        <v>479</v>
      </c>
      <c r="BN93" s="1"/>
      <c r="BO93" s="1"/>
    </row>
    <row r="94" spans="1:67" x14ac:dyDescent="0.15">
      <c r="A94" s="4">
        <v>238340</v>
      </c>
      <c r="B94" s="1" t="s">
        <v>440</v>
      </c>
      <c r="C94" s="4" t="s">
        <v>134</v>
      </c>
      <c r="D94" s="1" t="s">
        <v>471</v>
      </c>
      <c r="E94" s="1" t="s">
        <v>472</v>
      </c>
      <c r="F94" s="1" t="s">
        <v>473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">
        <v>8911041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4">
        <v>8.3000000000000007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 t="s">
        <v>479</v>
      </c>
      <c r="BN94" s="1"/>
      <c r="BO94" s="1"/>
    </row>
    <row r="95" spans="1:67" x14ac:dyDescent="0.15">
      <c r="A95" s="4">
        <v>238350</v>
      </c>
      <c r="B95" s="1" t="s">
        <v>440</v>
      </c>
      <c r="C95" s="4" t="s">
        <v>135</v>
      </c>
      <c r="D95" s="1" t="s">
        <v>471</v>
      </c>
      <c r="E95" s="1" t="s">
        <v>472</v>
      </c>
      <c r="F95" s="1" t="s">
        <v>473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">
        <v>8911046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4">
        <v>12.5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 t="s">
        <v>479</v>
      </c>
      <c r="BN95" s="1"/>
      <c r="BO95" s="1"/>
    </row>
    <row r="96" spans="1:67" x14ac:dyDescent="0.15">
      <c r="A96" s="4">
        <v>238360</v>
      </c>
      <c r="B96" s="1" t="s">
        <v>440</v>
      </c>
      <c r="C96" s="4" t="s">
        <v>136</v>
      </c>
      <c r="D96" s="1" t="s">
        <v>471</v>
      </c>
      <c r="E96" s="1" t="s">
        <v>472</v>
      </c>
      <c r="F96" s="1" t="s">
        <v>473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">
        <v>8911111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4">
        <v>12.5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 t="s">
        <v>479</v>
      </c>
      <c r="BN96" s="1"/>
      <c r="BO96" s="1"/>
    </row>
    <row r="97" spans="1:67" x14ac:dyDescent="0.15">
      <c r="A97" s="4">
        <v>238370</v>
      </c>
      <c r="B97" s="1" t="s">
        <v>439</v>
      </c>
      <c r="C97" s="4" t="s">
        <v>137</v>
      </c>
      <c r="D97" s="1" t="s">
        <v>471</v>
      </c>
      <c r="E97" s="1" t="s">
        <v>472</v>
      </c>
      <c r="F97" s="1" t="s">
        <v>473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">
        <v>8911121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4">
        <v>18.5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 t="s">
        <v>479</v>
      </c>
      <c r="BN97" s="1"/>
      <c r="BO97" s="1"/>
    </row>
    <row r="98" spans="1:67" x14ac:dyDescent="0.15">
      <c r="A98" s="4">
        <v>238380</v>
      </c>
      <c r="B98" s="1" t="s">
        <v>440</v>
      </c>
      <c r="C98" s="4" t="s">
        <v>138</v>
      </c>
      <c r="D98" s="1" t="s">
        <v>471</v>
      </c>
      <c r="E98" s="1" t="s">
        <v>472</v>
      </c>
      <c r="F98" s="1" t="s">
        <v>473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">
        <v>8911141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4">
        <v>5.3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 t="s">
        <v>479</v>
      </c>
      <c r="BN98" s="1"/>
      <c r="BO98" s="1"/>
    </row>
    <row r="99" spans="1:67" x14ac:dyDescent="0.15">
      <c r="A99" s="4">
        <v>238390</v>
      </c>
      <c r="B99" s="1" t="s">
        <v>440</v>
      </c>
      <c r="C99" s="4" t="s">
        <v>139</v>
      </c>
      <c r="D99" s="1" t="s">
        <v>471</v>
      </c>
      <c r="E99" s="1" t="s">
        <v>472</v>
      </c>
      <c r="F99" s="1" t="s">
        <v>473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">
        <v>8911186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4">
        <v>19.899999999999999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 t="s">
        <v>479</v>
      </c>
      <c r="BN99" s="1"/>
      <c r="BO99" s="1"/>
    </row>
    <row r="100" spans="1:67" x14ac:dyDescent="0.15">
      <c r="A100" s="4">
        <v>238400</v>
      </c>
      <c r="B100" s="1" t="s">
        <v>439</v>
      </c>
      <c r="C100" s="4" t="s">
        <v>140</v>
      </c>
      <c r="D100" s="1" t="s">
        <v>471</v>
      </c>
      <c r="E100" s="1" t="s">
        <v>472</v>
      </c>
      <c r="F100" s="1" t="s">
        <v>473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>
        <v>8911191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4">
        <v>29.9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 t="s">
        <v>479</v>
      </c>
      <c r="BN100" s="1"/>
      <c r="BO100" s="1"/>
    </row>
    <row r="101" spans="1:67" x14ac:dyDescent="0.15">
      <c r="A101" s="4">
        <v>238410</v>
      </c>
      <c r="B101" s="1" t="s">
        <v>440</v>
      </c>
      <c r="C101" s="4" t="s">
        <v>141</v>
      </c>
      <c r="D101" s="1" t="s">
        <v>471</v>
      </c>
      <c r="E101" s="1" t="s">
        <v>472</v>
      </c>
      <c r="F101" s="1" t="s">
        <v>473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>
        <v>8911196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4">
        <v>8.57</v>
      </c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 t="s">
        <v>479</v>
      </c>
      <c r="BN101" s="1"/>
      <c r="BO101" s="1"/>
    </row>
    <row r="102" spans="1:67" x14ac:dyDescent="0.15">
      <c r="A102" s="4">
        <v>238420</v>
      </c>
      <c r="B102" s="1" t="s">
        <v>440</v>
      </c>
      <c r="C102" s="4" t="s">
        <v>142</v>
      </c>
      <c r="D102" s="1" t="s">
        <v>471</v>
      </c>
      <c r="E102" s="1" t="s">
        <v>472</v>
      </c>
      <c r="F102" s="1" t="s">
        <v>473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>
        <v>8911251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4">
        <v>4.0999999999999996</v>
      </c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 t="s">
        <v>479</v>
      </c>
      <c r="BN102" s="1"/>
      <c r="BO102" s="1"/>
    </row>
    <row r="103" spans="1:67" x14ac:dyDescent="0.15">
      <c r="A103" s="4">
        <v>238430</v>
      </c>
      <c r="B103" s="1" t="s">
        <v>440</v>
      </c>
      <c r="C103" s="4" t="s">
        <v>143</v>
      </c>
      <c r="D103" s="1" t="s">
        <v>471</v>
      </c>
      <c r="E103" s="1" t="s">
        <v>472</v>
      </c>
      <c r="F103" s="1" t="s">
        <v>473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>
        <v>8991234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4">
        <v>7.9</v>
      </c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 t="s">
        <v>479</v>
      </c>
      <c r="BN103" s="1"/>
      <c r="BO103" s="1"/>
    </row>
    <row r="104" spans="1:67" x14ac:dyDescent="0.15">
      <c r="A104" s="4">
        <v>238440</v>
      </c>
      <c r="B104" s="1" t="s">
        <v>440</v>
      </c>
      <c r="C104" s="4" t="s">
        <v>144</v>
      </c>
      <c r="D104" s="1" t="s">
        <v>471</v>
      </c>
      <c r="E104" s="1" t="s">
        <v>472</v>
      </c>
      <c r="F104" s="1" t="s">
        <v>473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>
        <v>8991235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4">
        <v>4</v>
      </c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 t="s">
        <v>479</v>
      </c>
      <c r="BN104" s="1"/>
      <c r="BO104" s="1"/>
    </row>
    <row r="105" spans="1:67" x14ac:dyDescent="0.15">
      <c r="A105" s="4">
        <v>318110</v>
      </c>
      <c r="B105" s="1" t="s">
        <v>439</v>
      </c>
      <c r="C105" s="4" t="s">
        <v>145</v>
      </c>
      <c r="D105" s="1" t="s">
        <v>471</v>
      </c>
      <c r="E105" s="1" t="s">
        <v>472</v>
      </c>
      <c r="F105" s="1" t="s">
        <v>473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>
        <v>5951020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4">
        <v>6.06</v>
      </c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 t="s">
        <v>480</v>
      </c>
      <c r="BN105" s="1"/>
      <c r="BO105" s="1"/>
    </row>
    <row r="106" spans="1:67" x14ac:dyDescent="0.15">
      <c r="A106" s="4">
        <v>318120</v>
      </c>
      <c r="B106" s="1" t="s">
        <v>439</v>
      </c>
      <c r="C106" s="3" t="s">
        <v>146</v>
      </c>
      <c r="D106" s="1" t="s">
        <v>471</v>
      </c>
      <c r="E106" s="1" t="s">
        <v>472</v>
      </c>
      <c r="F106" s="1" t="s">
        <v>473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>
        <v>5951021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3">
        <v>1.48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 t="s">
        <v>480</v>
      </c>
      <c r="BN106" s="1"/>
      <c r="BO106" s="1"/>
    </row>
    <row r="107" spans="1:67" x14ac:dyDescent="0.15">
      <c r="A107" s="4">
        <v>318130</v>
      </c>
      <c r="B107" s="1" t="s">
        <v>439</v>
      </c>
      <c r="C107" s="4" t="s">
        <v>147</v>
      </c>
      <c r="D107" s="1" t="s">
        <v>471</v>
      </c>
      <c r="E107" s="1" t="s">
        <v>472</v>
      </c>
      <c r="F107" s="1" t="s">
        <v>473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>
        <v>5951030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4">
        <v>7.77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 t="s">
        <v>480</v>
      </c>
      <c r="BN107" s="1"/>
      <c r="BO107" s="1"/>
    </row>
    <row r="108" spans="1:67" x14ac:dyDescent="0.15">
      <c r="A108" s="4">
        <v>318140</v>
      </c>
      <c r="B108" s="1" t="s">
        <v>439</v>
      </c>
      <c r="C108" s="4" t="s">
        <v>148</v>
      </c>
      <c r="D108" s="1" t="s">
        <v>471</v>
      </c>
      <c r="E108" s="1" t="s">
        <v>472</v>
      </c>
      <c r="F108" s="1" t="s">
        <v>473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>
        <v>5951031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4">
        <v>7.7</v>
      </c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 t="s">
        <v>480</v>
      </c>
      <c r="BN108" s="1"/>
      <c r="BO108" s="1"/>
    </row>
    <row r="109" spans="1:67" x14ac:dyDescent="0.15">
      <c r="A109" s="4">
        <v>318150</v>
      </c>
      <c r="B109" s="1" t="s">
        <v>439</v>
      </c>
      <c r="C109" s="4" t="s">
        <v>149</v>
      </c>
      <c r="D109" s="1" t="s">
        <v>471</v>
      </c>
      <c r="E109" s="1" t="s">
        <v>472</v>
      </c>
      <c r="F109" s="1" t="s">
        <v>473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>
        <v>5951033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4">
        <v>8.32</v>
      </c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 t="s">
        <v>480</v>
      </c>
      <c r="BN109" s="1"/>
      <c r="BO109" s="1"/>
    </row>
    <row r="110" spans="1:67" x14ac:dyDescent="0.15">
      <c r="A110" s="4">
        <v>318160</v>
      </c>
      <c r="B110" s="1" t="s">
        <v>439</v>
      </c>
      <c r="C110" s="4" t="s">
        <v>150</v>
      </c>
      <c r="D110" s="1" t="s">
        <v>471</v>
      </c>
      <c r="E110" s="1" t="s">
        <v>472</v>
      </c>
      <c r="F110" s="1" t="s">
        <v>473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>
        <v>5951040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4">
        <v>9.3800000000000008</v>
      </c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 t="s">
        <v>480</v>
      </c>
      <c r="BN110" s="1"/>
      <c r="BO110" s="1"/>
    </row>
    <row r="111" spans="1:67" x14ac:dyDescent="0.15">
      <c r="A111" s="4">
        <v>318170</v>
      </c>
      <c r="B111" s="1" t="s">
        <v>439</v>
      </c>
      <c r="C111" s="4" t="s">
        <v>151</v>
      </c>
      <c r="D111" s="1" t="s">
        <v>471</v>
      </c>
      <c r="E111" s="1" t="s">
        <v>472</v>
      </c>
      <c r="F111" s="1" t="s">
        <v>473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>
        <v>5951041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4">
        <v>9.07</v>
      </c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 t="s">
        <v>480</v>
      </c>
      <c r="BN111" s="1"/>
      <c r="BO111" s="1"/>
    </row>
    <row r="112" spans="1:67" x14ac:dyDescent="0.15">
      <c r="A112" s="4">
        <v>318180</v>
      </c>
      <c r="B112" s="1" t="s">
        <v>439</v>
      </c>
      <c r="C112" s="3" t="s">
        <v>152</v>
      </c>
      <c r="D112" s="1" t="s">
        <v>471</v>
      </c>
      <c r="E112" s="1" t="s">
        <v>472</v>
      </c>
      <c r="F112" s="1" t="s">
        <v>473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>
        <v>5951060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3">
        <v>8.85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 t="s">
        <v>480</v>
      </c>
      <c r="BN112" s="1"/>
      <c r="BO112" s="1"/>
    </row>
    <row r="113" spans="1:67" x14ac:dyDescent="0.15">
      <c r="A113" s="4">
        <v>318190</v>
      </c>
      <c r="B113" s="1" t="s">
        <v>439</v>
      </c>
      <c r="C113" s="4" t="s">
        <v>153</v>
      </c>
      <c r="D113" s="1" t="s">
        <v>471</v>
      </c>
      <c r="E113" s="1" t="s">
        <v>472</v>
      </c>
      <c r="F113" s="1" t="s">
        <v>473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>
        <v>5951061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4">
        <v>8.31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 t="s">
        <v>480</v>
      </c>
      <c r="BN113" s="1"/>
      <c r="BO113" s="1"/>
    </row>
    <row r="114" spans="1:67" x14ac:dyDescent="0.15">
      <c r="A114" s="4">
        <v>318200</v>
      </c>
      <c r="B114" s="1" t="s">
        <v>439</v>
      </c>
      <c r="C114" s="4" t="s">
        <v>154</v>
      </c>
      <c r="D114" s="1" t="s">
        <v>471</v>
      </c>
      <c r="E114" s="1" t="s">
        <v>472</v>
      </c>
      <c r="F114" s="1" t="s">
        <v>473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>
        <v>5951080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4">
        <v>13.69</v>
      </c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 t="s">
        <v>480</v>
      </c>
      <c r="BN114" s="1"/>
      <c r="BO114" s="1"/>
    </row>
    <row r="115" spans="1:67" x14ac:dyDescent="0.15">
      <c r="A115" s="4">
        <v>318210</v>
      </c>
      <c r="B115" s="1" t="s">
        <v>439</v>
      </c>
      <c r="C115" s="4" t="s">
        <v>155</v>
      </c>
      <c r="D115" s="1" t="s">
        <v>471</v>
      </c>
      <c r="E115" s="1" t="s">
        <v>472</v>
      </c>
      <c r="F115" s="1" t="s">
        <v>473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>
        <v>5951081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4">
        <v>13.31</v>
      </c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 t="s">
        <v>480</v>
      </c>
      <c r="BN115" s="1"/>
      <c r="BO115" s="1"/>
    </row>
    <row r="116" spans="1:67" x14ac:dyDescent="0.15">
      <c r="A116" s="4">
        <v>318220</v>
      </c>
      <c r="B116" s="1" t="s">
        <v>439</v>
      </c>
      <c r="C116" s="4" t="s">
        <v>156</v>
      </c>
      <c r="D116" s="1" t="s">
        <v>471</v>
      </c>
      <c r="E116" s="1" t="s">
        <v>472</v>
      </c>
      <c r="F116" s="1" t="s">
        <v>473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>
        <v>5951120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4">
        <v>20.34</v>
      </c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 t="s">
        <v>480</v>
      </c>
      <c r="BN116" s="1"/>
      <c r="BO116" s="1"/>
    </row>
    <row r="117" spans="1:67" x14ac:dyDescent="0.15">
      <c r="A117" s="4">
        <v>318230</v>
      </c>
      <c r="B117" s="1" t="s">
        <v>439</v>
      </c>
      <c r="C117" s="4" t="s">
        <v>157</v>
      </c>
      <c r="D117" s="1" t="s">
        <v>471</v>
      </c>
      <c r="E117" s="1" t="s">
        <v>472</v>
      </c>
      <c r="F117" s="1" t="s">
        <v>473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>
        <v>5951140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4">
        <v>18.28</v>
      </c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 t="s">
        <v>480</v>
      </c>
      <c r="BN117" s="1"/>
      <c r="BO117" s="1"/>
    </row>
    <row r="118" spans="1:67" x14ac:dyDescent="0.15">
      <c r="A118" s="4">
        <v>318240</v>
      </c>
      <c r="B118" s="1" t="s">
        <v>439</v>
      </c>
      <c r="C118" s="4" t="s">
        <v>158</v>
      </c>
      <c r="D118" s="1" t="s">
        <v>471</v>
      </c>
      <c r="E118" s="1" t="s">
        <v>472</v>
      </c>
      <c r="F118" s="1" t="s">
        <v>473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>
        <v>5951160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4">
        <v>28.91</v>
      </c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 t="s">
        <v>480</v>
      </c>
      <c r="BN118" s="1"/>
      <c r="BO118" s="1"/>
    </row>
    <row r="119" spans="1:67" x14ac:dyDescent="0.15">
      <c r="A119" s="4">
        <v>318250</v>
      </c>
      <c r="B119" s="1" t="s">
        <v>439</v>
      </c>
      <c r="C119" s="4" t="s">
        <v>159</v>
      </c>
      <c r="D119" s="1" t="s">
        <v>471</v>
      </c>
      <c r="E119" s="1" t="s">
        <v>472</v>
      </c>
      <c r="F119" s="1" t="s">
        <v>473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>
        <v>5952040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4">
        <v>49.54</v>
      </c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 t="s">
        <v>480</v>
      </c>
      <c r="BN119" s="1"/>
      <c r="BO119" s="1"/>
    </row>
    <row r="120" spans="1:67" x14ac:dyDescent="0.15">
      <c r="A120" s="4">
        <v>318260</v>
      </c>
      <c r="B120" s="1" t="s">
        <v>439</v>
      </c>
      <c r="C120" s="4" t="s">
        <v>160</v>
      </c>
      <c r="D120" s="1" t="s">
        <v>471</v>
      </c>
      <c r="E120" s="1" t="s">
        <v>472</v>
      </c>
      <c r="F120" s="1" t="s">
        <v>473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>
        <v>5952070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4">
        <v>73.92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 t="s">
        <v>480</v>
      </c>
      <c r="BN120" s="1"/>
      <c r="BO120" s="1"/>
    </row>
    <row r="121" spans="1:67" x14ac:dyDescent="0.15">
      <c r="A121" s="4">
        <v>318270</v>
      </c>
      <c r="B121" s="1" t="s">
        <v>439</v>
      </c>
      <c r="C121" s="4" t="s">
        <v>161</v>
      </c>
      <c r="D121" s="1" t="s">
        <v>471</v>
      </c>
      <c r="E121" s="1" t="s">
        <v>472</v>
      </c>
      <c r="F121" s="1" t="s">
        <v>473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">
        <v>5952080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4" t="s">
        <v>475</v>
      </c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 t="s">
        <v>480</v>
      </c>
      <c r="BN121" s="1"/>
      <c r="BO121" s="1"/>
    </row>
    <row r="122" spans="1:67" x14ac:dyDescent="0.15">
      <c r="A122" s="4">
        <v>318280</v>
      </c>
      <c r="B122" s="1" t="s">
        <v>439</v>
      </c>
      <c r="C122" s="4" t="s">
        <v>162</v>
      </c>
      <c r="D122" s="1" t="s">
        <v>471</v>
      </c>
      <c r="E122" s="1" t="s">
        <v>472</v>
      </c>
      <c r="F122" s="1" t="s">
        <v>473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>
        <v>5952090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4">
        <v>24.42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 t="s">
        <v>480</v>
      </c>
      <c r="BN122" s="1"/>
      <c r="BO122" s="1"/>
    </row>
    <row r="123" spans="1:67" x14ac:dyDescent="0.15">
      <c r="A123" s="4">
        <v>318290</v>
      </c>
      <c r="B123" s="1" t="s">
        <v>439</v>
      </c>
      <c r="C123" s="4" t="s">
        <v>163</v>
      </c>
      <c r="D123" s="1" t="s">
        <v>471</v>
      </c>
      <c r="E123" s="1" t="s">
        <v>472</v>
      </c>
      <c r="F123" s="1" t="s">
        <v>473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>
        <v>5952110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4">
        <v>33.409999999999997</v>
      </c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 t="s">
        <v>480</v>
      </c>
      <c r="BN123" s="1"/>
      <c r="BO123" s="1"/>
    </row>
    <row r="124" spans="1:67" x14ac:dyDescent="0.15">
      <c r="A124" s="4">
        <v>318300</v>
      </c>
      <c r="B124" s="1" t="s">
        <v>439</v>
      </c>
      <c r="C124" s="4" t="s">
        <v>164</v>
      </c>
      <c r="D124" s="1" t="s">
        <v>471</v>
      </c>
      <c r="E124" s="1" t="s">
        <v>472</v>
      </c>
      <c r="F124" s="1" t="s">
        <v>473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>
        <v>5953100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4">
        <v>142.57</v>
      </c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 t="s">
        <v>480</v>
      </c>
      <c r="BN124" s="1"/>
      <c r="BO124" s="1"/>
    </row>
    <row r="125" spans="1:67" x14ac:dyDescent="0.15">
      <c r="A125" s="4">
        <v>318310</v>
      </c>
      <c r="B125" s="1" t="s">
        <v>440</v>
      </c>
      <c r="C125" s="4" t="s">
        <v>165</v>
      </c>
      <c r="D125" s="1" t="s">
        <v>471</v>
      </c>
      <c r="E125" s="1" t="s">
        <v>472</v>
      </c>
      <c r="F125" s="1" t="s">
        <v>473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>
        <v>5974009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4">
        <v>0</v>
      </c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 t="s">
        <v>480</v>
      </c>
      <c r="BN125" s="1"/>
      <c r="BO125" s="1"/>
    </row>
    <row r="126" spans="1:67" x14ac:dyDescent="0.15">
      <c r="A126" s="4">
        <v>318320</v>
      </c>
      <c r="B126" s="1" t="s">
        <v>440</v>
      </c>
      <c r="C126" s="3" t="s">
        <v>166</v>
      </c>
      <c r="D126" s="1" t="s">
        <v>471</v>
      </c>
      <c r="E126" s="1" t="s">
        <v>472</v>
      </c>
      <c r="F126" s="1" t="s">
        <v>473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>
        <v>5974010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3">
        <v>0</v>
      </c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 t="s">
        <v>480</v>
      </c>
      <c r="BN126" s="1"/>
      <c r="BO126" s="1"/>
    </row>
    <row r="127" spans="1:67" x14ac:dyDescent="0.15">
      <c r="A127" s="4">
        <v>318330</v>
      </c>
      <c r="B127" s="1" t="s">
        <v>440</v>
      </c>
      <c r="C127" s="4" t="s">
        <v>167</v>
      </c>
      <c r="D127" s="1" t="s">
        <v>471</v>
      </c>
      <c r="E127" s="1" t="s">
        <v>472</v>
      </c>
      <c r="F127" s="1" t="s">
        <v>473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>
        <v>5974020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4">
        <v>0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 t="s">
        <v>480</v>
      </c>
      <c r="BN127" s="1"/>
      <c r="BO127" s="1"/>
    </row>
    <row r="128" spans="1:67" x14ac:dyDescent="0.15">
      <c r="A128" s="4">
        <v>318340</v>
      </c>
      <c r="B128" s="1" t="s">
        <v>440</v>
      </c>
      <c r="C128" s="4" t="s">
        <v>168</v>
      </c>
      <c r="D128" s="1" t="s">
        <v>471</v>
      </c>
      <c r="E128" s="1" t="s">
        <v>472</v>
      </c>
      <c r="F128" s="1" t="s">
        <v>473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>
        <v>5974030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4">
        <v>160</v>
      </c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 t="s">
        <v>480</v>
      </c>
      <c r="BN128" s="1"/>
      <c r="BO128" s="1"/>
    </row>
    <row r="129" spans="1:67" x14ac:dyDescent="0.15">
      <c r="A129" s="4">
        <v>318350</v>
      </c>
      <c r="B129" s="1" t="s">
        <v>440</v>
      </c>
      <c r="C129" s="4" t="s">
        <v>169</v>
      </c>
      <c r="D129" s="1" t="s">
        <v>471</v>
      </c>
      <c r="E129" s="1" t="s">
        <v>472</v>
      </c>
      <c r="F129" s="1" t="s">
        <v>473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>
        <v>5974040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4">
        <v>160</v>
      </c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 t="s">
        <v>480</v>
      </c>
      <c r="BN129" s="1"/>
      <c r="BO129" s="1"/>
    </row>
    <row r="130" spans="1:67" x14ac:dyDescent="0.15">
      <c r="A130" s="4">
        <v>318360</v>
      </c>
      <c r="B130" s="1" t="s">
        <v>440</v>
      </c>
      <c r="C130" s="3" t="s">
        <v>170</v>
      </c>
      <c r="D130" s="1" t="s">
        <v>471</v>
      </c>
      <c r="E130" s="1" t="s">
        <v>472</v>
      </c>
      <c r="F130" s="1" t="s">
        <v>473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>
        <v>5974050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3">
        <v>260</v>
      </c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 t="s">
        <v>480</v>
      </c>
      <c r="BN130" s="1"/>
      <c r="BO130" s="1"/>
    </row>
    <row r="131" spans="1:67" x14ac:dyDescent="0.15">
      <c r="A131" s="4">
        <v>318370</v>
      </c>
      <c r="B131" s="1" t="s">
        <v>439</v>
      </c>
      <c r="C131" s="4" t="s">
        <v>171</v>
      </c>
      <c r="D131" s="1" t="s">
        <v>471</v>
      </c>
      <c r="E131" s="1" t="s">
        <v>472</v>
      </c>
      <c r="F131" s="1" t="s">
        <v>473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>
        <v>15250122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4">
        <v>198</v>
      </c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 t="s">
        <v>480</v>
      </c>
      <c r="BN131" s="1"/>
      <c r="BO131" s="1"/>
    </row>
    <row r="132" spans="1:67" x14ac:dyDescent="0.15">
      <c r="A132" s="4">
        <v>348110</v>
      </c>
      <c r="B132" s="1" t="s">
        <v>439</v>
      </c>
      <c r="C132" s="4" t="s">
        <v>172</v>
      </c>
      <c r="D132" s="1" t="s">
        <v>471</v>
      </c>
      <c r="E132" s="1" t="s">
        <v>472</v>
      </c>
      <c r="F132" s="1" t="s">
        <v>473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>
        <v>5954025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4">
        <v>8.49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 t="s">
        <v>481</v>
      </c>
      <c r="BN132" s="1"/>
      <c r="BO132" s="1"/>
    </row>
    <row r="133" spans="1:67" x14ac:dyDescent="0.15">
      <c r="A133" s="4">
        <v>348120</v>
      </c>
      <c r="B133" s="1" t="s">
        <v>439</v>
      </c>
      <c r="C133" s="4" t="s">
        <v>173</v>
      </c>
      <c r="D133" s="1" t="s">
        <v>471</v>
      </c>
      <c r="E133" s="1" t="s">
        <v>472</v>
      </c>
      <c r="F133" s="1" t="s">
        <v>473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>
        <v>5954042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4">
        <v>10.4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 t="s">
        <v>481</v>
      </c>
      <c r="BN133" s="1"/>
      <c r="BO133" s="1"/>
    </row>
    <row r="134" spans="1:67" x14ac:dyDescent="0.15">
      <c r="A134" s="4">
        <v>348130</v>
      </c>
      <c r="B134" s="1" t="s">
        <v>439</v>
      </c>
      <c r="C134" s="4" t="s">
        <v>174</v>
      </c>
      <c r="D134" s="1" t="s">
        <v>471</v>
      </c>
      <c r="E134" s="1" t="s">
        <v>472</v>
      </c>
      <c r="F134" s="1" t="s">
        <v>473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>
        <v>5954045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4">
        <v>14.2</v>
      </c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 t="s">
        <v>481</v>
      </c>
      <c r="BN134" s="1"/>
      <c r="BO134" s="1"/>
    </row>
    <row r="135" spans="1:67" x14ac:dyDescent="0.15">
      <c r="A135" s="4">
        <v>348140</v>
      </c>
      <c r="B135" s="1" t="s">
        <v>439</v>
      </c>
      <c r="C135" s="4" t="s">
        <v>175</v>
      </c>
      <c r="D135" s="1" t="s">
        <v>471</v>
      </c>
      <c r="E135" s="1" t="s">
        <v>472</v>
      </c>
      <c r="F135" s="1" t="s">
        <v>473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>
        <v>5954061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4">
        <v>22.34</v>
      </c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 t="s">
        <v>481</v>
      </c>
      <c r="BN135" s="1"/>
      <c r="BO135" s="1"/>
    </row>
    <row r="136" spans="1:67" x14ac:dyDescent="0.15">
      <c r="A136" s="4">
        <v>348150</v>
      </c>
      <c r="B136" s="1" t="s">
        <v>439</v>
      </c>
      <c r="C136" s="4" t="s">
        <v>176</v>
      </c>
      <c r="D136" s="1" t="s">
        <v>471</v>
      </c>
      <c r="E136" s="1" t="s">
        <v>472</v>
      </c>
      <c r="F136" s="1" t="s">
        <v>473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>
        <v>5954075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4">
        <v>27.6</v>
      </c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 t="s">
        <v>481</v>
      </c>
      <c r="BN136" s="1"/>
      <c r="BO136" s="1"/>
    </row>
    <row r="137" spans="1:67" x14ac:dyDescent="0.15">
      <c r="A137" s="4">
        <v>348160</v>
      </c>
      <c r="B137" s="1" t="s">
        <v>439</v>
      </c>
      <c r="C137" s="4" t="s">
        <v>177</v>
      </c>
      <c r="D137" s="1" t="s">
        <v>471</v>
      </c>
      <c r="E137" s="1" t="s">
        <v>472</v>
      </c>
      <c r="F137" s="1" t="s">
        <v>473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>
        <v>5954083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4">
        <v>36.270000000000003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 t="s">
        <v>481</v>
      </c>
      <c r="BN137" s="1"/>
      <c r="BO137" s="1"/>
    </row>
    <row r="138" spans="1:67" x14ac:dyDescent="0.15">
      <c r="A138" s="4">
        <v>348170</v>
      </c>
      <c r="B138" s="1" t="s">
        <v>439</v>
      </c>
      <c r="C138" s="4" t="s">
        <v>178</v>
      </c>
      <c r="D138" s="1" t="s">
        <v>471</v>
      </c>
      <c r="E138" s="1" t="s">
        <v>472</v>
      </c>
      <c r="F138" s="1" t="s">
        <v>473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>
        <v>5954091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4">
        <v>41.5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 t="s">
        <v>481</v>
      </c>
      <c r="BN138" s="1"/>
      <c r="BO138" s="1"/>
    </row>
    <row r="139" spans="1:67" x14ac:dyDescent="0.15">
      <c r="A139" s="4">
        <v>358110</v>
      </c>
      <c r="B139" s="1" t="s">
        <v>439</v>
      </c>
      <c r="C139" s="4" t="s">
        <v>179</v>
      </c>
      <c r="D139" s="1" t="s">
        <v>471</v>
      </c>
      <c r="E139" s="1" t="s">
        <v>472</v>
      </c>
      <c r="F139" s="1" t="s">
        <v>473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>
        <v>144015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4">
        <v>5.55</v>
      </c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 t="s">
        <v>482</v>
      </c>
      <c r="BN139" s="1"/>
      <c r="BO139" s="1"/>
    </row>
    <row r="140" spans="1:67" x14ac:dyDescent="0.15">
      <c r="A140" s="4">
        <v>358120</v>
      </c>
      <c r="B140" s="1" t="s">
        <v>439</v>
      </c>
      <c r="C140" s="4" t="s">
        <v>180</v>
      </c>
      <c r="D140" s="1" t="s">
        <v>471</v>
      </c>
      <c r="E140" s="1" t="s">
        <v>472</v>
      </c>
      <c r="F140" s="1" t="s">
        <v>473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>
        <v>144025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4">
        <v>672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 t="s">
        <v>482</v>
      </c>
      <c r="BN140" s="1"/>
      <c r="BO140" s="1"/>
    </row>
    <row r="141" spans="1:67" x14ac:dyDescent="0.15">
      <c r="A141" s="4">
        <v>358130</v>
      </c>
      <c r="B141" s="1" t="s">
        <v>439</v>
      </c>
      <c r="C141" s="4" t="s">
        <v>181</v>
      </c>
      <c r="D141" s="1" t="s">
        <v>471</v>
      </c>
      <c r="E141" s="1" t="s">
        <v>472</v>
      </c>
      <c r="F141" s="1" t="s">
        <v>473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>
        <v>144038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4">
        <v>8.81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 t="s">
        <v>482</v>
      </c>
      <c r="BN141" s="1"/>
      <c r="BO141" s="1"/>
    </row>
    <row r="142" spans="1:67" x14ac:dyDescent="0.15">
      <c r="A142" s="4">
        <v>358140</v>
      </c>
      <c r="B142" s="1" t="s">
        <v>439</v>
      </c>
      <c r="C142" s="4" t="s">
        <v>182</v>
      </c>
      <c r="D142" s="1" t="s">
        <v>471</v>
      </c>
      <c r="E142" s="1" t="s">
        <v>472</v>
      </c>
      <c r="F142" s="1" t="s">
        <v>473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">
        <v>144043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4">
        <v>10.63</v>
      </c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 t="s">
        <v>482</v>
      </c>
      <c r="BN142" s="1"/>
      <c r="BO142" s="1"/>
    </row>
    <row r="143" spans="1:67" x14ac:dyDescent="0.15">
      <c r="A143" s="4">
        <v>358150</v>
      </c>
      <c r="B143" s="1" t="s">
        <v>439</v>
      </c>
      <c r="C143" s="4" t="s">
        <v>183</v>
      </c>
      <c r="D143" s="1" t="s">
        <v>471</v>
      </c>
      <c r="E143" s="1" t="s">
        <v>472</v>
      </c>
      <c r="F143" s="1" t="s">
        <v>473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">
        <v>144050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4">
        <v>13.46</v>
      </c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 t="s">
        <v>482</v>
      </c>
      <c r="BN143" s="1"/>
      <c r="BO143" s="1"/>
    </row>
    <row r="144" spans="1:67" x14ac:dyDescent="0.15">
      <c r="A144" s="4">
        <v>358160</v>
      </c>
      <c r="B144" s="1" t="s">
        <v>439</v>
      </c>
      <c r="C144" s="3" t="s">
        <v>184</v>
      </c>
      <c r="D144" s="1" t="s">
        <v>471</v>
      </c>
      <c r="E144" s="1" t="s">
        <v>472</v>
      </c>
      <c r="F144" s="1" t="s">
        <v>473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>
        <v>144053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3">
        <v>15.54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 t="s">
        <v>482</v>
      </c>
      <c r="BN144" s="1"/>
      <c r="BO144" s="1"/>
    </row>
    <row r="145" spans="1:67" x14ac:dyDescent="0.15">
      <c r="A145" s="4">
        <v>368110</v>
      </c>
      <c r="B145" s="1" t="s">
        <v>439</v>
      </c>
      <c r="C145" s="3" t="s">
        <v>185</v>
      </c>
      <c r="D145" s="1" t="s">
        <v>471</v>
      </c>
      <c r="E145" s="1" t="s">
        <v>472</v>
      </c>
      <c r="F145" s="1" t="s">
        <v>473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>
        <v>55022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3">
        <v>0.34</v>
      </c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 t="s">
        <v>483</v>
      </c>
      <c r="BN145" s="1"/>
      <c r="BO145" s="1"/>
    </row>
    <row r="146" spans="1:67" x14ac:dyDescent="0.15">
      <c r="A146" s="4">
        <v>368120</v>
      </c>
      <c r="B146" s="1" t="s">
        <v>439</v>
      </c>
      <c r="C146" s="3" t="s">
        <v>186</v>
      </c>
      <c r="D146" s="1" t="s">
        <v>471</v>
      </c>
      <c r="E146" s="1" t="s">
        <v>472</v>
      </c>
      <c r="F146" s="1" t="s">
        <v>473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>
        <v>55023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3">
        <v>0.34</v>
      </c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 t="s">
        <v>483</v>
      </c>
      <c r="BN146" s="1"/>
      <c r="BO146" s="1"/>
    </row>
    <row r="147" spans="1:67" x14ac:dyDescent="0.15">
      <c r="A147" s="4">
        <v>368130</v>
      </c>
      <c r="B147" s="1" t="s">
        <v>439</v>
      </c>
      <c r="C147" s="3" t="s">
        <v>187</v>
      </c>
      <c r="D147" s="1" t="s">
        <v>471</v>
      </c>
      <c r="E147" s="1" t="s">
        <v>472</v>
      </c>
      <c r="F147" s="1" t="s">
        <v>473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>
        <v>55024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3">
        <v>0.34</v>
      </c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 t="s">
        <v>483</v>
      </c>
      <c r="BN147" s="1"/>
      <c r="BO147" s="1"/>
    </row>
    <row r="148" spans="1:67" x14ac:dyDescent="0.15">
      <c r="A148" s="4">
        <v>368140</v>
      </c>
      <c r="B148" s="1" t="s">
        <v>439</v>
      </c>
      <c r="C148" s="3" t="s">
        <v>188</v>
      </c>
      <c r="D148" s="1" t="s">
        <v>471</v>
      </c>
      <c r="E148" s="1" t="s">
        <v>472</v>
      </c>
      <c r="F148" s="1" t="s">
        <v>473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>
        <v>55027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3">
        <v>0.34</v>
      </c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 t="s">
        <v>483</v>
      </c>
      <c r="BN148" s="1"/>
      <c r="BO148" s="1"/>
    </row>
    <row r="149" spans="1:67" x14ac:dyDescent="0.15">
      <c r="A149" s="4">
        <v>368150</v>
      </c>
      <c r="B149" s="1" t="s">
        <v>439</v>
      </c>
      <c r="C149" s="3" t="s">
        <v>189</v>
      </c>
      <c r="D149" s="1" t="s">
        <v>471</v>
      </c>
      <c r="E149" s="1" t="s">
        <v>472</v>
      </c>
      <c r="F149" s="1" t="s">
        <v>473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>
        <v>55028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3">
        <v>0.34</v>
      </c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 t="s">
        <v>483</v>
      </c>
      <c r="BN149" s="1"/>
      <c r="BO149" s="1"/>
    </row>
    <row r="150" spans="1:67" x14ac:dyDescent="0.15">
      <c r="A150" s="4">
        <v>368160</v>
      </c>
      <c r="B150" s="1" t="s">
        <v>439</v>
      </c>
      <c r="C150" s="3" t="s">
        <v>190</v>
      </c>
      <c r="D150" s="1" t="s">
        <v>471</v>
      </c>
      <c r="E150" s="1" t="s">
        <v>472</v>
      </c>
      <c r="F150" s="1" t="s">
        <v>473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>
        <v>55032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3">
        <v>0.54</v>
      </c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 t="s">
        <v>483</v>
      </c>
      <c r="BN150" s="1"/>
      <c r="BO150" s="1"/>
    </row>
    <row r="151" spans="1:67" x14ac:dyDescent="0.15">
      <c r="A151" s="4">
        <v>368170</v>
      </c>
      <c r="B151" s="1" t="s">
        <v>439</v>
      </c>
      <c r="C151" s="3" t="s">
        <v>191</v>
      </c>
      <c r="D151" s="1" t="s">
        <v>471</v>
      </c>
      <c r="E151" s="1" t="s">
        <v>472</v>
      </c>
      <c r="F151" s="1" t="s">
        <v>473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>
        <v>55033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3">
        <v>0.54</v>
      </c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 t="s">
        <v>483</v>
      </c>
      <c r="BN151" s="1"/>
      <c r="BO151" s="1"/>
    </row>
    <row r="152" spans="1:67" x14ac:dyDescent="0.15">
      <c r="A152" s="4">
        <v>368180</v>
      </c>
      <c r="B152" s="1" t="s">
        <v>439</v>
      </c>
      <c r="C152" s="3" t="s">
        <v>192</v>
      </c>
      <c r="D152" s="1" t="s">
        <v>471</v>
      </c>
      <c r="E152" s="1" t="s">
        <v>472</v>
      </c>
      <c r="F152" s="1" t="s">
        <v>473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>
        <v>55034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3">
        <v>0.54</v>
      </c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 t="s">
        <v>483</v>
      </c>
      <c r="BN152" s="1"/>
      <c r="BO152" s="1"/>
    </row>
    <row r="153" spans="1:67" x14ac:dyDescent="0.15">
      <c r="A153" s="4">
        <v>368190</v>
      </c>
      <c r="B153" s="1" t="s">
        <v>439</v>
      </c>
      <c r="C153" s="4" t="s">
        <v>193</v>
      </c>
      <c r="D153" s="1" t="s">
        <v>471</v>
      </c>
      <c r="E153" s="1" t="s">
        <v>472</v>
      </c>
      <c r="F153" s="1" t="s">
        <v>473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>
        <v>56013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4">
        <v>2.3199999999999998</v>
      </c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 t="s">
        <v>483</v>
      </c>
      <c r="BN153" s="1"/>
      <c r="BO153" s="1"/>
    </row>
    <row r="154" spans="1:67" x14ac:dyDescent="0.15">
      <c r="A154" s="4">
        <v>368200</v>
      </c>
      <c r="B154" s="1" t="s">
        <v>439</v>
      </c>
      <c r="C154" s="4" t="s">
        <v>194</v>
      </c>
      <c r="D154" s="1" t="s">
        <v>471</v>
      </c>
      <c r="E154" s="1" t="s">
        <v>472</v>
      </c>
      <c r="F154" s="1" t="s">
        <v>473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>
        <v>56023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4">
        <v>3.61</v>
      </c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 t="s">
        <v>483</v>
      </c>
      <c r="BN154" s="1"/>
      <c r="BO154" s="1"/>
    </row>
    <row r="155" spans="1:67" x14ac:dyDescent="0.15">
      <c r="A155" s="4">
        <v>368210</v>
      </c>
      <c r="B155" s="1" t="s">
        <v>439</v>
      </c>
      <c r="C155" s="4" t="s">
        <v>195</v>
      </c>
      <c r="D155" s="1" t="s">
        <v>471</v>
      </c>
      <c r="E155" s="1" t="s">
        <v>472</v>
      </c>
      <c r="F155" s="1" t="s">
        <v>473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>
        <v>56033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4">
        <v>5.86</v>
      </c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 t="s">
        <v>483</v>
      </c>
      <c r="BN155" s="1"/>
      <c r="BO155" s="1"/>
    </row>
    <row r="156" spans="1:67" x14ac:dyDescent="0.15">
      <c r="A156" s="4">
        <v>368220</v>
      </c>
      <c r="B156" s="1" t="s">
        <v>439</v>
      </c>
      <c r="C156" s="4" t="s">
        <v>196</v>
      </c>
      <c r="D156" s="1" t="s">
        <v>471</v>
      </c>
      <c r="E156" s="1" t="s">
        <v>472</v>
      </c>
      <c r="F156" s="1" t="s">
        <v>473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>
        <v>56043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4">
        <v>8.1</v>
      </c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 t="s">
        <v>483</v>
      </c>
      <c r="BN156" s="1"/>
      <c r="BO156" s="1"/>
    </row>
    <row r="157" spans="1:67" x14ac:dyDescent="0.15">
      <c r="A157" s="4">
        <v>368230</v>
      </c>
      <c r="B157" s="1" t="s">
        <v>439</v>
      </c>
      <c r="C157" s="4" t="s">
        <v>197</v>
      </c>
      <c r="D157" s="1" t="s">
        <v>471</v>
      </c>
      <c r="E157" s="1" t="s">
        <v>472</v>
      </c>
      <c r="F157" s="1" t="s">
        <v>473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">
        <v>57013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4">
        <v>10.96</v>
      </c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 t="s">
        <v>483</v>
      </c>
      <c r="BN157" s="1"/>
      <c r="BO157" s="1"/>
    </row>
    <row r="158" spans="1:67" x14ac:dyDescent="0.15">
      <c r="A158" s="4">
        <v>368240</v>
      </c>
      <c r="B158" s="1" t="s">
        <v>439</v>
      </c>
      <c r="C158" s="4" t="s">
        <v>198</v>
      </c>
      <c r="D158" s="1" t="s">
        <v>471</v>
      </c>
      <c r="E158" s="1" t="s">
        <v>472</v>
      </c>
      <c r="F158" s="1" t="s">
        <v>473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">
        <v>57023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4">
        <v>16.010000000000002</v>
      </c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 t="s">
        <v>483</v>
      </c>
      <c r="BN158" s="1"/>
      <c r="BO158" s="1"/>
    </row>
    <row r="159" spans="1:67" x14ac:dyDescent="0.15">
      <c r="A159" s="4">
        <v>368250</v>
      </c>
      <c r="B159" s="1" t="s">
        <v>439</v>
      </c>
      <c r="C159" s="4" t="s">
        <v>199</v>
      </c>
      <c r="D159" s="1" t="s">
        <v>471</v>
      </c>
      <c r="E159" s="1" t="s">
        <v>472</v>
      </c>
      <c r="F159" s="1" t="s">
        <v>473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">
        <v>57033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4">
        <v>22.17</v>
      </c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 t="s">
        <v>483</v>
      </c>
      <c r="BN159" s="1"/>
      <c r="BO159" s="1"/>
    </row>
    <row r="160" spans="1:67" x14ac:dyDescent="0.15">
      <c r="A160" s="4">
        <v>368260</v>
      </c>
      <c r="B160" s="1" t="s">
        <v>439</v>
      </c>
      <c r="C160" s="4" t="s">
        <v>200</v>
      </c>
      <c r="D160" s="1" t="s">
        <v>471</v>
      </c>
      <c r="E160" s="1" t="s">
        <v>472</v>
      </c>
      <c r="F160" s="1" t="s">
        <v>473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>
        <v>57043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4">
        <v>27.79</v>
      </c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 t="s">
        <v>483</v>
      </c>
      <c r="BN160" s="1"/>
      <c r="BO160" s="1"/>
    </row>
    <row r="161" spans="1:67" x14ac:dyDescent="0.15">
      <c r="A161" s="4">
        <v>368270</v>
      </c>
      <c r="B161" s="1" t="s">
        <v>439</v>
      </c>
      <c r="C161" s="4" t="s">
        <v>201</v>
      </c>
      <c r="D161" s="1" t="s">
        <v>471</v>
      </c>
      <c r="E161" s="1" t="s">
        <v>472</v>
      </c>
      <c r="F161" s="1" t="s">
        <v>473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">
        <v>57053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4">
        <v>34.54</v>
      </c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 t="s">
        <v>483</v>
      </c>
      <c r="BN161" s="1"/>
      <c r="BO161" s="1"/>
    </row>
    <row r="162" spans="1:67" x14ac:dyDescent="0.15">
      <c r="A162" s="4">
        <v>368280</v>
      </c>
      <c r="B162" s="1" t="s">
        <v>439</v>
      </c>
      <c r="C162" s="4" t="s">
        <v>202</v>
      </c>
      <c r="D162" s="1" t="s">
        <v>471</v>
      </c>
      <c r="E162" s="1" t="s">
        <v>472</v>
      </c>
      <c r="F162" s="1" t="s">
        <v>473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>
        <v>590201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4">
        <v>8.73</v>
      </c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 t="s">
        <v>483</v>
      </c>
      <c r="BN162" s="1"/>
      <c r="BO162" s="1"/>
    </row>
    <row r="163" spans="1:67" x14ac:dyDescent="0.15">
      <c r="A163" s="4">
        <v>368290</v>
      </c>
      <c r="B163" s="1" t="s">
        <v>439</v>
      </c>
      <c r="C163" s="4" t="s">
        <v>466</v>
      </c>
      <c r="D163" s="1" t="s">
        <v>471</v>
      </c>
      <c r="E163" s="1" t="s">
        <v>472</v>
      </c>
      <c r="F163" s="1" t="s">
        <v>473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">
        <v>5954260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4">
        <v>3.36</v>
      </c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 t="s">
        <v>483</v>
      </c>
      <c r="BN163" s="1"/>
      <c r="BO163" s="1"/>
    </row>
    <row r="164" spans="1:67" x14ac:dyDescent="0.15">
      <c r="A164" s="4">
        <v>378110</v>
      </c>
      <c r="B164" s="1" t="s">
        <v>439</v>
      </c>
      <c r="C164" s="4" t="s">
        <v>203</v>
      </c>
      <c r="D164" s="1" t="s">
        <v>471</v>
      </c>
      <c r="E164" s="1" t="s">
        <v>472</v>
      </c>
      <c r="F164" s="1" t="s">
        <v>473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">
        <v>1015050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4">
        <v>12.29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 t="s">
        <v>484</v>
      </c>
      <c r="BN164" s="1"/>
      <c r="BO164" s="1"/>
    </row>
    <row r="165" spans="1:67" x14ac:dyDescent="0.15">
      <c r="A165" s="4">
        <v>378120</v>
      </c>
      <c r="B165" s="1" t="s">
        <v>439</v>
      </c>
      <c r="C165" s="3" t="s">
        <v>204</v>
      </c>
      <c r="D165" s="1" t="s">
        <v>471</v>
      </c>
      <c r="E165" s="1" t="s">
        <v>472</v>
      </c>
      <c r="F165" s="1" t="s">
        <v>473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>
        <v>1200201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3">
        <v>0.39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 t="s">
        <v>484</v>
      </c>
      <c r="BN165" s="1"/>
      <c r="BO165" s="1"/>
    </row>
    <row r="166" spans="1:67" x14ac:dyDescent="0.15">
      <c r="A166" s="4">
        <v>378130</v>
      </c>
      <c r="B166" s="1" t="s">
        <v>439</v>
      </c>
      <c r="C166" s="4" t="s">
        <v>205</v>
      </c>
      <c r="D166" s="1" t="s">
        <v>471</v>
      </c>
      <c r="E166" s="1" t="s">
        <v>472</v>
      </c>
      <c r="F166" s="1" t="s">
        <v>473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">
        <v>1200202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4">
        <v>0.56999999999999995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 t="s">
        <v>484</v>
      </c>
      <c r="BN166" s="1"/>
      <c r="BO166" s="1"/>
    </row>
    <row r="167" spans="1:67" x14ac:dyDescent="0.15">
      <c r="A167" s="4">
        <v>378140</v>
      </c>
      <c r="B167" s="1" t="s">
        <v>439</v>
      </c>
      <c r="C167" s="4" t="s">
        <v>206</v>
      </c>
      <c r="D167" s="1" t="s">
        <v>471</v>
      </c>
      <c r="E167" s="1" t="s">
        <v>472</v>
      </c>
      <c r="F167" s="1" t="s">
        <v>473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>
        <v>1200203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4">
        <v>0.77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 t="s">
        <v>484</v>
      </c>
      <c r="BN167" s="1"/>
      <c r="BO167" s="1"/>
    </row>
    <row r="168" spans="1:67" x14ac:dyDescent="0.15">
      <c r="A168" s="4">
        <v>378150</v>
      </c>
      <c r="B168" s="1" t="s">
        <v>439</v>
      </c>
      <c r="C168" s="4" t="s">
        <v>207</v>
      </c>
      <c r="D168" s="1" t="s">
        <v>471</v>
      </c>
      <c r="E168" s="1" t="s">
        <v>472</v>
      </c>
      <c r="F168" s="1" t="s">
        <v>473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">
        <v>1203004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4">
        <v>0.85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 t="s">
        <v>484</v>
      </c>
      <c r="BN168" s="1"/>
      <c r="BO168" s="1"/>
    </row>
    <row r="169" spans="1:67" x14ac:dyDescent="0.15">
      <c r="A169" s="4">
        <v>378160</v>
      </c>
      <c r="B169" s="1" t="s">
        <v>439</v>
      </c>
      <c r="C169" s="4" t="s">
        <v>208</v>
      </c>
      <c r="D169" s="1" t="s">
        <v>471</v>
      </c>
      <c r="E169" s="1" t="s">
        <v>472</v>
      </c>
      <c r="F169" s="1" t="s">
        <v>473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>
        <v>99911009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4">
        <v>0.57999999999999996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 t="s">
        <v>484</v>
      </c>
      <c r="BN169" s="1"/>
      <c r="BO169" s="1"/>
    </row>
    <row r="170" spans="1:67" x14ac:dyDescent="0.15">
      <c r="A170" s="4">
        <v>398110</v>
      </c>
      <c r="B170" s="1" t="s">
        <v>439</v>
      </c>
      <c r="C170" s="4" t="s">
        <v>209</v>
      </c>
      <c r="D170" s="1" t="s">
        <v>471</v>
      </c>
      <c r="E170" s="1" t="s">
        <v>472</v>
      </c>
      <c r="F170" s="1" t="s">
        <v>473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">
        <v>10610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4">
        <v>5.76</v>
      </c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 t="s">
        <v>476</v>
      </c>
      <c r="BN170" s="1"/>
      <c r="BO170" s="1"/>
    </row>
    <row r="171" spans="1:67" x14ac:dyDescent="0.15">
      <c r="A171" s="4">
        <v>398120</v>
      </c>
      <c r="B171" s="1" t="s">
        <v>439</v>
      </c>
      <c r="C171" s="4" t="s">
        <v>210</v>
      </c>
      <c r="D171" s="1" t="s">
        <v>471</v>
      </c>
      <c r="E171" s="1" t="s">
        <v>472</v>
      </c>
      <c r="F171" s="1" t="s">
        <v>473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">
        <v>10620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4">
        <v>19.68</v>
      </c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 t="s">
        <v>476</v>
      </c>
      <c r="BN171" s="1"/>
      <c r="BO171" s="1"/>
    </row>
    <row r="172" spans="1:67" x14ac:dyDescent="0.15">
      <c r="A172" s="4">
        <v>398130</v>
      </c>
      <c r="B172" s="1" t="s">
        <v>439</v>
      </c>
      <c r="C172" s="4" t="s">
        <v>211</v>
      </c>
      <c r="D172" s="1" t="s">
        <v>471</v>
      </c>
      <c r="E172" s="1" t="s">
        <v>472</v>
      </c>
      <c r="F172" s="1" t="s">
        <v>473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>
        <v>10640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4">
        <v>7.72</v>
      </c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 t="s">
        <v>476</v>
      </c>
      <c r="BN172" s="1"/>
      <c r="BO172" s="1"/>
    </row>
    <row r="173" spans="1:67" x14ac:dyDescent="0.15">
      <c r="A173" s="4">
        <v>398140</v>
      </c>
      <c r="B173" s="1" t="s">
        <v>439</v>
      </c>
      <c r="C173" s="4" t="s">
        <v>212</v>
      </c>
      <c r="D173" s="1" t="s">
        <v>471</v>
      </c>
      <c r="E173" s="1" t="s">
        <v>472</v>
      </c>
      <c r="F173" s="1" t="s">
        <v>473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">
        <v>10650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4">
        <v>10.08</v>
      </c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 t="s">
        <v>476</v>
      </c>
      <c r="BN173" s="1"/>
      <c r="BO173" s="1"/>
    </row>
    <row r="174" spans="1:67" x14ac:dyDescent="0.15">
      <c r="A174" s="4">
        <v>398150</v>
      </c>
      <c r="B174" s="1" t="s">
        <v>439</v>
      </c>
      <c r="C174" s="4" t="s">
        <v>213</v>
      </c>
      <c r="D174" s="1" t="s">
        <v>471</v>
      </c>
      <c r="E174" s="1" t="s">
        <v>472</v>
      </c>
      <c r="F174" s="1" t="s">
        <v>473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">
        <v>10660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4">
        <v>13.72</v>
      </c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 t="s">
        <v>476</v>
      </c>
      <c r="BN174" s="1"/>
      <c r="BO174" s="1"/>
    </row>
    <row r="175" spans="1:67" x14ac:dyDescent="0.15">
      <c r="A175" s="4">
        <v>398160</v>
      </c>
      <c r="B175" s="1" t="s">
        <v>439</v>
      </c>
      <c r="C175" s="4" t="s">
        <v>214</v>
      </c>
      <c r="D175" s="1" t="s">
        <v>471</v>
      </c>
      <c r="E175" s="1" t="s">
        <v>472</v>
      </c>
      <c r="F175" s="1" t="s">
        <v>473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">
        <v>10670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4">
        <v>82.92</v>
      </c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 t="s">
        <v>476</v>
      </c>
      <c r="BN175" s="1"/>
      <c r="BO175" s="1"/>
    </row>
    <row r="176" spans="1:67" x14ac:dyDescent="0.15">
      <c r="A176" s="4">
        <v>398170</v>
      </c>
      <c r="B176" s="1" t="s">
        <v>439</v>
      </c>
      <c r="C176" s="4" t="s">
        <v>215</v>
      </c>
      <c r="D176" s="1" t="s">
        <v>471</v>
      </c>
      <c r="E176" s="1" t="s">
        <v>472</v>
      </c>
      <c r="F176" s="1" t="s">
        <v>473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">
        <v>10680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4">
        <v>29.06</v>
      </c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 t="s">
        <v>476</v>
      </c>
      <c r="BN176" s="1"/>
      <c r="BO176" s="1"/>
    </row>
    <row r="177" spans="1:67" x14ac:dyDescent="0.15">
      <c r="A177" s="4">
        <v>398180</v>
      </c>
      <c r="B177" s="1" t="s">
        <v>439</v>
      </c>
      <c r="C177" s="4" t="s">
        <v>216</v>
      </c>
      <c r="D177" s="1" t="s">
        <v>471</v>
      </c>
      <c r="E177" s="1" t="s">
        <v>472</v>
      </c>
      <c r="F177" s="1" t="s">
        <v>473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">
        <v>10699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4">
        <v>124.26</v>
      </c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 t="s">
        <v>476</v>
      </c>
      <c r="BN177" s="1"/>
      <c r="BO177" s="1"/>
    </row>
    <row r="178" spans="1:67" x14ac:dyDescent="0.15">
      <c r="A178" s="4">
        <v>398190</v>
      </c>
      <c r="B178" s="1" t="s">
        <v>439</v>
      </c>
      <c r="C178" s="4" t="s">
        <v>217</v>
      </c>
      <c r="D178" s="1" t="s">
        <v>471</v>
      </c>
      <c r="E178" s="1" t="s">
        <v>472</v>
      </c>
      <c r="F178" s="1" t="s">
        <v>473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>
        <v>106912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4">
        <v>35.44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 t="s">
        <v>476</v>
      </c>
      <c r="BN178" s="1"/>
      <c r="BO178" s="1"/>
    </row>
    <row r="179" spans="1:67" x14ac:dyDescent="0.15">
      <c r="A179" s="4">
        <v>398200</v>
      </c>
      <c r="B179" s="1" t="s">
        <v>439</v>
      </c>
      <c r="C179" s="4" t="s">
        <v>218</v>
      </c>
      <c r="D179" s="1" t="s">
        <v>471</v>
      </c>
      <c r="E179" s="1" t="s">
        <v>472</v>
      </c>
      <c r="F179" s="1" t="s">
        <v>473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">
        <v>106913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4">
        <v>49.38</v>
      </c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 t="s">
        <v>476</v>
      </c>
      <c r="BN179" s="1"/>
      <c r="BO179" s="1"/>
    </row>
    <row r="180" spans="1:67" x14ac:dyDescent="0.15">
      <c r="A180" s="4">
        <v>398210</v>
      </c>
      <c r="B180" s="1" t="s">
        <v>439</v>
      </c>
      <c r="C180" s="4" t="s">
        <v>219</v>
      </c>
      <c r="D180" s="1" t="s">
        <v>471</v>
      </c>
      <c r="E180" s="1" t="s">
        <v>472</v>
      </c>
      <c r="F180" s="1" t="s">
        <v>473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>
        <v>106914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4">
        <v>66.41</v>
      </c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 t="s">
        <v>476</v>
      </c>
      <c r="BN180" s="1"/>
      <c r="BO180" s="1"/>
    </row>
    <row r="181" spans="1:67" x14ac:dyDescent="0.15">
      <c r="A181" s="4">
        <v>398220</v>
      </c>
      <c r="B181" s="1" t="s">
        <v>439</v>
      </c>
      <c r="C181" s="4" t="s">
        <v>220</v>
      </c>
      <c r="D181" s="1" t="s">
        <v>471</v>
      </c>
      <c r="E181" s="1" t="s">
        <v>472</v>
      </c>
      <c r="F181" s="1" t="s">
        <v>473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">
        <v>106916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4">
        <v>151.79</v>
      </c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 t="s">
        <v>476</v>
      </c>
      <c r="BN181" s="1"/>
      <c r="BO181" s="1"/>
    </row>
    <row r="182" spans="1:67" x14ac:dyDescent="0.15">
      <c r="A182" s="4">
        <v>398230</v>
      </c>
      <c r="B182" s="1" t="s">
        <v>439</v>
      </c>
      <c r="C182" s="4" t="s">
        <v>221</v>
      </c>
      <c r="D182" s="1" t="s">
        <v>471</v>
      </c>
      <c r="E182" s="1" t="s">
        <v>472</v>
      </c>
      <c r="F182" s="1" t="s">
        <v>473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>
        <v>106981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4">
        <v>183.27</v>
      </c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 t="s">
        <v>476</v>
      </c>
      <c r="BN182" s="1"/>
      <c r="BO182" s="1"/>
    </row>
    <row r="183" spans="1:67" x14ac:dyDescent="0.15">
      <c r="A183" s="4">
        <v>408110</v>
      </c>
      <c r="B183" s="1" t="s">
        <v>440</v>
      </c>
      <c r="C183" s="4" t="s">
        <v>222</v>
      </c>
      <c r="D183" s="1" t="s">
        <v>471</v>
      </c>
      <c r="E183" s="1" t="s">
        <v>472</v>
      </c>
      <c r="F183" s="1" t="s">
        <v>473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">
        <v>4932201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4">
        <v>22.8</v>
      </c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 t="s">
        <v>485</v>
      </c>
      <c r="BN183" s="1"/>
      <c r="BO183" s="1"/>
    </row>
    <row r="184" spans="1:67" x14ac:dyDescent="0.15">
      <c r="A184" s="4">
        <v>408120</v>
      </c>
      <c r="B184" s="1" t="s">
        <v>439</v>
      </c>
      <c r="C184" s="4" t="s">
        <v>467</v>
      </c>
      <c r="D184" s="1" t="s">
        <v>471</v>
      </c>
      <c r="E184" s="1" t="s">
        <v>472</v>
      </c>
      <c r="F184" s="1" t="s">
        <v>473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">
        <v>4932302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4">
        <v>8.1</v>
      </c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 t="s">
        <v>485</v>
      </c>
      <c r="BN184" s="1"/>
      <c r="BO184" s="1"/>
    </row>
    <row r="185" spans="1:67" x14ac:dyDescent="0.15">
      <c r="A185" s="4">
        <v>408130</v>
      </c>
      <c r="B185" s="1" t="s">
        <v>439</v>
      </c>
      <c r="C185" s="4" t="s">
        <v>223</v>
      </c>
      <c r="D185" s="1" t="s">
        <v>471</v>
      </c>
      <c r="E185" s="1" t="s">
        <v>472</v>
      </c>
      <c r="F185" s="1" t="s">
        <v>473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">
        <v>4932303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4">
        <v>10.6</v>
      </c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 t="s">
        <v>485</v>
      </c>
      <c r="BN185" s="1"/>
      <c r="BO185" s="1"/>
    </row>
    <row r="186" spans="1:67" x14ac:dyDescent="0.15">
      <c r="A186" s="4">
        <v>408140</v>
      </c>
      <c r="B186" s="1" t="s">
        <v>439</v>
      </c>
      <c r="C186" s="4" t="s">
        <v>224</v>
      </c>
      <c r="D186" s="1" t="s">
        <v>471</v>
      </c>
      <c r="E186" s="1" t="s">
        <v>472</v>
      </c>
      <c r="F186" s="1" t="s">
        <v>473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">
        <v>4932305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4">
        <v>14.5</v>
      </c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 t="s">
        <v>485</v>
      </c>
      <c r="BN186" s="1"/>
      <c r="BO186" s="1"/>
    </row>
    <row r="187" spans="1:67" x14ac:dyDescent="0.15">
      <c r="A187" s="4">
        <v>438110</v>
      </c>
      <c r="B187" s="1" t="s">
        <v>440</v>
      </c>
      <c r="C187" s="4" t="s">
        <v>225</v>
      </c>
      <c r="D187" s="1" t="s">
        <v>471</v>
      </c>
      <c r="E187" s="1" t="s">
        <v>472</v>
      </c>
      <c r="F187" s="1" t="s">
        <v>473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>
        <v>21005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4">
        <v>43.2</v>
      </c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 t="s">
        <v>486</v>
      </c>
      <c r="BN187" s="1"/>
      <c r="BO187" s="1"/>
    </row>
    <row r="188" spans="1:67" x14ac:dyDescent="0.15">
      <c r="A188" s="4">
        <v>438120</v>
      </c>
      <c r="B188" s="1" t="s">
        <v>440</v>
      </c>
      <c r="C188" s="4" t="s">
        <v>226</v>
      </c>
      <c r="D188" s="1" t="s">
        <v>471</v>
      </c>
      <c r="E188" s="1" t="s">
        <v>472</v>
      </c>
      <c r="F188" s="1" t="s">
        <v>473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">
        <v>21017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4">
        <v>20</v>
      </c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 t="s">
        <v>486</v>
      </c>
      <c r="BN188" s="1"/>
      <c r="BO188" s="1"/>
    </row>
    <row r="189" spans="1:67" x14ac:dyDescent="0.15">
      <c r="A189" s="4">
        <v>438130</v>
      </c>
      <c r="B189" s="1" t="s">
        <v>440</v>
      </c>
      <c r="C189" s="4" t="s">
        <v>227</v>
      </c>
      <c r="D189" s="1" t="s">
        <v>471</v>
      </c>
      <c r="E189" s="1" t="s">
        <v>472</v>
      </c>
      <c r="F189" s="1" t="s">
        <v>473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">
        <v>3700304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4">
        <v>7.5</v>
      </c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 t="s">
        <v>486</v>
      </c>
      <c r="BN189" s="1"/>
      <c r="BO189" s="1"/>
    </row>
    <row r="190" spans="1:67" x14ac:dyDescent="0.15">
      <c r="A190" s="4">
        <v>438140</v>
      </c>
      <c r="B190" s="1" t="s">
        <v>440</v>
      </c>
      <c r="C190" s="4" t="s">
        <v>228</v>
      </c>
      <c r="D190" s="1" t="s">
        <v>471</v>
      </c>
      <c r="E190" s="1" t="s">
        <v>472</v>
      </c>
      <c r="F190" s="1" t="s">
        <v>473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">
        <v>8103200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4">
        <v>118</v>
      </c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 t="s">
        <v>486</v>
      </c>
      <c r="BN190" s="1"/>
      <c r="BO190" s="1"/>
    </row>
    <row r="191" spans="1:67" x14ac:dyDescent="0.15">
      <c r="A191" s="4">
        <v>438150</v>
      </c>
      <c r="B191" s="1" t="s">
        <v>440</v>
      </c>
      <c r="C191" s="4" t="s">
        <v>229</v>
      </c>
      <c r="D191" s="1" t="s">
        <v>471</v>
      </c>
      <c r="E191" s="1" t="s">
        <v>472</v>
      </c>
      <c r="F191" s="1" t="s">
        <v>473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">
        <v>8103205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4">
        <v>224</v>
      </c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 t="s">
        <v>486</v>
      </c>
      <c r="BN191" s="1"/>
      <c r="BO191" s="1"/>
    </row>
    <row r="192" spans="1:67" x14ac:dyDescent="0.15">
      <c r="A192" s="4">
        <v>438160</v>
      </c>
      <c r="B192" s="1" t="s">
        <v>440</v>
      </c>
      <c r="C192" s="4" t="s">
        <v>230</v>
      </c>
      <c r="D192" s="1" t="s">
        <v>471</v>
      </c>
      <c r="E192" s="1" t="s">
        <v>472</v>
      </c>
      <c r="F192" s="1" t="s">
        <v>473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">
        <v>8103390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4">
        <v>110</v>
      </c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 t="s">
        <v>486</v>
      </c>
      <c r="BN192" s="1"/>
      <c r="BO192" s="1"/>
    </row>
    <row r="193" spans="1:67" x14ac:dyDescent="0.15">
      <c r="A193" s="4">
        <v>438170</v>
      </c>
      <c r="B193" s="1" t="s">
        <v>440</v>
      </c>
      <c r="C193" s="4" t="s">
        <v>231</v>
      </c>
      <c r="D193" s="1" t="s">
        <v>471</v>
      </c>
      <c r="E193" s="1" t="s">
        <v>472</v>
      </c>
      <c r="F193" s="1" t="s">
        <v>473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">
        <v>8103400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4">
        <v>180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 t="s">
        <v>486</v>
      </c>
      <c r="BN193" s="1"/>
      <c r="BO193" s="1"/>
    </row>
    <row r="194" spans="1:67" x14ac:dyDescent="0.15">
      <c r="A194" s="4">
        <v>438180</v>
      </c>
      <c r="B194" s="1" t="s">
        <v>440</v>
      </c>
      <c r="C194" s="4" t="s">
        <v>232</v>
      </c>
      <c r="D194" s="1" t="s">
        <v>471</v>
      </c>
      <c r="E194" s="1" t="s">
        <v>472</v>
      </c>
      <c r="F194" s="1" t="s">
        <v>473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">
        <v>8400061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4">
        <v>0.95</v>
      </c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 t="s">
        <v>486</v>
      </c>
      <c r="BN194" s="1"/>
      <c r="BO194" s="1"/>
    </row>
    <row r="195" spans="1:67" x14ac:dyDescent="0.15">
      <c r="A195" s="4">
        <v>438190</v>
      </c>
      <c r="B195" s="1" t="s">
        <v>440</v>
      </c>
      <c r="C195" s="4" t="s">
        <v>233</v>
      </c>
      <c r="D195" s="1" t="s">
        <v>471</v>
      </c>
      <c r="E195" s="1" t="s">
        <v>472</v>
      </c>
      <c r="F195" s="1" t="s">
        <v>473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>
        <v>8400062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4">
        <v>5.6</v>
      </c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 t="s">
        <v>486</v>
      </c>
      <c r="BN195" s="1"/>
      <c r="BO195" s="1"/>
    </row>
    <row r="196" spans="1:67" x14ac:dyDescent="0.15">
      <c r="A196" s="4">
        <v>438200</v>
      </c>
      <c r="B196" s="1" t="s">
        <v>439</v>
      </c>
      <c r="C196" s="3" t="s">
        <v>468</v>
      </c>
      <c r="D196" s="1" t="s">
        <v>471</v>
      </c>
      <c r="E196" s="1" t="s">
        <v>472</v>
      </c>
      <c r="F196" s="1" t="s">
        <v>473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>
        <v>84000791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3">
        <v>1.4</v>
      </c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 t="s">
        <v>486</v>
      </c>
      <c r="BN196" s="1"/>
      <c r="BO196" s="1"/>
    </row>
    <row r="197" spans="1:67" x14ac:dyDescent="0.15">
      <c r="A197" s="4">
        <v>438210</v>
      </c>
      <c r="B197" s="1" t="s">
        <v>440</v>
      </c>
      <c r="C197" s="4" t="s">
        <v>234</v>
      </c>
      <c r="D197" s="1" t="s">
        <v>471</v>
      </c>
      <c r="E197" s="1" t="s">
        <v>472</v>
      </c>
      <c r="F197" s="1" t="s">
        <v>473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>
        <v>99450008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4">
        <v>3</v>
      </c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 t="s">
        <v>486</v>
      </c>
      <c r="BN197" s="1"/>
      <c r="BO197" s="1"/>
    </row>
    <row r="198" spans="1:67" x14ac:dyDescent="0.15">
      <c r="A198" s="4">
        <v>438220</v>
      </c>
      <c r="B198" s="1" t="s">
        <v>440</v>
      </c>
      <c r="C198" s="4" t="s">
        <v>235</v>
      </c>
      <c r="D198" s="1" t="s">
        <v>471</v>
      </c>
      <c r="E198" s="1" t="s">
        <v>472</v>
      </c>
      <c r="F198" s="1" t="s">
        <v>473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>
        <v>99450020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4">
        <v>6.5</v>
      </c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 t="s">
        <v>486</v>
      </c>
      <c r="BN198" s="1"/>
      <c r="BO198" s="1"/>
    </row>
    <row r="199" spans="1:67" x14ac:dyDescent="0.15">
      <c r="A199" s="4">
        <v>438230</v>
      </c>
      <c r="B199" s="1" t="s">
        <v>440</v>
      </c>
      <c r="C199" s="4" t="s">
        <v>236</v>
      </c>
      <c r="D199" s="1" t="s">
        <v>471</v>
      </c>
      <c r="E199" s="1" t="s">
        <v>472</v>
      </c>
      <c r="F199" s="1" t="s">
        <v>473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">
        <v>495132786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4">
        <v>1</v>
      </c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 t="s">
        <v>486</v>
      </c>
      <c r="BN199" s="1"/>
      <c r="BO199" s="1"/>
    </row>
    <row r="200" spans="1:67" x14ac:dyDescent="0.15">
      <c r="A200" s="4">
        <v>438240</v>
      </c>
      <c r="B200" s="1" t="s">
        <v>440</v>
      </c>
      <c r="C200" s="4" t="s">
        <v>237</v>
      </c>
      <c r="D200" s="1" t="s">
        <v>471</v>
      </c>
      <c r="E200" s="1" t="s">
        <v>472</v>
      </c>
      <c r="F200" s="1" t="s">
        <v>473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>
        <v>495132789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4">
        <v>0.54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 t="s">
        <v>486</v>
      </c>
      <c r="BN200" s="1"/>
      <c r="BO200" s="1"/>
    </row>
    <row r="201" spans="1:67" x14ac:dyDescent="0.15">
      <c r="A201" s="4">
        <v>438250</v>
      </c>
      <c r="B201" s="1" t="s">
        <v>440</v>
      </c>
      <c r="C201" s="4" t="s">
        <v>238</v>
      </c>
      <c r="D201" s="1" t="s">
        <v>471</v>
      </c>
      <c r="E201" s="1" t="s">
        <v>472</v>
      </c>
      <c r="F201" s="1" t="s">
        <v>473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>
        <v>495132790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4">
        <v>0.68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 t="s">
        <v>486</v>
      </c>
      <c r="BN201" s="1"/>
      <c r="BO201" s="1"/>
    </row>
    <row r="202" spans="1:67" x14ac:dyDescent="0.15">
      <c r="A202" s="4">
        <v>618110</v>
      </c>
      <c r="B202" s="1" t="s">
        <v>440</v>
      </c>
      <c r="C202" s="4" t="s">
        <v>239</v>
      </c>
      <c r="D202" s="1" t="s">
        <v>471</v>
      </c>
      <c r="E202" s="1" t="s">
        <v>472</v>
      </c>
      <c r="F202" s="1" t="s">
        <v>473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">
        <v>97023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4">
        <v>452</v>
      </c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 t="s">
        <v>487</v>
      </c>
      <c r="BN202" s="1"/>
      <c r="BO202" s="1"/>
    </row>
    <row r="203" spans="1:67" x14ac:dyDescent="0.15">
      <c r="A203" s="4">
        <v>618120</v>
      </c>
      <c r="B203" s="1" t="s">
        <v>440</v>
      </c>
      <c r="C203" s="4" t="s">
        <v>240</v>
      </c>
      <c r="D203" s="1" t="s">
        <v>471</v>
      </c>
      <c r="E203" s="1" t="s">
        <v>472</v>
      </c>
      <c r="F203" s="1" t="s">
        <v>473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>
        <v>839709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4">
        <v>14.29</v>
      </c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 t="s">
        <v>487</v>
      </c>
      <c r="BN203" s="1"/>
      <c r="BO203" s="1"/>
    </row>
    <row r="204" spans="1:67" x14ac:dyDescent="0.15">
      <c r="A204" s="4">
        <v>618130</v>
      </c>
      <c r="B204" s="1" t="s">
        <v>440</v>
      </c>
      <c r="C204" s="4" t="s">
        <v>241</v>
      </c>
      <c r="D204" s="1" t="s">
        <v>471</v>
      </c>
      <c r="E204" s="1" t="s">
        <v>472</v>
      </c>
      <c r="F204" s="1" t="s">
        <v>473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>
        <v>2818050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4">
        <v>13.43</v>
      </c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 t="s">
        <v>487</v>
      </c>
      <c r="BN204" s="1"/>
      <c r="BO204" s="1"/>
    </row>
    <row r="205" spans="1:67" x14ac:dyDescent="0.15">
      <c r="A205" s="4">
        <v>618140</v>
      </c>
      <c r="B205" s="1" t="s">
        <v>440</v>
      </c>
      <c r="C205" s="4" t="s">
        <v>242</v>
      </c>
      <c r="D205" s="1" t="s">
        <v>471</v>
      </c>
      <c r="E205" s="1" t="s">
        <v>472</v>
      </c>
      <c r="F205" s="1" t="s">
        <v>473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">
        <v>4620031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5">
        <v>1740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 t="s">
        <v>487</v>
      </c>
      <c r="BN205" s="1"/>
      <c r="BO205" s="1"/>
    </row>
    <row r="206" spans="1:67" x14ac:dyDescent="0.15">
      <c r="A206" s="4">
        <v>618150</v>
      </c>
      <c r="B206" s="1" t="s">
        <v>440</v>
      </c>
      <c r="C206" s="4" t="s">
        <v>243</v>
      </c>
      <c r="D206" s="1" t="s">
        <v>471</v>
      </c>
      <c r="E206" s="1" t="s">
        <v>472</v>
      </c>
      <c r="F206" s="1" t="s">
        <v>473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">
        <v>99761506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4">
        <v>77</v>
      </c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 t="s">
        <v>487</v>
      </c>
      <c r="BN206" s="1"/>
      <c r="BO206" s="1"/>
    </row>
    <row r="207" spans="1:67" x14ac:dyDescent="0.15">
      <c r="A207" s="4">
        <v>618160</v>
      </c>
      <c r="B207" s="1" t="s">
        <v>440</v>
      </c>
      <c r="C207" s="4" t="s">
        <v>244</v>
      </c>
      <c r="D207" s="1" t="s">
        <v>471</v>
      </c>
      <c r="E207" s="1" t="s">
        <v>472</v>
      </c>
      <c r="F207" s="1" t="s">
        <v>473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>
        <v>99761512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4">
        <v>81</v>
      </c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 t="s">
        <v>487</v>
      </c>
      <c r="BN207" s="1"/>
      <c r="BO207" s="1"/>
    </row>
    <row r="208" spans="1:67" x14ac:dyDescent="0.15">
      <c r="A208" s="4">
        <v>618170</v>
      </c>
      <c r="B208" s="1" t="s">
        <v>440</v>
      </c>
      <c r="C208" s="4" t="s">
        <v>245</v>
      </c>
      <c r="D208" s="1" t="s">
        <v>471</v>
      </c>
      <c r="E208" s="1" t="s">
        <v>472</v>
      </c>
      <c r="F208" s="1" t="s">
        <v>473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">
        <v>99761528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4">
        <v>203</v>
      </c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 t="s">
        <v>487</v>
      </c>
      <c r="BN208" s="1"/>
      <c r="BO208" s="1"/>
    </row>
    <row r="209" spans="1:67" x14ac:dyDescent="0.15">
      <c r="A209" s="4">
        <v>618180</v>
      </c>
      <c r="B209" s="1" t="s">
        <v>440</v>
      </c>
      <c r="C209" s="3" t="s">
        <v>246</v>
      </c>
      <c r="D209" s="1" t="s">
        <v>471</v>
      </c>
      <c r="E209" s="1" t="s">
        <v>472</v>
      </c>
      <c r="F209" s="1" t="s">
        <v>473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>
        <v>99761550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3">
        <v>59</v>
      </c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 t="s">
        <v>487</v>
      </c>
      <c r="BN209" s="1"/>
      <c r="BO209" s="1"/>
    </row>
    <row r="210" spans="1:67" x14ac:dyDescent="0.15">
      <c r="A210" s="4">
        <v>618190</v>
      </c>
      <c r="B210" s="1" t="s">
        <v>440</v>
      </c>
      <c r="C210" s="3" t="s">
        <v>247</v>
      </c>
      <c r="D210" s="1" t="s">
        <v>471</v>
      </c>
      <c r="E210" s="1" t="s">
        <v>472</v>
      </c>
      <c r="F210" s="1" t="s">
        <v>473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>
        <v>997615482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3">
        <v>62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 t="s">
        <v>487</v>
      </c>
      <c r="BN210" s="1"/>
      <c r="BO210" s="1"/>
    </row>
    <row r="211" spans="1:67" x14ac:dyDescent="0.15">
      <c r="A211" s="4">
        <v>618200</v>
      </c>
      <c r="B211" s="1" t="s">
        <v>440</v>
      </c>
      <c r="C211" s="4" t="s">
        <v>248</v>
      </c>
      <c r="D211" s="1" t="s">
        <v>471</v>
      </c>
      <c r="E211" s="1" t="s">
        <v>472</v>
      </c>
      <c r="F211" s="1" t="s">
        <v>473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">
        <v>46112199804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4">
        <v>17</v>
      </c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 t="s">
        <v>487</v>
      </c>
      <c r="BN211" s="1"/>
      <c r="BO211" s="1"/>
    </row>
    <row r="212" spans="1:67" x14ac:dyDescent="0.15">
      <c r="A212" s="4">
        <v>628110</v>
      </c>
      <c r="B212" s="1" t="s">
        <v>440</v>
      </c>
      <c r="C212" s="4" t="s">
        <v>249</v>
      </c>
      <c r="D212" s="1" t="s">
        <v>471</v>
      </c>
      <c r="E212" s="1" t="s">
        <v>472</v>
      </c>
      <c r="F212" s="1" t="s">
        <v>473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>
        <v>2910382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4">
        <v>69</v>
      </c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 t="s">
        <v>488</v>
      </c>
      <c r="BN212" s="1"/>
      <c r="BO212" s="1"/>
    </row>
    <row r="213" spans="1:67" x14ac:dyDescent="0.15">
      <c r="A213" s="4">
        <v>628120</v>
      </c>
      <c r="B213" s="1" t="s">
        <v>440</v>
      </c>
      <c r="C213" s="4" t="s">
        <v>250</v>
      </c>
      <c r="D213" s="1" t="s">
        <v>471</v>
      </c>
      <c r="E213" s="1" t="s">
        <v>472</v>
      </c>
      <c r="F213" s="1" t="s">
        <v>473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>
        <v>29103815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4">
        <v>34</v>
      </c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 t="s">
        <v>488</v>
      </c>
      <c r="BN213" s="1"/>
      <c r="BO213" s="1"/>
    </row>
    <row r="214" spans="1:67" x14ac:dyDescent="0.15">
      <c r="A214" s="4">
        <v>628130</v>
      </c>
      <c r="B214" s="1" t="s">
        <v>440</v>
      </c>
      <c r="C214" s="4" t="s">
        <v>251</v>
      </c>
      <c r="D214" s="1" t="s">
        <v>471</v>
      </c>
      <c r="E214" s="1" t="s">
        <v>472</v>
      </c>
      <c r="F214" s="1" t="s">
        <v>473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">
        <v>461203925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4">
        <v>4.5</v>
      </c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 t="s">
        <v>488</v>
      </c>
      <c r="BN214" s="1"/>
      <c r="BO214" s="1"/>
    </row>
    <row r="215" spans="1:67" x14ac:dyDescent="0.15">
      <c r="A215" s="4">
        <v>628140</v>
      </c>
      <c r="B215" s="1" t="s">
        <v>440</v>
      </c>
      <c r="C215" s="4" t="s">
        <v>252</v>
      </c>
      <c r="D215" s="1" t="s">
        <v>471</v>
      </c>
      <c r="E215" s="1" t="s">
        <v>472</v>
      </c>
      <c r="F215" s="1" t="s">
        <v>473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">
        <v>695320101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4">
        <v>29</v>
      </c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 t="s">
        <v>488</v>
      </c>
      <c r="BN215" s="1"/>
      <c r="BO215" s="1"/>
    </row>
    <row r="216" spans="1:67" x14ac:dyDescent="0.15">
      <c r="A216" s="4">
        <v>628150</v>
      </c>
      <c r="B216" s="1" t="s">
        <v>440</v>
      </c>
      <c r="C216" s="4" t="s">
        <v>253</v>
      </c>
      <c r="D216" s="1" t="s">
        <v>471</v>
      </c>
      <c r="E216" s="1" t="s">
        <v>472</v>
      </c>
      <c r="F216" s="1" t="s">
        <v>473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>
        <v>695321041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4">
        <v>3</v>
      </c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 t="s">
        <v>488</v>
      </c>
      <c r="BN216" s="1"/>
      <c r="BO216" s="1"/>
    </row>
    <row r="217" spans="1:67" x14ac:dyDescent="0.15">
      <c r="A217" s="4">
        <v>628160</v>
      </c>
      <c r="B217" s="1" t="s">
        <v>440</v>
      </c>
      <c r="C217" s="4" t="s">
        <v>254</v>
      </c>
      <c r="D217" s="1" t="s">
        <v>471</v>
      </c>
      <c r="E217" s="1" t="s">
        <v>472</v>
      </c>
      <c r="F217" s="1" t="s">
        <v>473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>
        <v>695321405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4">
        <v>1.6</v>
      </c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 t="s">
        <v>488</v>
      </c>
      <c r="BN217" s="1"/>
      <c r="BO217" s="1"/>
    </row>
    <row r="218" spans="1:67" x14ac:dyDescent="0.15">
      <c r="A218" s="4">
        <v>628170</v>
      </c>
      <c r="B218" s="1" t="s">
        <v>440</v>
      </c>
      <c r="C218" s="4" t="s">
        <v>255</v>
      </c>
      <c r="D218" s="1" t="s">
        <v>471</v>
      </c>
      <c r="E218" s="1" t="s">
        <v>472</v>
      </c>
      <c r="F218" s="1" t="s">
        <v>473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">
        <v>695321632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4">
        <v>6.5</v>
      </c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 t="s">
        <v>488</v>
      </c>
      <c r="BN218" s="1"/>
      <c r="BO218" s="1"/>
    </row>
    <row r="219" spans="1:67" x14ac:dyDescent="0.15">
      <c r="A219" s="4">
        <v>628180</v>
      </c>
      <c r="B219" s="1" t="s">
        <v>440</v>
      </c>
      <c r="C219" s="4" t="s">
        <v>256</v>
      </c>
      <c r="D219" s="1" t="s">
        <v>471</v>
      </c>
      <c r="E219" s="1" t="s">
        <v>472</v>
      </c>
      <c r="F219" s="1" t="s">
        <v>473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>
        <v>695321681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4">
        <v>8.1999999999999993</v>
      </c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 t="s">
        <v>488</v>
      </c>
      <c r="BN219" s="1"/>
      <c r="BO219" s="1"/>
    </row>
    <row r="220" spans="1:67" x14ac:dyDescent="0.15">
      <c r="A220" s="4">
        <v>628190</v>
      </c>
      <c r="B220" s="1" t="s">
        <v>440</v>
      </c>
      <c r="C220" s="4" t="s">
        <v>257</v>
      </c>
      <c r="D220" s="1" t="s">
        <v>471</v>
      </c>
      <c r="E220" s="1" t="s">
        <v>472</v>
      </c>
      <c r="F220" s="1" t="s">
        <v>473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">
        <v>695321683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4">
        <v>7.8</v>
      </c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 t="s">
        <v>488</v>
      </c>
      <c r="BN220" s="1"/>
      <c r="BO220" s="1"/>
    </row>
    <row r="221" spans="1:67" x14ac:dyDescent="0.15">
      <c r="A221" s="4">
        <v>628200</v>
      </c>
      <c r="B221" s="1" t="s">
        <v>440</v>
      </c>
      <c r="C221" s="4" t="s">
        <v>258</v>
      </c>
      <c r="D221" s="1" t="s">
        <v>471</v>
      </c>
      <c r="E221" s="1" t="s">
        <v>472</v>
      </c>
      <c r="F221" s="1" t="s">
        <v>473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">
        <v>4612043541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4">
        <v>34</v>
      </c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 t="s">
        <v>488</v>
      </c>
      <c r="BN221" s="1"/>
      <c r="BO221" s="1"/>
    </row>
    <row r="222" spans="1:67" x14ac:dyDescent="0.15">
      <c r="A222" s="4">
        <v>648110</v>
      </c>
      <c r="B222" s="1" t="s">
        <v>440</v>
      </c>
      <c r="C222" s="4" t="s">
        <v>259</v>
      </c>
      <c r="D222" s="1" t="s">
        <v>471</v>
      </c>
      <c r="E222" s="1" t="s">
        <v>472</v>
      </c>
      <c r="F222" s="1" t="s">
        <v>473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>
        <v>161005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4">
        <v>4.9000000000000004</v>
      </c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 t="s">
        <v>489</v>
      </c>
      <c r="BN222" s="1"/>
      <c r="BO222" s="1"/>
    </row>
    <row r="223" spans="1:67" x14ac:dyDescent="0.15">
      <c r="A223" s="4">
        <v>648120</v>
      </c>
      <c r="B223" s="1" t="s">
        <v>440</v>
      </c>
      <c r="C223" s="4" t="s">
        <v>260</v>
      </c>
      <c r="D223" s="1" t="s">
        <v>471</v>
      </c>
      <c r="E223" s="1" t="s">
        <v>472</v>
      </c>
      <c r="F223" s="1" t="s">
        <v>473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>
        <v>161006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4">
        <v>4.9000000000000004</v>
      </c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 t="s">
        <v>489</v>
      </c>
      <c r="BN223" s="1"/>
      <c r="BO223" s="1"/>
    </row>
    <row r="224" spans="1:67" x14ac:dyDescent="0.15">
      <c r="A224" s="4">
        <v>648130</v>
      </c>
      <c r="B224" s="1" t="s">
        <v>440</v>
      </c>
      <c r="C224" s="4" t="s">
        <v>261</v>
      </c>
      <c r="D224" s="1" t="s">
        <v>471</v>
      </c>
      <c r="E224" s="1" t="s">
        <v>472</v>
      </c>
      <c r="F224" s="1" t="s">
        <v>473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">
        <v>161043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4">
        <v>24</v>
      </c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 t="s">
        <v>489</v>
      </c>
      <c r="BN224" s="1"/>
      <c r="BO224" s="1"/>
    </row>
    <row r="225" spans="1:67" x14ac:dyDescent="0.15">
      <c r="A225" s="4">
        <v>648140</v>
      </c>
      <c r="B225" s="1" t="s">
        <v>440</v>
      </c>
      <c r="C225" s="4" t="s">
        <v>262</v>
      </c>
      <c r="D225" s="1" t="s">
        <v>471</v>
      </c>
      <c r="E225" s="1" t="s">
        <v>472</v>
      </c>
      <c r="F225" s="1" t="s">
        <v>473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">
        <v>161044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4">
        <v>24</v>
      </c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 t="s">
        <v>489</v>
      </c>
      <c r="BN225" s="1"/>
      <c r="BO225" s="1"/>
    </row>
    <row r="226" spans="1:67" x14ac:dyDescent="0.15">
      <c r="A226" s="4">
        <v>648150</v>
      </c>
      <c r="B226" s="1" t="s">
        <v>440</v>
      </c>
      <c r="C226" s="4" t="s">
        <v>263</v>
      </c>
      <c r="D226" s="1" t="s">
        <v>471</v>
      </c>
      <c r="E226" s="1" t="s">
        <v>472</v>
      </c>
      <c r="F226" s="1" t="s">
        <v>473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">
        <v>161046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4">
        <v>24</v>
      </c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 t="s">
        <v>489</v>
      </c>
      <c r="BN226" s="1"/>
      <c r="BO226" s="1"/>
    </row>
    <row r="227" spans="1:67" x14ac:dyDescent="0.15">
      <c r="A227" s="4">
        <v>648160</v>
      </c>
      <c r="B227" s="1" t="s">
        <v>440</v>
      </c>
      <c r="C227" s="4" t="s">
        <v>264</v>
      </c>
      <c r="D227" s="1" t="s">
        <v>471</v>
      </c>
      <c r="E227" s="1" t="s">
        <v>472</v>
      </c>
      <c r="F227" s="1" t="s">
        <v>473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">
        <v>161047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4">
        <v>37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 t="s">
        <v>489</v>
      </c>
      <c r="BN227" s="1"/>
      <c r="BO227" s="1"/>
    </row>
    <row r="228" spans="1:67" x14ac:dyDescent="0.15">
      <c r="A228" s="4">
        <v>648170</v>
      </c>
      <c r="B228" s="1" t="s">
        <v>440</v>
      </c>
      <c r="C228" s="4" t="s">
        <v>265</v>
      </c>
      <c r="D228" s="1" t="s">
        <v>471</v>
      </c>
      <c r="E228" s="1" t="s">
        <v>472</v>
      </c>
      <c r="F228" s="1" t="s">
        <v>473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">
        <v>161049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4">
        <v>74</v>
      </c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 t="s">
        <v>489</v>
      </c>
      <c r="BN228" s="1"/>
      <c r="BO228" s="1"/>
    </row>
    <row r="229" spans="1:67" x14ac:dyDescent="0.15">
      <c r="A229" s="4">
        <v>648180</v>
      </c>
      <c r="B229" s="1" t="s">
        <v>440</v>
      </c>
      <c r="C229" s="4" t="s">
        <v>266</v>
      </c>
      <c r="D229" s="1" t="s">
        <v>471</v>
      </c>
      <c r="E229" s="1" t="s">
        <v>472</v>
      </c>
      <c r="F229" s="1" t="s">
        <v>473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">
        <v>161062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4">
        <v>90</v>
      </c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 t="s">
        <v>489</v>
      </c>
      <c r="BN229" s="1"/>
      <c r="BO229" s="1"/>
    </row>
    <row r="230" spans="1:67" x14ac:dyDescent="0.15">
      <c r="A230" s="4">
        <v>648190</v>
      </c>
      <c r="B230" s="1" t="s">
        <v>440</v>
      </c>
      <c r="C230" s="4" t="s">
        <v>267</v>
      </c>
      <c r="D230" s="1" t="s">
        <v>471</v>
      </c>
      <c r="E230" s="1" t="s">
        <v>472</v>
      </c>
      <c r="F230" s="1" t="s">
        <v>473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">
        <v>1119750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4">
        <v>4.54</v>
      </c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 t="s">
        <v>489</v>
      </c>
      <c r="BN230" s="1"/>
      <c r="BO230" s="1"/>
    </row>
    <row r="231" spans="1:67" x14ac:dyDescent="0.15">
      <c r="A231" s="4">
        <v>648200</v>
      </c>
      <c r="B231" s="1" t="s">
        <v>440</v>
      </c>
      <c r="C231" s="4" t="s">
        <v>268</v>
      </c>
      <c r="D231" s="1" t="s">
        <v>471</v>
      </c>
      <c r="E231" s="1" t="s">
        <v>472</v>
      </c>
      <c r="F231" s="1" t="s">
        <v>473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">
        <v>2807022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4">
        <v>142.86000000000001</v>
      </c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 t="s">
        <v>489</v>
      </c>
      <c r="BN231" s="1"/>
      <c r="BO231" s="1"/>
    </row>
    <row r="232" spans="1:67" x14ac:dyDescent="0.15">
      <c r="A232" s="4">
        <v>648210</v>
      </c>
      <c r="B232" s="1" t="s">
        <v>440</v>
      </c>
      <c r="C232" s="4" t="s">
        <v>269</v>
      </c>
      <c r="D232" s="1" t="s">
        <v>471</v>
      </c>
      <c r="E232" s="1" t="s">
        <v>472</v>
      </c>
      <c r="F232" s="1" t="s">
        <v>473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">
        <v>3992006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4">
        <v>9.5</v>
      </c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 t="s">
        <v>489</v>
      </c>
      <c r="BN232" s="1"/>
      <c r="BO232" s="1"/>
    </row>
    <row r="233" spans="1:67" x14ac:dyDescent="0.15">
      <c r="A233" s="4">
        <v>648220</v>
      </c>
      <c r="B233" s="1" t="s">
        <v>440</v>
      </c>
      <c r="C233" s="4" t="s">
        <v>270</v>
      </c>
      <c r="D233" s="1" t="s">
        <v>471</v>
      </c>
      <c r="E233" s="1" t="s">
        <v>472</v>
      </c>
      <c r="F233" s="1" t="s">
        <v>473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">
        <v>3992067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4">
        <v>45</v>
      </c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 t="s">
        <v>489</v>
      </c>
      <c r="BN233" s="1"/>
      <c r="BO233" s="1"/>
    </row>
    <row r="234" spans="1:67" x14ac:dyDescent="0.15">
      <c r="A234" s="4">
        <v>648230</v>
      </c>
      <c r="B234" s="1" t="s">
        <v>440</v>
      </c>
      <c r="C234" s="4" t="s">
        <v>271</v>
      </c>
      <c r="D234" s="1" t="s">
        <v>471</v>
      </c>
      <c r="E234" s="1" t="s">
        <v>472</v>
      </c>
      <c r="F234" s="1" t="s">
        <v>473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>
        <v>3992069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4">
        <v>45</v>
      </c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 t="s">
        <v>489</v>
      </c>
      <c r="BN234" s="1"/>
      <c r="BO234" s="1"/>
    </row>
    <row r="235" spans="1:67" x14ac:dyDescent="0.15">
      <c r="A235" s="4">
        <v>648240</v>
      </c>
      <c r="B235" s="1" t="s">
        <v>440</v>
      </c>
      <c r="C235" s="4" t="s">
        <v>272</v>
      </c>
      <c r="D235" s="1" t="s">
        <v>471</v>
      </c>
      <c r="E235" s="1" t="s">
        <v>472</v>
      </c>
      <c r="F235" s="1" t="s">
        <v>473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">
        <v>3994927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4">
        <v>129</v>
      </c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 t="s">
        <v>489</v>
      </c>
      <c r="BN235" s="1"/>
      <c r="BO235" s="1"/>
    </row>
    <row r="236" spans="1:67" x14ac:dyDescent="0.15">
      <c r="A236" s="4">
        <v>648250</v>
      </c>
      <c r="B236" s="1" t="s">
        <v>440</v>
      </c>
      <c r="C236" s="4" t="s">
        <v>273</v>
      </c>
      <c r="D236" s="1" t="s">
        <v>471</v>
      </c>
      <c r="E236" s="1" t="s">
        <v>472</v>
      </c>
      <c r="F236" s="1" t="s">
        <v>473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>
        <v>3994937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4">
        <v>195</v>
      </c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 t="s">
        <v>489</v>
      </c>
      <c r="BN236" s="1"/>
      <c r="BO236" s="1"/>
    </row>
    <row r="237" spans="1:67" x14ac:dyDescent="0.15">
      <c r="A237" s="4">
        <v>648260</v>
      </c>
      <c r="B237" s="1" t="s">
        <v>440</v>
      </c>
      <c r="C237" s="4" t="s">
        <v>274</v>
      </c>
      <c r="D237" s="1" t="s">
        <v>471</v>
      </c>
      <c r="E237" s="1" t="s">
        <v>472</v>
      </c>
      <c r="F237" s="1" t="s">
        <v>473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">
        <v>4426436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4">
        <v>97</v>
      </c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 t="s">
        <v>489</v>
      </c>
      <c r="BN237" s="1"/>
      <c r="BO237" s="1"/>
    </row>
    <row r="238" spans="1:67" x14ac:dyDescent="0.15">
      <c r="A238" s="4">
        <v>648270</v>
      </c>
      <c r="B238" s="1" t="s">
        <v>440</v>
      </c>
      <c r="C238" s="4" t="s">
        <v>275</v>
      </c>
      <c r="D238" s="1" t="s">
        <v>471</v>
      </c>
      <c r="E238" s="1" t="s">
        <v>472</v>
      </c>
      <c r="F238" s="1" t="s">
        <v>473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">
        <v>4444083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4">
        <v>201</v>
      </c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 t="s">
        <v>489</v>
      </c>
      <c r="BN238" s="1"/>
      <c r="BO238" s="1"/>
    </row>
    <row r="239" spans="1:67" x14ac:dyDescent="0.15">
      <c r="A239" s="4">
        <v>648280</v>
      </c>
      <c r="B239" s="1" t="s">
        <v>440</v>
      </c>
      <c r="C239" s="3" t="s">
        <v>276</v>
      </c>
      <c r="D239" s="1" t="s">
        <v>471</v>
      </c>
      <c r="E239" s="1" t="s">
        <v>472</v>
      </c>
      <c r="F239" s="1" t="s">
        <v>473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>
        <v>22293007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3">
        <v>84</v>
      </c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 t="s">
        <v>489</v>
      </c>
      <c r="BN239" s="1"/>
      <c r="BO239" s="1"/>
    </row>
    <row r="240" spans="1:67" x14ac:dyDescent="0.15">
      <c r="A240" s="4">
        <v>648290</v>
      </c>
      <c r="B240" s="1" t="s">
        <v>440</v>
      </c>
      <c r="C240" s="4" t="s">
        <v>277</v>
      </c>
      <c r="D240" s="1" t="s">
        <v>471</v>
      </c>
      <c r="E240" s="1" t="s">
        <v>472</v>
      </c>
      <c r="F240" s="1" t="s">
        <v>473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">
        <v>73274762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4">
        <v>105</v>
      </c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 t="s">
        <v>489</v>
      </c>
      <c r="BN240" s="1"/>
      <c r="BO240" s="1"/>
    </row>
    <row r="241" spans="1:67" x14ac:dyDescent="0.15">
      <c r="A241" s="4">
        <v>648300</v>
      </c>
      <c r="B241" s="1" t="s">
        <v>440</v>
      </c>
      <c r="C241" s="3" t="s">
        <v>278</v>
      </c>
      <c r="D241" s="1" t="s">
        <v>471</v>
      </c>
      <c r="E241" s="1" t="s">
        <v>472</v>
      </c>
      <c r="F241" s="1" t="s">
        <v>473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>
        <v>99291722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3">
        <v>28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 t="s">
        <v>489</v>
      </c>
      <c r="BN241" s="1"/>
      <c r="BO241" s="1"/>
    </row>
    <row r="242" spans="1:67" x14ac:dyDescent="0.15">
      <c r="A242" s="4">
        <v>648310</v>
      </c>
      <c r="B242" s="1" t="s">
        <v>440</v>
      </c>
      <c r="C242" s="4" t="s">
        <v>279</v>
      </c>
      <c r="D242" s="1" t="s">
        <v>471</v>
      </c>
      <c r="E242" s="1" t="s">
        <v>472</v>
      </c>
      <c r="F242" s="1" t="s">
        <v>473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">
        <v>99291724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4">
        <v>38</v>
      </c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 t="s">
        <v>489</v>
      </c>
      <c r="BN242" s="1"/>
      <c r="BO242" s="1"/>
    </row>
    <row r="243" spans="1:67" x14ac:dyDescent="0.15">
      <c r="A243" s="4">
        <v>648320</v>
      </c>
      <c r="B243" s="1" t="s">
        <v>440</v>
      </c>
      <c r="C243" s="4" t="s">
        <v>280</v>
      </c>
      <c r="D243" s="1" t="s">
        <v>471</v>
      </c>
      <c r="E243" s="1" t="s">
        <v>472</v>
      </c>
      <c r="F243" s="1" t="s">
        <v>473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>
        <v>696444022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4">
        <v>34</v>
      </c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 t="s">
        <v>489</v>
      </c>
      <c r="BN243" s="1"/>
      <c r="BO243" s="1"/>
    </row>
    <row r="244" spans="1:67" x14ac:dyDescent="0.15">
      <c r="A244" s="4">
        <v>708110</v>
      </c>
      <c r="B244" s="1" t="s">
        <v>440</v>
      </c>
      <c r="C244" s="4" t="s">
        <v>281</v>
      </c>
      <c r="D244" s="1" t="s">
        <v>471</v>
      </c>
      <c r="E244" s="1" t="s">
        <v>472</v>
      </c>
      <c r="F244" s="1" t="s">
        <v>473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">
        <v>58070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4">
        <v>2.44</v>
      </c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 t="s">
        <v>490</v>
      </c>
      <c r="BN244" s="1"/>
      <c r="BO244" s="1"/>
    </row>
    <row r="245" spans="1:67" x14ac:dyDescent="0.15">
      <c r="A245" s="4">
        <v>708120</v>
      </c>
      <c r="B245" s="1" t="s">
        <v>440</v>
      </c>
      <c r="C245" s="4" t="s">
        <v>282</v>
      </c>
      <c r="D245" s="1" t="s">
        <v>471</v>
      </c>
      <c r="E245" s="1" t="s">
        <v>472</v>
      </c>
      <c r="F245" s="1" t="s">
        <v>473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">
        <v>58080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4">
        <v>3.36</v>
      </c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 t="s">
        <v>490</v>
      </c>
      <c r="BN245" s="1"/>
      <c r="BO245" s="1"/>
    </row>
    <row r="246" spans="1:67" x14ac:dyDescent="0.15">
      <c r="A246" s="4">
        <v>708130</v>
      </c>
      <c r="B246" s="1" t="s">
        <v>440</v>
      </c>
      <c r="C246" s="4" t="s">
        <v>283</v>
      </c>
      <c r="D246" s="1" t="s">
        <v>471</v>
      </c>
      <c r="E246" s="1" t="s">
        <v>472</v>
      </c>
      <c r="F246" s="1" t="s">
        <v>473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>
        <v>58090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4">
        <v>4.99</v>
      </c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 t="s">
        <v>490</v>
      </c>
      <c r="BN246" s="1"/>
      <c r="BO246" s="1"/>
    </row>
    <row r="247" spans="1:67" x14ac:dyDescent="0.15">
      <c r="A247" s="4">
        <v>708140</v>
      </c>
      <c r="B247" s="1" t="s">
        <v>440</v>
      </c>
      <c r="C247" s="4" t="s">
        <v>284</v>
      </c>
      <c r="D247" s="1" t="s">
        <v>471</v>
      </c>
      <c r="E247" s="1" t="s">
        <v>472</v>
      </c>
      <c r="F247" s="1" t="s">
        <v>473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">
        <v>84001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4">
        <v>1.5</v>
      </c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 t="s">
        <v>490</v>
      </c>
      <c r="BN247" s="1"/>
      <c r="BO247" s="1"/>
    </row>
    <row r="248" spans="1:67" x14ac:dyDescent="0.15">
      <c r="A248" s="4">
        <v>708150</v>
      </c>
      <c r="B248" s="1" t="s">
        <v>440</v>
      </c>
      <c r="C248" s="4" t="s">
        <v>285</v>
      </c>
      <c r="D248" s="1" t="s">
        <v>471</v>
      </c>
      <c r="E248" s="1" t="s">
        <v>472</v>
      </c>
      <c r="F248" s="1" t="s">
        <v>473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">
        <v>156001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4">
        <v>3.7</v>
      </c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 t="s">
        <v>490</v>
      </c>
      <c r="BN248" s="1"/>
      <c r="BO248" s="1"/>
    </row>
    <row r="249" spans="1:67" x14ac:dyDescent="0.15">
      <c r="A249" s="4">
        <v>708160</v>
      </c>
      <c r="B249" s="1" t="s">
        <v>440</v>
      </c>
      <c r="C249" s="4" t="s">
        <v>286</v>
      </c>
      <c r="D249" s="1" t="s">
        <v>471</v>
      </c>
      <c r="E249" s="1" t="s">
        <v>472</v>
      </c>
      <c r="F249" s="1" t="s">
        <v>473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">
        <v>156004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4">
        <v>33.14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 t="s">
        <v>490</v>
      </c>
      <c r="BN249" s="1"/>
      <c r="BO249" s="1"/>
    </row>
    <row r="250" spans="1:67" x14ac:dyDescent="0.15">
      <c r="A250" s="4">
        <v>708170</v>
      </c>
      <c r="B250" s="1" t="s">
        <v>440</v>
      </c>
      <c r="C250" s="4" t="s">
        <v>287</v>
      </c>
      <c r="D250" s="1" t="s">
        <v>471</v>
      </c>
      <c r="E250" s="1" t="s">
        <v>472</v>
      </c>
      <c r="F250" s="1" t="s">
        <v>473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">
        <v>833001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4">
        <v>17.600000000000001</v>
      </c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 t="s">
        <v>490</v>
      </c>
      <c r="BN250" s="1"/>
      <c r="BO250" s="1"/>
    </row>
    <row r="251" spans="1:67" x14ac:dyDescent="0.15">
      <c r="A251" s="4">
        <v>708180</v>
      </c>
      <c r="B251" s="1" t="s">
        <v>440</v>
      </c>
      <c r="C251" s="4" t="s">
        <v>288</v>
      </c>
      <c r="D251" s="1" t="s">
        <v>471</v>
      </c>
      <c r="E251" s="1" t="s">
        <v>472</v>
      </c>
      <c r="F251" s="1" t="s">
        <v>473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>
        <v>1050020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4">
        <v>3.4</v>
      </c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 t="s">
        <v>490</v>
      </c>
      <c r="BN251" s="1"/>
      <c r="BO251" s="1"/>
    </row>
    <row r="252" spans="1:67" x14ac:dyDescent="0.15">
      <c r="A252" s="4">
        <v>708190</v>
      </c>
      <c r="B252" s="1" t="s">
        <v>440</v>
      </c>
      <c r="C252" s="4" t="s">
        <v>289</v>
      </c>
      <c r="D252" s="1" t="s">
        <v>471</v>
      </c>
      <c r="E252" s="1" t="s">
        <v>472</v>
      </c>
      <c r="F252" s="1" t="s">
        <v>473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">
        <v>1520051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4">
        <v>7</v>
      </c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 t="s">
        <v>490</v>
      </c>
      <c r="BN252" s="1"/>
      <c r="BO252" s="1"/>
    </row>
    <row r="253" spans="1:67" x14ac:dyDescent="0.15">
      <c r="A253" s="4">
        <v>708200</v>
      </c>
      <c r="B253" s="1" t="s">
        <v>440</v>
      </c>
      <c r="C253" s="4" t="s">
        <v>290</v>
      </c>
      <c r="D253" s="1" t="s">
        <v>471</v>
      </c>
      <c r="E253" s="1" t="s">
        <v>472</v>
      </c>
      <c r="F253" s="1" t="s">
        <v>473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">
        <v>2500281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4">
        <v>4.7</v>
      </c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 t="s">
        <v>490</v>
      </c>
      <c r="BN253" s="1"/>
      <c r="BO253" s="1"/>
    </row>
    <row r="254" spans="1:67" x14ac:dyDescent="0.15">
      <c r="A254" s="4">
        <v>708210</v>
      </c>
      <c r="B254" s="1" t="s">
        <v>440</v>
      </c>
      <c r="C254" s="4" t="s">
        <v>291</v>
      </c>
      <c r="D254" s="1" t="s">
        <v>471</v>
      </c>
      <c r="E254" s="1" t="s">
        <v>472</v>
      </c>
      <c r="F254" s="1" t="s">
        <v>473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>
        <v>3920220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4">
        <v>4.5999999999999996</v>
      </c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 t="s">
        <v>490</v>
      </c>
      <c r="BN254" s="1"/>
      <c r="BO254" s="1"/>
    </row>
    <row r="255" spans="1:67" x14ac:dyDescent="0.15">
      <c r="A255" s="4">
        <v>708220</v>
      </c>
      <c r="B255" s="1" t="s">
        <v>440</v>
      </c>
      <c r="C255" s="4" t="s">
        <v>292</v>
      </c>
      <c r="D255" s="1" t="s">
        <v>471</v>
      </c>
      <c r="E255" s="1" t="s">
        <v>472</v>
      </c>
      <c r="F255" s="1" t="s">
        <v>473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">
        <v>3920504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4">
        <v>55</v>
      </c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 t="s">
        <v>490</v>
      </c>
      <c r="BN255" s="1"/>
      <c r="BO255" s="1"/>
    </row>
    <row r="256" spans="1:67" x14ac:dyDescent="0.15">
      <c r="A256" s="4">
        <v>708230</v>
      </c>
      <c r="B256" s="1" t="s">
        <v>440</v>
      </c>
      <c r="C256" s="4" t="s">
        <v>293</v>
      </c>
      <c r="D256" s="1" t="s">
        <v>471</v>
      </c>
      <c r="E256" s="1" t="s">
        <v>472</v>
      </c>
      <c r="F256" s="1" t="s">
        <v>473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">
        <v>3922451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4">
        <v>49.83</v>
      </c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 t="s">
        <v>490</v>
      </c>
      <c r="BN256" s="1"/>
      <c r="BO256" s="1"/>
    </row>
    <row r="257" spans="1:67" x14ac:dyDescent="0.15">
      <c r="A257" s="4">
        <v>708240</v>
      </c>
      <c r="B257" s="1" t="s">
        <v>440</v>
      </c>
      <c r="C257" s="4" t="s">
        <v>294</v>
      </c>
      <c r="D257" s="1" t="s">
        <v>471</v>
      </c>
      <c r="E257" s="1" t="s">
        <v>472</v>
      </c>
      <c r="F257" s="1" t="s">
        <v>473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">
        <v>3922461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4">
        <v>86</v>
      </c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 t="s">
        <v>490</v>
      </c>
      <c r="BN257" s="1"/>
      <c r="BO257" s="1"/>
    </row>
    <row r="258" spans="1:67" x14ac:dyDescent="0.15">
      <c r="A258" s="4">
        <v>708250</v>
      </c>
      <c r="B258" s="1" t="s">
        <v>440</v>
      </c>
      <c r="C258" s="4" t="s">
        <v>295</v>
      </c>
      <c r="D258" s="1" t="s">
        <v>471</v>
      </c>
      <c r="E258" s="1" t="s">
        <v>472</v>
      </c>
      <c r="F258" s="1" t="s">
        <v>473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">
        <v>3924262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4">
        <v>7.4</v>
      </c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 t="s">
        <v>490</v>
      </c>
      <c r="BN258" s="1"/>
      <c r="BO258" s="1"/>
    </row>
    <row r="259" spans="1:67" x14ac:dyDescent="0.15">
      <c r="A259" s="4">
        <v>708260</v>
      </c>
      <c r="B259" s="1" t="s">
        <v>440</v>
      </c>
      <c r="C259" s="4" t="s">
        <v>296</v>
      </c>
      <c r="D259" s="1" t="s">
        <v>471</v>
      </c>
      <c r="E259" s="1" t="s">
        <v>472</v>
      </c>
      <c r="F259" s="1" t="s">
        <v>473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">
        <v>4427826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4">
        <v>260</v>
      </c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 t="s">
        <v>490</v>
      </c>
      <c r="BN259" s="1"/>
      <c r="BO259" s="1"/>
    </row>
    <row r="260" spans="1:67" x14ac:dyDescent="0.15">
      <c r="A260" s="4">
        <v>708270</v>
      </c>
      <c r="B260" s="1" t="s">
        <v>440</v>
      </c>
      <c r="C260" s="4" t="s">
        <v>297</v>
      </c>
      <c r="D260" s="1" t="s">
        <v>471</v>
      </c>
      <c r="E260" s="1" t="s">
        <v>472</v>
      </c>
      <c r="F260" s="1" t="s">
        <v>473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">
        <v>4610401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4">
        <v>17.28</v>
      </c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 t="s">
        <v>490</v>
      </c>
      <c r="BN260" s="1"/>
      <c r="BO260" s="1"/>
    </row>
    <row r="261" spans="1:67" x14ac:dyDescent="0.15">
      <c r="A261" s="4">
        <v>708280</v>
      </c>
      <c r="B261" s="1" t="s">
        <v>440</v>
      </c>
      <c r="C261" s="4" t="s">
        <v>298</v>
      </c>
      <c r="D261" s="1" t="s">
        <v>471</v>
      </c>
      <c r="E261" s="1" t="s">
        <v>472</v>
      </c>
      <c r="F261" s="1" t="s">
        <v>473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">
        <v>4610406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4">
        <v>24.69</v>
      </c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 t="s">
        <v>490</v>
      </c>
      <c r="BN261" s="1"/>
      <c r="BO261" s="1"/>
    </row>
    <row r="262" spans="1:67" x14ac:dyDescent="0.15">
      <c r="A262" s="4">
        <v>708290</v>
      </c>
      <c r="B262" s="1" t="s">
        <v>440</v>
      </c>
      <c r="C262" s="3" t="s">
        <v>299</v>
      </c>
      <c r="D262" s="1" t="s">
        <v>471</v>
      </c>
      <c r="E262" s="1" t="s">
        <v>472</v>
      </c>
      <c r="F262" s="1" t="s">
        <v>473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>
        <v>4610425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3">
        <v>13.89</v>
      </c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 t="s">
        <v>490</v>
      </c>
      <c r="BN262" s="1"/>
      <c r="BO262" s="1"/>
    </row>
    <row r="263" spans="1:67" x14ac:dyDescent="0.15">
      <c r="A263" s="4">
        <v>708300</v>
      </c>
      <c r="B263" s="1" t="s">
        <v>440</v>
      </c>
      <c r="C263" s="4" t="s">
        <v>300</v>
      </c>
      <c r="D263" s="1" t="s">
        <v>471</v>
      </c>
      <c r="E263" s="1" t="s">
        <v>472</v>
      </c>
      <c r="F263" s="1" t="s">
        <v>473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">
        <v>4610430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4">
        <v>23.14</v>
      </c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 t="s">
        <v>490</v>
      </c>
      <c r="BN263" s="1"/>
      <c r="BO263" s="1"/>
    </row>
    <row r="264" spans="1:67" x14ac:dyDescent="0.15">
      <c r="A264" s="4">
        <v>708310</v>
      </c>
      <c r="B264" s="1" t="s">
        <v>440</v>
      </c>
      <c r="C264" s="4" t="s">
        <v>301</v>
      </c>
      <c r="D264" s="1" t="s">
        <v>471</v>
      </c>
      <c r="E264" s="1" t="s">
        <v>472</v>
      </c>
      <c r="F264" s="1" t="s">
        <v>473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">
        <v>6605004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4">
        <v>83</v>
      </c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 t="s">
        <v>490</v>
      </c>
      <c r="BN264" s="1"/>
      <c r="BO264" s="1"/>
    </row>
    <row r="265" spans="1:67" x14ac:dyDescent="0.15">
      <c r="A265" s="4">
        <v>708320</v>
      </c>
      <c r="B265" s="1" t="s">
        <v>440</v>
      </c>
      <c r="C265" s="4" t="s">
        <v>302</v>
      </c>
      <c r="D265" s="1" t="s">
        <v>471</v>
      </c>
      <c r="E265" s="1" t="s">
        <v>472</v>
      </c>
      <c r="F265" s="1" t="s">
        <v>473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">
        <v>15240067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4">
        <v>5.17</v>
      </c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 t="s">
        <v>490</v>
      </c>
      <c r="BN265" s="1"/>
      <c r="BO265" s="1"/>
    </row>
    <row r="266" spans="1:67" x14ac:dyDescent="0.15">
      <c r="A266" s="4">
        <v>708330</v>
      </c>
      <c r="B266" s="1" t="s">
        <v>440</v>
      </c>
      <c r="C266" s="4" t="s">
        <v>303</v>
      </c>
      <c r="D266" s="1" t="s">
        <v>471</v>
      </c>
      <c r="E266" s="1" t="s">
        <v>472</v>
      </c>
      <c r="F266" s="1" t="s">
        <v>473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">
        <v>99070001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4">
        <v>23</v>
      </c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 t="s">
        <v>490</v>
      </c>
      <c r="BN266" s="1"/>
      <c r="BO266" s="1"/>
    </row>
    <row r="267" spans="1:67" x14ac:dyDescent="0.15">
      <c r="A267" s="4">
        <v>708340</v>
      </c>
      <c r="B267" s="1" t="s">
        <v>440</v>
      </c>
      <c r="C267" s="4" t="s">
        <v>304</v>
      </c>
      <c r="D267" s="1" t="s">
        <v>471</v>
      </c>
      <c r="E267" s="1" t="s">
        <v>472</v>
      </c>
      <c r="F267" s="1" t="s">
        <v>473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">
        <v>99070010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4">
        <v>342.86</v>
      </c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 t="s">
        <v>490</v>
      </c>
      <c r="BN267" s="1"/>
      <c r="BO267" s="1"/>
    </row>
    <row r="268" spans="1:67" x14ac:dyDescent="0.15">
      <c r="A268" s="4">
        <v>708350</v>
      </c>
      <c r="B268" s="1" t="s">
        <v>440</v>
      </c>
      <c r="C268" s="3" t="s">
        <v>305</v>
      </c>
      <c r="D268" s="1" t="s">
        <v>471</v>
      </c>
      <c r="E268" s="1" t="s">
        <v>472</v>
      </c>
      <c r="F268" s="1" t="s">
        <v>473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>
        <v>99080056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3">
        <v>4.5</v>
      </c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 t="s">
        <v>490</v>
      </c>
      <c r="BN268" s="1"/>
      <c r="BO268" s="1"/>
    </row>
    <row r="269" spans="1:67" x14ac:dyDescent="0.15">
      <c r="A269" s="4">
        <v>708360</v>
      </c>
      <c r="B269" s="1" t="s">
        <v>440</v>
      </c>
      <c r="C269" s="4" t="s">
        <v>306</v>
      </c>
      <c r="D269" s="1" t="s">
        <v>471</v>
      </c>
      <c r="E269" s="1" t="s">
        <v>472</v>
      </c>
      <c r="F269" s="1" t="s">
        <v>473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">
        <v>99451001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4">
        <v>74</v>
      </c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 t="s">
        <v>490</v>
      </c>
      <c r="BN269" s="1"/>
      <c r="BO269" s="1"/>
    </row>
    <row r="270" spans="1:67" x14ac:dyDescent="0.15">
      <c r="A270" s="4">
        <v>708370</v>
      </c>
      <c r="B270" s="1" t="s">
        <v>440</v>
      </c>
      <c r="C270" s="4" t="s">
        <v>307</v>
      </c>
      <c r="D270" s="1" t="s">
        <v>471</v>
      </c>
      <c r="E270" s="1" t="s">
        <v>472</v>
      </c>
      <c r="F270" s="1" t="s">
        <v>473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">
        <v>99761700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4">
        <v>11.5</v>
      </c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 t="s">
        <v>490</v>
      </c>
      <c r="BN270" s="1"/>
      <c r="BO270" s="1"/>
    </row>
    <row r="271" spans="1:67" x14ac:dyDescent="0.15">
      <c r="A271" s="4">
        <v>708380</v>
      </c>
      <c r="B271" s="1" t="s">
        <v>440</v>
      </c>
      <c r="C271" s="4" t="s">
        <v>308</v>
      </c>
      <c r="D271" s="1" t="s">
        <v>471</v>
      </c>
      <c r="E271" s="1" t="s">
        <v>472</v>
      </c>
      <c r="F271" s="1" t="s">
        <v>473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">
        <v>99890004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4">
        <v>29.5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 t="s">
        <v>490</v>
      </c>
      <c r="BN271" s="1"/>
      <c r="BO271" s="1"/>
    </row>
    <row r="272" spans="1:67" x14ac:dyDescent="0.15">
      <c r="A272" s="4">
        <v>708390</v>
      </c>
      <c r="B272" s="1" t="s">
        <v>440</v>
      </c>
      <c r="C272" s="4" t="s">
        <v>309</v>
      </c>
      <c r="D272" s="1" t="s">
        <v>471</v>
      </c>
      <c r="E272" s="1" t="s">
        <v>472</v>
      </c>
      <c r="F272" s="1" t="s">
        <v>473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>
        <v>99890008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4">
        <v>34</v>
      </c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 t="s">
        <v>490</v>
      </c>
      <c r="BN272" s="1"/>
      <c r="BO272" s="1"/>
    </row>
    <row r="273" spans="1:67" x14ac:dyDescent="0.15">
      <c r="A273" s="4">
        <v>708400</v>
      </c>
      <c r="B273" s="1" t="s">
        <v>440</v>
      </c>
      <c r="C273" s="4" t="s">
        <v>310</v>
      </c>
      <c r="D273" s="1" t="s">
        <v>471</v>
      </c>
      <c r="E273" s="1" t="s">
        <v>472</v>
      </c>
      <c r="F273" s="1" t="s">
        <v>473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>
        <v>99890118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4">
        <v>3.9</v>
      </c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 t="s">
        <v>490</v>
      </c>
      <c r="BN273" s="1"/>
      <c r="BO273" s="1"/>
    </row>
    <row r="274" spans="1:67" x14ac:dyDescent="0.15">
      <c r="A274" s="4">
        <v>708410</v>
      </c>
      <c r="B274" s="1" t="s">
        <v>440</v>
      </c>
      <c r="C274" s="4" t="s">
        <v>311</v>
      </c>
      <c r="D274" s="1" t="s">
        <v>471</v>
      </c>
      <c r="E274" s="1" t="s">
        <v>472</v>
      </c>
      <c r="F274" s="1" t="s">
        <v>473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">
        <v>99890120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4">
        <v>16</v>
      </c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 t="s">
        <v>490</v>
      </c>
      <c r="BN274" s="1"/>
      <c r="BO274" s="1"/>
    </row>
    <row r="275" spans="1:67" x14ac:dyDescent="0.15">
      <c r="A275" s="4">
        <v>708420</v>
      </c>
      <c r="B275" s="1" t="s">
        <v>440</v>
      </c>
      <c r="C275" s="4" t="s">
        <v>312</v>
      </c>
      <c r="D275" s="1" t="s">
        <v>471</v>
      </c>
      <c r="E275" s="1" t="s">
        <v>472</v>
      </c>
      <c r="F275" s="1" t="s">
        <v>473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">
        <v>99890130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4">
        <v>19.45</v>
      </c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 t="s">
        <v>490</v>
      </c>
      <c r="BN275" s="1"/>
      <c r="BO275" s="1"/>
    </row>
    <row r="276" spans="1:67" x14ac:dyDescent="0.15">
      <c r="A276" s="4">
        <v>708430</v>
      </c>
      <c r="B276" s="1" t="s">
        <v>440</v>
      </c>
      <c r="C276" s="4" t="s">
        <v>313</v>
      </c>
      <c r="D276" s="1" t="s">
        <v>471</v>
      </c>
      <c r="E276" s="1" t="s">
        <v>472</v>
      </c>
      <c r="F276" s="1" t="s">
        <v>473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">
        <v>695220102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4">
        <v>17.8</v>
      </c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 t="s">
        <v>490</v>
      </c>
      <c r="BN276" s="1"/>
      <c r="BO276" s="1"/>
    </row>
    <row r="277" spans="1:67" x14ac:dyDescent="0.15">
      <c r="A277" s="4">
        <v>708440</v>
      </c>
      <c r="B277" s="1" t="s">
        <v>440</v>
      </c>
      <c r="C277" s="4" t="s">
        <v>314</v>
      </c>
      <c r="D277" s="1" t="s">
        <v>471</v>
      </c>
      <c r="E277" s="1" t="s">
        <v>472</v>
      </c>
      <c r="F277" s="1" t="s">
        <v>473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">
        <v>695220501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4">
        <v>14.4</v>
      </c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 t="s">
        <v>490</v>
      </c>
      <c r="BN277" s="1"/>
      <c r="BO277" s="1"/>
    </row>
    <row r="278" spans="1:67" x14ac:dyDescent="0.15">
      <c r="A278" s="4">
        <v>708450</v>
      </c>
      <c r="B278" s="1" t="s">
        <v>440</v>
      </c>
      <c r="C278" s="4" t="s">
        <v>315</v>
      </c>
      <c r="D278" s="1" t="s">
        <v>471</v>
      </c>
      <c r="E278" s="1" t="s">
        <v>472</v>
      </c>
      <c r="F278" s="1" t="s">
        <v>473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">
        <v>695220521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4">
        <v>4.4000000000000004</v>
      </c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 t="s">
        <v>490</v>
      </c>
      <c r="BN278" s="1"/>
      <c r="BO278" s="1"/>
    </row>
    <row r="279" spans="1:67" x14ac:dyDescent="0.15">
      <c r="A279" s="4">
        <v>708460</v>
      </c>
      <c r="B279" s="1" t="s">
        <v>440</v>
      </c>
      <c r="C279" s="4" t="s">
        <v>316</v>
      </c>
      <c r="D279" s="1" t="s">
        <v>471</v>
      </c>
      <c r="E279" s="1" t="s">
        <v>472</v>
      </c>
      <c r="F279" s="1" t="s">
        <v>473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">
        <v>695220611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4">
        <v>9.1999999999999993</v>
      </c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 t="s">
        <v>490</v>
      </c>
      <c r="BN279" s="1"/>
      <c r="BO279" s="1"/>
    </row>
    <row r="280" spans="1:67" x14ac:dyDescent="0.15">
      <c r="A280" s="4">
        <v>708470</v>
      </c>
      <c r="B280" s="1" t="s">
        <v>440</v>
      </c>
      <c r="C280" s="4" t="s">
        <v>317</v>
      </c>
      <c r="D280" s="1" t="s">
        <v>471</v>
      </c>
      <c r="E280" s="1" t="s">
        <v>472</v>
      </c>
      <c r="F280" s="1" t="s">
        <v>473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">
        <v>695220621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4">
        <v>19.100000000000001</v>
      </c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 t="s">
        <v>490</v>
      </c>
      <c r="BN280" s="1"/>
      <c r="BO280" s="1"/>
    </row>
    <row r="281" spans="1:67" x14ac:dyDescent="0.15">
      <c r="A281" s="4">
        <v>708480</v>
      </c>
      <c r="B281" s="1" t="s">
        <v>440</v>
      </c>
      <c r="C281" s="4" t="s">
        <v>318</v>
      </c>
      <c r="D281" s="1" t="s">
        <v>471</v>
      </c>
      <c r="E281" s="1" t="s">
        <v>472</v>
      </c>
      <c r="F281" s="1" t="s">
        <v>473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">
        <v>695260006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4">
        <v>47</v>
      </c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 t="s">
        <v>490</v>
      </c>
      <c r="BN281" s="1"/>
      <c r="BO281" s="1"/>
    </row>
    <row r="282" spans="1:67" x14ac:dyDescent="0.15">
      <c r="A282" s="4">
        <v>708490</v>
      </c>
      <c r="B282" s="1" t="s">
        <v>440</v>
      </c>
      <c r="C282" s="4" t="s">
        <v>319</v>
      </c>
      <c r="D282" s="1" t="s">
        <v>471</v>
      </c>
      <c r="E282" s="1" t="s">
        <v>472</v>
      </c>
      <c r="F282" s="1" t="s">
        <v>473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">
        <v>695269001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4">
        <v>26.2</v>
      </c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 t="s">
        <v>490</v>
      </c>
      <c r="BN282" s="1"/>
      <c r="BO282" s="1"/>
    </row>
    <row r="283" spans="1:67" x14ac:dyDescent="0.15">
      <c r="A283" s="4">
        <v>708500</v>
      </c>
      <c r="B283" s="1" t="s">
        <v>440</v>
      </c>
      <c r="C283" s="4" t="s">
        <v>320</v>
      </c>
      <c r="D283" s="1" t="s">
        <v>471</v>
      </c>
      <c r="E283" s="1" t="s">
        <v>472</v>
      </c>
      <c r="F283" s="1" t="s">
        <v>473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">
        <v>695269008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4">
        <v>5.4</v>
      </c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 t="s">
        <v>490</v>
      </c>
      <c r="BN283" s="1"/>
      <c r="BO283" s="1"/>
    </row>
    <row r="284" spans="1:67" x14ac:dyDescent="0.15">
      <c r="A284" s="4">
        <v>708510</v>
      </c>
      <c r="B284" s="1" t="s">
        <v>440</v>
      </c>
      <c r="C284" s="4" t="s">
        <v>321</v>
      </c>
      <c r="D284" s="1" t="s">
        <v>471</v>
      </c>
      <c r="E284" s="1" t="s">
        <v>472</v>
      </c>
      <c r="F284" s="1" t="s">
        <v>473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">
        <v>695269009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4">
        <v>54</v>
      </c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 t="s">
        <v>490</v>
      </c>
      <c r="BN284" s="1"/>
      <c r="BO284" s="1"/>
    </row>
    <row r="285" spans="1:67" x14ac:dyDescent="0.15">
      <c r="A285" s="4">
        <v>708520</v>
      </c>
      <c r="B285" s="1" t="s">
        <v>440</v>
      </c>
      <c r="C285" s="4" t="s">
        <v>322</v>
      </c>
      <c r="D285" s="1" t="s">
        <v>471</v>
      </c>
      <c r="E285" s="1" t="s">
        <v>472</v>
      </c>
      <c r="F285" s="1" t="s">
        <v>473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">
        <v>695269012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4">
        <v>30.9</v>
      </c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 t="s">
        <v>490</v>
      </c>
      <c r="BN285" s="1"/>
      <c r="BO285" s="1"/>
    </row>
    <row r="286" spans="1:67" x14ac:dyDescent="0.15">
      <c r="A286" s="4">
        <v>708530</v>
      </c>
      <c r="B286" s="1" t="s">
        <v>440</v>
      </c>
      <c r="C286" s="4" t="s">
        <v>323</v>
      </c>
      <c r="D286" s="1" t="s">
        <v>471</v>
      </c>
      <c r="E286" s="1" t="s">
        <v>472</v>
      </c>
      <c r="F286" s="1" t="s">
        <v>473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">
        <v>695270008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4">
        <v>54</v>
      </c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 t="s">
        <v>490</v>
      </c>
      <c r="BN286" s="1"/>
      <c r="BO286" s="1"/>
    </row>
    <row r="287" spans="1:67" x14ac:dyDescent="0.15">
      <c r="A287" s="4">
        <v>708540</v>
      </c>
      <c r="B287" s="1" t="s">
        <v>440</v>
      </c>
      <c r="C287" s="4" t="s">
        <v>324</v>
      </c>
      <c r="D287" s="1" t="s">
        <v>471</v>
      </c>
      <c r="E287" s="1" t="s">
        <v>472</v>
      </c>
      <c r="F287" s="1" t="s">
        <v>473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">
        <v>990700022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4">
        <v>41</v>
      </c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 t="s">
        <v>490</v>
      </c>
      <c r="BN287" s="1"/>
      <c r="BO287" s="1"/>
    </row>
    <row r="288" spans="1:67" x14ac:dyDescent="0.15">
      <c r="A288" s="4">
        <v>708550</v>
      </c>
      <c r="B288" s="1" t="s">
        <v>440</v>
      </c>
      <c r="C288" s="4" t="s">
        <v>325</v>
      </c>
      <c r="D288" s="1" t="s">
        <v>471</v>
      </c>
      <c r="E288" s="1" t="s">
        <v>472</v>
      </c>
      <c r="F288" s="1" t="s">
        <v>473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">
        <v>998900030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4">
        <v>11.5</v>
      </c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 t="s">
        <v>490</v>
      </c>
      <c r="BN288" s="1"/>
      <c r="BO288" s="1"/>
    </row>
    <row r="289" spans="1:67" x14ac:dyDescent="0.15">
      <c r="A289" s="4">
        <v>708560</v>
      </c>
      <c r="B289" s="1" t="s">
        <v>440</v>
      </c>
      <c r="C289" s="4" t="s">
        <v>326</v>
      </c>
      <c r="D289" s="1" t="s">
        <v>471</v>
      </c>
      <c r="E289" s="1" t="s">
        <v>472</v>
      </c>
      <c r="F289" s="1" t="s">
        <v>473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>
        <v>998900050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4">
        <v>14.9</v>
      </c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 t="s">
        <v>490</v>
      </c>
      <c r="BN289" s="1"/>
      <c r="BO289" s="1"/>
    </row>
    <row r="290" spans="1:67" x14ac:dyDescent="0.15">
      <c r="A290" s="4">
        <v>708570</v>
      </c>
      <c r="B290" s="1" t="s">
        <v>440</v>
      </c>
      <c r="C290" s="4" t="s">
        <v>327</v>
      </c>
      <c r="D290" s="1" t="s">
        <v>471</v>
      </c>
      <c r="E290" s="1" t="s">
        <v>472</v>
      </c>
      <c r="F290" s="1" t="s">
        <v>473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">
        <v>998900060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4">
        <v>49</v>
      </c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 t="s">
        <v>490</v>
      </c>
      <c r="BN290" s="1"/>
      <c r="BO290" s="1"/>
    </row>
    <row r="291" spans="1:67" x14ac:dyDescent="0.15">
      <c r="A291" s="4">
        <v>708580</v>
      </c>
      <c r="B291" s="1" t="s">
        <v>440</v>
      </c>
      <c r="C291" s="3" t="s">
        <v>328</v>
      </c>
      <c r="D291" s="1" t="s">
        <v>471</v>
      </c>
      <c r="E291" s="1" t="s">
        <v>472</v>
      </c>
      <c r="F291" s="1" t="s">
        <v>473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>
        <v>21048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3">
        <v>12</v>
      </c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 t="s">
        <v>491</v>
      </c>
      <c r="BN291" s="1"/>
      <c r="BO291" s="1"/>
    </row>
    <row r="292" spans="1:67" x14ac:dyDescent="0.15">
      <c r="A292" s="4">
        <v>798110</v>
      </c>
      <c r="B292" s="1" t="s">
        <v>440</v>
      </c>
      <c r="C292" s="3" t="s">
        <v>329</v>
      </c>
      <c r="D292" s="1" t="s">
        <v>471</v>
      </c>
      <c r="E292" s="1" t="s">
        <v>472</v>
      </c>
      <c r="F292" s="1" t="s">
        <v>473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>
        <v>1107408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3">
        <v>7.57</v>
      </c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 t="s">
        <v>491</v>
      </c>
      <c r="BN292" s="1"/>
      <c r="BO292" s="1"/>
    </row>
    <row r="293" spans="1:67" x14ac:dyDescent="0.15">
      <c r="A293" s="4">
        <v>798120</v>
      </c>
      <c r="B293" s="1" t="s">
        <v>440</v>
      </c>
      <c r="C293" s="3" t="s">
        <v>330</v>
      </c>
      <c r="D293" s="1" t="s">
        <v>471</v>
      </c>
      <c r="E293" s="1" t="s">
        <v>472</v>
      </c>
      <c r="F293" s="1" t="s">
        <v>473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>
        <v>1107409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3">
        <v>7.57</v>
      </c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 t="s">
        <v>491</v>
      </c>
      <c r="BN293" s="1"/>
      <c r="BO293" s="1"/>
    </row>
    <row r="294" spans="1:67" x14ac:dyDescent="0.15">
      <c r="A294" s="4">
        <v>798130</v>
      </c>
      <c r="B294" s="1" t="s">
        <v>440</v>
      </c>
      <c r="C294" s="4" t="s">
        <v>331</v>
      </c>
      <c r="D294" s="1" t="s">
        <v>471</v>
      </c>
      <c r="E294" s="1" t="s">
        <v>472</v>
      </c>
      <c r="F294" s="1" t="s">
        <v>473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">
        <v>8014292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4">
        <v>2</v>
      </c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 t="s">
        <v>491</v>
      </c>
      <c r="BN294" s="1"/>
      <c r="BO294" s="1"/>
    </row>
    <row r="295" spans="1:67" x14ac:dyDescent="0.15">
      <c r="A295" s="4">
        <v>798140</v>
      </c>
      <c r="B295" s="1" t="s">
        <v>440</v>
      </c>
      <c r="C295" s="4" t="s">
        <v>332</v>
      </c>
      <c r="D295" s="1" t="s">
        <v>471</v>
      </c>
      <c r="E295" s="1" t="s">
        <v>472</v>
      </c>
      <c r="F295" s="1" t="s">
        <v>473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">
        <v>9956596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4">
        <v>49.28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 t="s">
        <v>491</v>
      </c>
      <c r="BN295" s="1"/>
      <c r="BO295" s="1"/>
    </row>
    <row r="296" spans="1:67" x14ac:dyDescent="0.15">
      <c r="A296" s="4">
        <v>798150</v>
      </c>
      <c r="B296" s="1" t="s">
        <v>440</v>
      </c>
      <c r="C296" s="4" t="s">
        <v>333</v>
      </c>
      <c r="D296" s="1" t="s">
        <v>471</v>
      </c>
      <c r="E296" s="1" t="s">
        <v>472</v>
      </c>
      <c r="F296" s="1" t="s">
        <v>473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">
        <v>80145049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4">
        <v>2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 t="s">
        <v>491</v>
      </c>
      <c r="BN296" s="1"/>
      <c r="BO296" s="1"/>
    </row>
    <row r="297" spans="1:67" x14ac:dyDescent="0.15">
      <c r="A297" s="4">
        <v>798160</v>
      </c>
      <c r="B297" s="1" t="s">
        <v>439</v>
      </c>
      <c r="C297" s="4" t="s">
        <v>334</v>
      </c>
      <c r="D297" s="1" t="s">
        <v>471</v>
      </c>
      <c r="E297" s="1" t="s">
        <v>472</v>
      </c>
      <c r="F297" s="1" t="s">
        <v>473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">
        <v>99521001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4">
        <v>33</v>
      </c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 t="s">
        <v>491</v>
      </c>
      <c r="BN297" s="1"/>
      <c r="BO297" s="1"/>
    </row>
    <row r="298" spans="1:67" x14ac:dyDescent="0.15">
      <c r="A298" s="4">
        <v>798170</v>
      </c>
      <c r="B298" s="1" t="s">
        <v>439</v>
      </c>
      <c r="C298" s="4" t="s">
        <v>335</v>
      </c>
      <c r="D298" s="1" t="s">
        <v>471</v>
      </c>
      <c r="E298" s="1" t="s">
        <v>472</v>
      </c>
      <c r="F298" s="1" t="s">
        <v>473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">
        <v>99521003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4">
        <v>169</v>
      </c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 t="s">
        <v>491</v>
      </c>
      <c r="BN298" s="1"/>
      <c r="BO298" s="1"/>
    </row>
    <row r="299" spans="1:67" x14ac:dyDescent="0.15">
      <c r="A299" s="4">
        <v>798180</v>
      </c>
      <c r="B299" s="1" t="s">
        <v>440</v>
      </c>
      <c r="C299" s="3" t="s">
        <v>336</v>
      </c>
      <c r="D299" s="1" t="s">
        <v>471</v>
      </c>
      <c r="E299" s="1" t="s">
        <v>472</v>
      </c>
      <c r="F299" s="1" t="s">
        <v>473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>
        <v>99565212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3">
        <v>11.14</v>
      </c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 t="s">
        <v>491</v>
      </c>
      <c r="BN299" s="1"/>
      <c r="BO299" s="1"/>
    </row>
    <row r="300" spans="1:67" x14ac:dyDescent="0.15">
      <c r="A300" s="4">
        <v>798190</v>
      </c>
      <c r="B300" s="1" t="s">
        <v>440</v>
      </c>
      <c r="C300" s="3" t="s">
        <v>337</v>
      </c>
      <c r="D300" s="1" t="s">
        <v>471</v>
      </c>
      <c r="E300" s="1" t="s">
        <v>472</v>
      </c>
      <c r="F300" s="1" t="s">
        <v>473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>
        <v>99565213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3">
        <v>11.14</v>
      </c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 t="s">
        <v>491</v>
      </c>
      <c r="BN300" s="1"/>
      <c r="BO300" s="1"/>
    </row>
    <row r="301" spans="1:67" x14ac:dyDescent="0.15">
      <c r="A301" s="4">
        <v>798200</v>
      </c>
      <c r="B301" s="1" t="s">
        <v>440</v>
      </c>
      <c r="C301" s="4" t="s">
        <v>469</v>
      </c>
      <c r="D301" s="1" t="s">
        <v>471</v>
      </c>
      <c r="E301" s="1" t="s">
        <v>472</v>
      </c>
      <c r="F301" s="1" t="s">
        <v>473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">
        <v>99565763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4">
        <v>10.29</v>
      </c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 t="s">
        <v>491</v>
      </c>
      <c r="BN301" s="1"/>
      <c r="BO301" s="1"/>
    </row>
    <row r="302" spans="1:67" x14ac:dyDescent="0.15">
      <c r="A302" s="4">
        <v>798210</v>
      </c>
      <c r="B302" s="1" t="s">
        <v>440</v>
      </c>
      <c r="C302" s="4" t="s">
        <v>338</v>
      </c>
      <c r="D302" s="1" t="s">
        <v>471</v>
      </c>
      <c r="E302" s="1" t="s">
        <v>472</v>
      </c>
      <c r="F302" s="1" t="s">
        <v>473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">
        <v>99850038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4">
        <v>29.5</v>
      </c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 t="s">
        <v>491</v>
      </c>
      <c r="BN302" s="1"/>
      <c r="BO302" s="1"/>
    </row>
    <row r="303" spans="1:67" x14ac:dyDescent="0.15">
      <c r="A303" s="4">
        <v>798220</v>
      </c>
      <c r="B303" s="1" t="s">
        <v>440</v>
      </c>
      <c r="C303" s="4" t="s">
        <v>339</v>
      </c>
      <c r="D303" s="1" t="s">
        <v>471</v>
      </c>
      <c r="E303" s="1" t="s">
        <v>472</v>
      </c>
      <c r="F303" s="1" t="s">
        <v>473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">
        <v>990800550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4">
        <v>3.9</v>
      </c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 t="s">
        <v>491</v>
      </c>
      <c r="BN303" s="1"/>
      <c r="BO303" s="1"/>
    </row>
    <row r="304" spans="1:67" x14ac:dyDescent="0.15">
      <c r="A304" s="4">
        <v>798230</v>
      </c>
      <c r="B304" s="1" t="s">
        <v>440</v>
      </c>
      <c r="C304" s="4" t="s">
        <v>340</v>
      </c>
      <c r="D304" s="1" t="s">
        <v>471</v>
      </c>
      <c r="E304" s="1" t="s">
        <v>472</v>
      </c>
      <c r="F304" s="1" t="s">
        <v>473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">
        <v>990800552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4">
        <v>1.8</v>
      </c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 t="s">
        <v>491</v>
      </c>
      <c r="BN304" s="1"/>
      <c r="BO304" s="1"/>
    </row>
    <row r="305" spans="1:67" x14ac:dyDescent="0.15">
      <c r="A305" s="4">
        <v>798240</v>
      </c>
      <c r="B305" s="1" t="s">
        <v>440</v>
      </c>
      <c r="C305" s="4" t="s">
        <v>341</v>
      </c>
      <c r="D305" s="1" t="s">
        <v>471</v>
      </c>
      <c r="E305" s="1" t="s">
        <v>472</v>
      </c>
      <c r="F305" s="1" t="s">
        <v>473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">
        <v>990800553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4">
        <v>1.8</v>
      </c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 t="s">
        <v>491</v>
      </c>
      <c r="BN305" s="1"/>
      <c r="BO305" s="1"/>
    </row>
    <row r="306" spans="1:67" x14ac:dyDescent="0.15">
      <c r="A306" s="4">
        <v>798250</v>
      </c>
      <c r="B306" s="1" t="s">
        <v>440</v>
      </c>
      <c r="C306" s="4" t="s">
        <v>342</v>
      </c>
      <c r="D306" s="1" t="s">
        <v>471</v>
      </c>
      <c r="E306" s="1" t="s">
        <v>472</v>
      </c>
      <c r="F306" s="1" t="s">
        <v>473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">
        <v>990800554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4">
        <v>1.8</v>
      </c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 t="s">
        <v>491</v>
      </c>
      <c r="BN306" s="1"/>
      <c r="BO306" s="1"/>
    </row>
    <row r="307" spans="1:67" x14ac:dyDescent="0.15">
      <c r="A307" s="4">
        <v>798260</v>
      </c>
      <c r="B307" s="1" t="s">
        <v>440</v>
      </c>
      <c r="C307" s="4" t="s">
        <v>343</v>
      </c>
      <c r="D307" s="1" t="s">
        <v>471</v>
      </c>
      <c r="E307" s="1" t="s">
        <v>472</v>
      </c>
      <c r="F307" s="1" t="s">
        <v>473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">
        <v>990800559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4">
        <v>1.8</v>
      </c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 t="s">
        <v>491</v>
      </c>
      <c r="BN307" s="1"/>
      <c r="BO307" s="1"/>
    </row>
    <row r="308" spans="1:67" x14ac:dyDescent="0.15">
      <c r="A308" s="4">
        <v>798270</v>
      </c>
      <c r="B308" s="1" t="s">
        <v>440</v>
      </c>
      <c r="C308" s="4" t="s">
        <v>344</v>
      </c>
      <c r="D308" s="1" t="s">
        <v>471</v>
      </c>
      <c r="E308" s="1" t="s">
        <v>472</v>
      </c>
      <c r="F308" s="1" t="s">
        <v>473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">
        <v>995650473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4">
        <v>11.71</v>
      </c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 t="s">
        <v>491</v>
      </c>
      <c r="BN308" s="1"/>
      <c r="BO308" s="1"/>
    </row>
    <row r="309" spans="1:67" x14ac:dyDescent="0.15">
      <c r="A309" s="4">
        <v>818110</v>
      </c>
      <c r="B309" s="1" t="s">
        <v>440</v>
      </c>
      <c r="C309" s="4" t="s">
        <v>345</v>
      </c>
      <c r="D309" s="1" t="s">
        <v>471</v>
      </c>
      <c r="E309" s="1" t="s">
        <v>472</v>
      </c>
      <c r="F309" s="1" t="s">
        <v>473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">
        <v>951843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4">
        <v>72</v>
      </c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 t="s">
        <v>492</v>
      </c>
      <c r="BN309" s="1"/>
      <c r="BO309" s="1"/>
    </row>
    <row r="310" spans="1:67" x14ac:dyDescent="0.15">
      <c r="A310" s="4">
        <v>818120</v>
      </c>
      <c r="B310" s="1" t="s">
        <v>440</v>
      </c>
      <c r="C310" s="4" t="s">
        <v>346</v>
      </c>
      <c r="D310" s="1" t="s">
        <v>471</v>
      </c>
      <c r="E310" s="1" t="s">
        <v>472</v>
      </c>
      <c r="F310" s="1" t="s">
        <v>473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">
        <v>2382861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4">
        <v>250</v>
      </c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 t="s">
        <v>492</v>
      </c>
      <c r="BN310" s="1"/>
      <c r="BO310" s="1"/>
    </row>
    <row r="311" spans="1:67" x14ac:dyDescent="0.15">
      <c r="A311" s="4">
        <v>818130</v>
      </c>
      <c r="B311" s="1" t="s">
        <v>440</v>
      </c>
      <c r="C311" s="4" t="s">
        <v>347</v>
      </c>
      <c r="D311" s="1" t="s">
        <v>471</v>
      </c>
      <c r="E311" s="1" t="s">
        <v>472</v>
      </c>
      <c r="F311" s="1" t="s">
        <v>473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">
        <v>9511640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4">
        <v>59</v>
      </c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 t="s">
        <v>492</v>
      </c>
      <c r="BN311" s="1"/>
      <c r="BO311" s="1"/>
    </row>
    <row r="312" spans="1:67" x14ac:dyDescent="0.15">
      <c r="A312" s="4">
        <v>818140</v>
      </c>
      <c r="B312" s="1" t="s">
        <v>440</v>
      </c>
      <c r="C312" s="4" t="s">
        <v>348</v>
      </c>
      <c r="D312" s="1" t="s">
        <v>471</v>
      </c>
      <c r="E312" s="1" t="s">
        <v>472</v>
      </c>
      <c r="F312" s="1" t="s">
        <v>473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">
        <v>23828610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4">
        <v>571.41999999999996</v>
      </c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 t="s">
        <v>492</v>
      </c>
      <c r="BN312" s="1"/>
      <c r="BO312" s="1"/>
    </row>
    <row r="313" spans="1:67" x14ac:dyDescent="0.15">
      <c r="A313" s="4">
        <v>828140</v>
      </c>
      <c r="B313" s="1" t="s">
        <v>440</v>
      </c>
      <c r="C313" s="3" t="s">
        <v>349</v>
      </c>
      <c r="D313" s="1" t="s">
        <v>471</v>
      </c>
      <c r="E313" s="1" t="s">
        <v>472</v>
      </c>
      <c r="F313" s="1" t="s">
        <v>473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>
        <v>38305894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3">
        <v>82</v>
      </c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 t="s">
        <v>493</v>
      </c>
      <c r="BN313" s="1"/>
      <c r="BO313" s="1"/>
    </row>
    <row r="314" spans="1:67" x14ac:dyDescent="0.15">
      <c r="A314" s="4">
        <v>848140</v>
      </c>
      <c r="B314" s="1" t="s">
        <v>440</v>
      </c>
      <c r="C314" s="4" t="s">
        <v>350</v>
      </c>
      <c r="D314" s="1" t="s">
        <v>471</v>
      </c>
      <c r="E314" s="1" t="s">
        <v>472</v>
      </c>
      <c r="F314" s="1" t="s">
        <v>473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>
        <v>993189533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4">
        <v>65</v>
      </c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 t="s">
        <v>494</v>
      </c>
      <c r="BN314" s="1"/>
      <c r="BO314" s="1"/>
    </row>
    <row r="315" spans="1:67" x14ac:dyDescent="0.15">
      <c r="A315" s="4">
        <v>918110</v>
      </c>
      <c r="B315" s="1" t="s">
        <v>440</v>
      </c>
      <c r="C315" s="4" t="s">
        <v>351</v>
      </c>
      <c r="D315" s="1" t="s">
        <v>471</v>
      </c>
      <c r="E315" s="1" t="s">
        <v>472</v>
      </c>
      <c r="F315" s="1" t="s">
        <v>473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">
        <v>90015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4">
        <v>4.7</v>
      </c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 t="s">
        <v>495</v>
      </c>
      <c r="BN315" s="1"/>
      <c r="BO315" s="1"/>
    </row>
    <row r="316" spans="1:67" x14ac:dyDescent="0.15">
      <c r="A316" s="4">
        <v>918120</v>
      </c>
      <c r="B316" s="1" t="s">
        <v>440</v>
      </c>
      <c r="C316" s="3" t="s">
        <v>352</v>
      </c>
      <c r="D316" s="1" t="s">
        <v>471</v>
      </c>
      <c r="E316" s="1" t="s">
        <v>472</v>
      </c>
      <c r="F316" s="1" t="s">
        <v>473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>
        <v>90020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3">
        <v>7.1</v>
      </c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 t="s">
        <v>495</v>
      </c>
      <c r="BN316" s="1"/>
      <c r="BO316" s="1"/>
    </row>
    <row r="317" spans="1:67" x14ac:dyDescent="0.15">
      <c r="A317" s="4">
        <v>918130</v>
      </c>
      <c r="B317" s="1" t="s">
        <v>440</v>
      </c>
      <c r="C317" s="4" t="s">
        <v>353</v>
      </c>
      <c r="D317" s="1" t="s">
        <v>471</v>
      </c>
      <c r="E317" s="1" t="s">
        <v>472</v>
      </c>
      <c r="F317" s="1" t="s">
        <v>473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">
        <v>97524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4">
        <v>21</v>
      </c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 t="s">
        <v>495</v>
      </c>
      <c r="BN317" s="1"/>
      <c r="BO317" s="1"/>
    </row>
    <row r="318" spans="1:67" x14ac:dyDescent="0.15">
      <c r="A318" s="4">
        <v>918140</v>
      </c>
      <c r="B318" s="1" t="s">
        <v>470</v>
      </c>
      <c r="C318" s="4" t="s">
        <v>354</v>
      </c>
      <c r="D318" s="1" t="s">
        <v>471</v>
      </c>
      <c r="E318" s="1" t="s">
        <v>472</v>
      </c>
      <c r="F318" s="1" t="s">
        <v>473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">
        <v>901117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4">
        <v>6.5</v>
      </c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 t="s">
        <v>495</v>
      </c>
      <c r="BN318" s="1"/>
      <c r="BO318" s="1"/>
    </row>
    <row r="319" spans="1:67" x14ac:dyDescent="0.15">
      <c r="A319" s="4">
        <v>918150</v>
      </c>
      <c r="B319" s="1" t="s">
        <v>470</v>
      </c>
      <c r="C319" s="4" t="s">
        <v>355</v>
      </c>
      <c r="D319" s="1" t="s">
        <v>471</v>
      </c>
      <c r="E319" s="1" t="s">
        <v>472</v>
      </c>
      <c r="F319" s="1" t="s">
        <v>473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">
        <v>901130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4">
        <v>25.6</v>
      </c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 t="s">
        <v>495</v>
      </c>
      <c r="BN319" s="1"/>
      <c r="BO319" s="1"/>
    </row>
    <row r="320" spans="1:67" x14ac:dyDescent="0.15">
      <c r="A320" s="4">
        <v>918160</v>
      </c>
      <c r="B320" s="1" t="s">
        <v>470</v>
      </c>
      <c r="C320" s="4" t="s">
        <v>356</v>
      </c>
      <c r="D320" s="1" t="s">
        <v>471</v>
      </c>
      <c r="E320" s="1" t="s">
        <v>472</v>
      </c>
      <c r="F320" s="1" t="s">
        <v>473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">
        <v>8400054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4">
        <v>5.33</v>
      </c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 t="s">
        <v>495</v>
      </c>
      <c r="BN320" s="1"/>
      <c r="BO320" s="1"/>
    </row>
    <row r="321" spans="1:67" x14ac:dyDescent="0.15">
      <c r="A321" s="4">
        <v>918170</v>
      </c>
      <c r="B321" s="1" t="s">
        <v>470</v>
      </c>
      <c r="C321" s="4" t="s">
        <v>357</v>
      </c>
      <c r="D321" s="1" t="s">
        <v>471</v>
      </c>
      <c r="E321" s="1" t="s">
        <v>472</v>
      </c>
      <c r="F321" s="1" t="s">
        <v>473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">
        <v>8400059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4">
        <v>6</v>
      </c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 t="s">
        <v>495</v>
      </c>
      <c r="BN321" s="1"/>
      <c r="BO321" s="1"/>
    </row>
    <row r="322" spans="1:67" x14ac:dyDescent="0.15">
      <c r="A322" s="4">
        <v>918180</v>
      </c>
      <c r="B322" s="1" t="s">
        <v>470</v>
      </c>
      <c r="C322" s="3" t="s">
        <v>358</v>
      </c>
      <c r="D322" s="1" t="s">
        <v>471</v>
      </c>
      <c r="E322" s="1" t="s">
        <v>472</v>
      </c>
      <c r="F322" s="1" t="s">
        <v>473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>
        <v>99060003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3">
        <v>30</v>
      </c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 t="s">
        <v>495</v>
      </c>
      <c r="BN322" s="1"/>
      <c r="BO322" s="1"/>
    </row>
    <row r="323" spans="1:67" x14ac:dyDescent="0.15">
      <c r="A323" s="4">
        <v>918190</v>
      </c>
      <c r="B323" s="1" t="s">
        <v>470</v>
      </c>
      <c r="C323" s="4" t="s">
        <v>359</v>
      </c>
      <c r="D323" s="1" t="s">
        <v>471</v>
      </c>
      <c r="E323" s="1" t="s">
        <v>472</v>
      </c>
      <c r="F323" s="1" t="s">
        <v>473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">
        <v>99060004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4">
        <v>36</v>
      </c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 t="s">
        <v>495</v>
      </c>
      <c r="BN323" s="1"/>
      <c r="BO323" s="1"/>
    </row>
    <row r="324" spans="1:67" x14ac:dyDescent="0.15">
      <c r="A324" s="4">
        <v>918200</v>
      </c>
      <c r="B324" s="1" t="s">
        <v>470</v>
      </c>
      <c r="C324" s="3" t="s">
        <v>360</v>
      </c>
      <c r="D324" s="1" t="s">
        <v>471</v>
      </c>
      <c r="E324" s="1" t="s">
        <v>472</v>
      </c>
      <c r="F324" s="1" t="s">
        <v>473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>
        <v>99060006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3">
        <v>38</v>
      </c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 t="s">
        <v>495</v>
      </c>
      <c r="BN324" s="1"/>
      <c r="BO324" s="1"/>
    </row>
    <row r="325" spans="1:67" x14ac:dyDescent="0.15">
      <c r="A325" s="4">
        <v>918210</v>
      </c>
      <c r="B325" s="1" t="s">
        <v>440</v>
      </c>
      <c r="C325" s="4" t="s">
        <v>361</v>
      </c>
      <c r="D325" s="1" t="s">
        <v>471</v>
      </c>
      <c r="E325" s="1" t="s">
        <v>472</v>
      </c>
      <c r="F325" s="1" t="s">
        <v>473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">
        <v>99565256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4">
        <v>0.15</v>
      </c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 t="s">
        <v>495</v>
      </c>
      <c r="BN325" s="1"/>
      <c r="BO325" s="1"/>
    </row>
    <row r="326" spans="1:67" x14ac:dyDescent="0.15">
      <c r="A326" s="4">
        <v>918220</v>
      </c>
      <c r="B326" s="1" t="s">
        <v>440</v>
      </c>
      <c r="C326" s="4" t="s">
        <v>362</v>
      </c>
      <c r="D326" s="1" t="s">
        <v>471</v>
      </c>
      <c r="E326" s="1" t="s">
        <v>472</v>
      </c>
      <c r="F326" s="1" t="s">
        <v>473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">
        <v>99565258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4">
        <v>0.1</v>
      </c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 t="s">
        <v>495</v>
      </c>
      <c r="BN326" s="1"/>
      <c r="BO326" s="1"/>
    </row>
    <row r="327" spans="1:67" x14ac:dyDescent="0.15">
      <c r="A327" s="4">
        <v>918230</v>
      </c>
      <c r="B327" s="1" t="s">
        <v>440</v>
      </c>
      <c r="C327" s="4" t="s">
        <v>363</v>
      </c>
      <c r="D327" s="1" t="s">
        <v>471</v>
      </c>
      <c r="E327" s="1" t="s">
        <v>472</v>
      </c>
      <c r="F327" s="1" t="s">
        <v>473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">
        <v>99565259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4">
        <v>0.15</v>
      </c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 t="s">
        <v>495</v>
      </c>
      <c r="BN327" s="1"/>
      <c r="BO327" s="1"/>
    </row>
    <row r="328" spans="1:67" x14ac:dyDescent="0.15">
      <c r="A328" s="4">
        <v>918240</v>
      </c>
      <c r="B328" s="1" t="s">
        <v>440</v>
      </c>
      <c r="C328" s="4" t="s">
        <v>364</v>
      </c>
      <c r="D328" s="1" t="s">
        <v>471</v>
      </c>
      <c r="E328" s="1" t="s">
        <v>472</v>
      </c>
      <c r="F328" s="1" t="s">
        <v>473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">
        <v>99565276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4">
        <v>0.3</v>
      </c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 t="s">
        <v>495</v>
      </c>
      <c r="BN328" s="1"/>
      <c r="BO328" s="1"/>
    </row>
    <row r="329" spans="1:67" x14ac:dyDescent="0.15">
      <c r="A329" s="4">
        <v>918250</v>
      </c>
      <c r="B329" s="1" t="s">
        <v>440</v>
      </c>
      <c r="C329" s="4" t="s">
        <v>365</v>
      </c>
      <c r="D329" s="1" t="s">
        <v>471</v>
      </c>
      <c r="E329" s="1" t="s">
        <v>472</v>
      </c>
      <c r="F329" s="1" t="s">
        <v>473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">
        <v>99565317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4">
        <v>0.3</v>
      </c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 t="s">
        <v>495</v>
      </c>
      <c r="BN329" s="1"/>
      <c r="BO329" s="1"/>
    </row>
    <row r="330" spans="1:67" x14ac:dyDescent="0.15">
      <c r="A330" s="4">
        <v>918260</v>
      </c>
      <c r="B330" s="1" t="s">
        <v>440</v>
      </c>
      <c r="C330" s="4" t="s">
        <v>366</v>
      </c>
      <c r="D330" s="1" t="s">
        <v>471</v>
      </c>
      <c r="E330" s="1" t="s">
        <v>472</v>
      </c>
      <c r="F330" s="1" t="s">
        <v>473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">
        <v>99565654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4">
        <v>0.45</v>
      </c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 t="s">
        <v>495</v>
      </c>
      <c r="BN330" s="1"/>
      <c r="BO330" s="1"/>
    </row>
    <row r="331" spans="1:67" x14ac:dyDescent="0.15">
      <c r="A331" s="4">
        <v>918270</v>
      </c>
      <c r="B331" s="1" t="s">
        <v>440</v>
      </c>
      <c r="C331" s="4" t="s">
        <v>367</v>
      </c>
      <c r="D331" s="1" t="s">
        <v>471</v>
      </c>
      <c r="E331" s="1" t="s">
        <v>472</v>
      </c>
      <c r="F331" s="1" t="s">
        <v>473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">
        <v>99565659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4">
        <v>0.2</v>
      </c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 t="s">
        <v>495</v>
      </c>
      <c r="BN331" s="1"/>
      <c r="BO331" s="1"/>
    </row>
    <row r="332" spans="1:67" x14ac:dyDescent="0.15">
      <c r="A332" s="4">
        <v>918280</v>
      </c>
      <c r="B332" s="1" t="s">
        <v>440</v>
      </c>
      <c r="C332" s="4" t="s">
        <v>368</v>
      </c>
      <c r="D332" s="1" t="s">
        <v>471</v>
      </c>
      <c r="E332" s="1" t="s">
        <v>472</v>
      </c>
      <c r="F332" s="1" t="s">
        <v>473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">
        <v>99565662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4">
        <v>0.72</v>
      </c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 t="s">
        <v>495</v>
      </c>
      <c r="BN332" s="1"/>
      <c r="BO332" s="1"/>
    </row>
    <row r="333" spans="1:67" x14ac:dyDescent="0.15">
      <c r="A333" s="4">
        <v>928110</v>
      </c>
      <c r="B333" s="1" t="s">
        <v>440</v>
      </c>
      <c r="C333" s="4" t="s">
        <v>369</v>
      </c>
      <c r="D333" s="1" t="s">
        <v>471</v>
      </c>
      <c r="E333" s="1" t="s">
        <v>472</v>
      </c>
      <c r="F333" s="1" t="s">
        <v>473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">
        <v>981038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4">
        <v>45</v>
      </c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 t="s">
        <v>496</v>
      </c>
      <c r="BN333" s="1"/>
      <c r="BO333" s="1"/>
    </row>
    <row r="334" spans="1:67" x14ac:dyDescent="0.15">
      <c r="A334" s="4">
        <v>928120</v>
      </c>
      <c r="B334" s="1" t="s">
        <v>439</v>
      </c>
      <c r="C334" s="4" t="s">
        <v>370</v>
      </c>
      <c r="D334" s="1" t="s">
        <v>471</v>
      </c>
      <c r="E334" s="1" t="s">
        <v>472</v>
      </c>
      <c r="F334" s="1" t="s">
        <v>473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">
        <v>1525011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4">
        <v>146</v>
      </c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 t="s">
        <v>496</v>
      </c>
      <c r="BN334" s="1"/>
      <c r="BO334" s="1"/>
    </row>
    <row r="335" spans="1:67" x14ac:dyDescent="0.15">
      <c r="A335" s="4">
        <v>928130</v>
      </c>
      <c r="B335" s="1" t="s">
        <v>440</v>
      </c>
      <c r="C335" s="3" t="s">
        <v>371</v>
      </c>
      <c r="D335" s="1" t="s">
        <v>471</v>
      </c>
      <c r="E335" s="1" t="s">
        <v>472</v>
      </c>
      <c r="F335" s="1" t="s">
        <v>473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>
        <v>2400044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3">
        <v>125</v>
      </c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 t="s">
        <v>496</v>
      </c>
      <c r="BN335" s="1"/>
      <c r="BO335" s="1"/>
    </row>
    <row r="336" spans="1:67" x14ac:dyDescent="0.15">
      <c r="A336" s="4">
        <v>928140</v>
      </c>
      <c r="B336" s="1" t="s">
        <v>440</v>
      </c>
      <c r="C336" s="4" t="s">
        <v>372</v>
      </c>
      <c r="D336" s="1" t="s">
        <v>471</v>
      </c>
      <c r="E336" s="1" t="s">
        <v>472</v>
      </c>
      <c r="F336" s="1" t="s">
        <v>473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">
        <v>2400070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4">
        <v>28.57</v>
      </c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 t="s">
        <v>496</v>
      </c>
      <c r="BN336" s="1"/>
      <c r="BO336" s="1"/>
    </row>
    <row r="337" spans="1:67" x14ac:dyDescent="0.15">
      <c r="A337" s="4">
        <v>928150</v>
      </c>
      <c r="B337" s="1" t="s">
        <v>440</v>
      </c>
      <c r="C337" s="4" t="s">
        <v>373</v>
      </c>
      <c r="D337" s="1" t="s">
        <v>471</v>
      </c>
      <c r="E337" s="1" t="s">
        <v>472</v>
      </c>
      <c r="F337" s="1" t="s">
        <v>473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>
        <v>2400074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4">
        <v>26</v>
      </c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 t="s">
        <v>496</v>
      </c>
      <c r="BN337" s="1"/>
      <c r="BO337" s="1"/>
    </row>
    <row r="338" spans="1:67" x14ac:dyDescent="0.15">
      <c r="A338" s="4">
        <v>928160</v>
      </c>
      <c r="B338" s="1" t="s">
        <v>440</v>
      </c>
      <c r="C338" s="4" t="s">
        <v>374</v>
      </c>
      <c r="D338" s="1" t="s">
        <v>471</v>
      </c>
      <c r="E338" s="1" t="s">
        <v>472</v>
      </c>
      <c r="F338" s="1" t="s">
        <v>473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">
        <v>2400075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4">
        <v>42.86</v>
      </c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 t="s">
        <v>496</v>
      </c>
      <c r="BN338" s="1"/>
      <c r="BO338" s="1"/>
    </row>
    <row r="339" spans="1:67" x14ac:dyDescent="0.15">
      <c r="A339" s="4">
        <v>928170</v>
      </c>
      <c r="B339" s="1" t="s">
        <v>440</v>
      </c>
      <c r="C339" s="4" t="s">
        <v>375</v>
      </c>
      <c r="D339" s="1" t="s">
        <v>471</v>
      </c>
      <c r="E339" s="1" t="s">
        <v>472</v>
      </c>
      <c r="F339" s="1" t="s">
        <v>473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">
        <v>2400076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4">
        <v>22</v>
      </c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 t="s">
        <v>496</v>
      </c>
      <c r="BN339" s="1"/>
      <c r="BO339" s="1"/>
    </row>
    <row r="340" spans="1:67" x14ac:dyDescent="0.15">
      <c r="A340" s="4">
        <v>928180</v>
      </c>
      <c r="B340" s="1" t="s">
        <v>440</v>
      </c>
      <c r="C340" s="4" t="s">
        <v>376</v>
      </c>
      <c r="D340" s="1" t="s">
        <v>471</v>
      </c>
      <c r="E340" s="1" t="s">
        <v>472</v>
      </c>
      <c r="F340" s="1" t="s">
        <v>473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">
        <v>2400077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4">
        <v>23</v>
      </c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 t="s">
        <v>496</v>
      </c>
      <c r="BN340" s="1"/>
      <c r="BO340" s="1"/>
    </row>
    <row r="341" spans="1:67" x14ac:dyDescent="0.15">
      <c r="A341" s="4">
        <v>928190</v>
      </c>
      <c r="B341" s="1" t="s">
        <v>440</v>
      </c>
      <c r="C341" s="4" t="s">
        <v>377</v>
      </c>
      <c r="D341" s="1" t="s">
        <v>471</v>
      </c>
      <c r="E341" s="1" t="s">
        <v>472</v>
      </c>
      <c r="F341" s="1" t="s">
        <v>473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>
        <v>2400079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4">
        <v>71.430000000000007</v>
      </c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 t="s">
        <v>496</v>
      </c>
      <c r="BN341" s="1"/>
      <c r="BO341" s="1"/>
    </row>
    <row r="342" spans="1:67" x14ac:dyDescent="0.15">
      <c r="A342" s="4">
        <v>928200</v>
      </c>
      <c r="B342" s="1" t="s">
        <v>440</v>
      </c>
      <c r="C342" s="4" t="s">
        <v>378</v>
      </c>
      <c r="D342" s="1" t="s">
        <v>471</v>
      </c>
      <c r="E342" s="1" t="s">
        <v>472</v>
      </c>
      <c r="F342" s="1" t="s">
        <v>473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>
        <v>2400081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4">
        <v>40</v>
      </c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 t="s">
        <v>496</v>
      </c>
      <c r="BN342" s="1"/>
      <c r="BO342" s="1"/>
    </row>
    <row r="343" spans="1:67" x14ac:dyDescent="0.15">
      <c r="A343" s="4">
        <v>928210</v>
      </c>
      <c r="B343" s="1" t="s">
        <v>440</v>
      </c>
      <c r="C343" s="4" t="s">
        <v>379</v>
      </c>
      <c r="D343" s="1" t="s">
        <v>471</v>
      </c>
      <c r="E343" s="1" t="s">
        <v>472</v>
      </c>
      <c r="F343" s="1" t="s">
        <v>473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">
        <v>2400089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4">
        <v>228</v>
      </c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 t="s">
        <v>496</v>
      </c>
      <c r="BN343" s="1"/>
      <c r="BO343" s="1"/>
    </row>
    <row r="344" spans="1:67" x14ac:dyDescent="0.15">
      <c r="A344" s="4">
        <v>928220</v>
      </c>
      <c r="B344" s="1" t="s">
        <v>440</v>
      </c>
      <c r="C344" s="4" t="s">
        <v>380</v>
      </c>
      <c r="D344" s="1" t="s">
        <v>471</v>
      </c>
      <c r="E344" s="1" t="s">
        <v>472</v>
      </c>
      <c r="F344" s="1" t="s">
        <v>473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">
        <v>2410086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4">
        <v>4.9000000000000004</v>
      </c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 t="s">
        <v>496</v>
      </c>
      <c r="BN344" s="1"/>
      <c r="BO344" s="1"/>
    </row>
    <row r="345" spans="1:67" x14ac:dyDescent="0.15">
      <c r="A345" s="4">
        <v>928230</v>
      </c>
      <c r="B345" s="1" t="s">
        <v>440</v>
      </c>
      <c r="C345" s="4" t="s">
        <v>381</v>
      </c>
      <c r="D345" s="1" t="s">
        <v>471</v>
      </c>
      <c r="E345" s="1" t="s">
        <v>472</v>
      </c>
      <c r="F345" s="1" t="s">
        <v>473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">
        <v>99535524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4">
        <v>21</v>
      </c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 t="s">
        <v>496</v>
      </c>
      <c r="BN345" s="1"/>
      <c r="BO345" s="1"/>
    </row>
    <row r="346" spans="1:67" x14ac:dyDescent="0.15">
      <c r="A346" s="4">
        <v>928240</v>
      </c>
      <c r="B346" s="1" t="s">
        <v>440</v>
      </c>
      <c r="C346" s="4" t="s">
        <v>382</v>
      </c>
      <c r="D346" s="1" t="s">
        <v>471</v>
      </c>
      <c r="E346" s="1" t="s">
        <v>472</v>
      </c>
      <c r="F346" s="1" t="s">
        <v>473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">
        <v>99565002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4">
        <v>13.71</v>
      </c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 t="s">
        <v>496</v>
      </c>
      <c r="BN346" s="1"/>
      <c r="BO346" s="1"/>
    </row>
    <row r="347" spans="1:67" x14ac:dyDescent="0.15">
      <c r="A347" s="4">
        <v>928250</v>
      </c>
      <c r="B347" s="1" t="s">
        <v>440</v>
      </c>
      <c r="C347" s="4" t="s">
        <v>383</v>
      </c>
      <c r="D347" s="1" t="s">
        <v>471</v>
      </c>
      <c r="E347" s="1" t="s">
        <v>472</v>
      </c>
      <c r="F347" s="1" t="s">
        <v>473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">
        <v>99565034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4">
        <v>6</v>
      </c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 t="s">
        <v>496</v>
      </c>
      <c r="BN347" s="1"/>
      <c r="BO347" s="1"/>
    </row>
    <row r="348" spans="1:67" x14ac:dyDescent="0.15">
      <c r="A348" s="4">
        <v>928260</v>
      </c>
      <c r="B348" s="1" t="s">
        <v>440</v>
      </c>
      <c r="C348" s="4" t="s">
        <v>384</v>
      </c>
      <c r="D348" s="1" t="s">
        <v>471</v>
      </c>
      <c r="E348" s="1" t="s">
        <v>472</v>
      </c>
      <c r="F348" s="1" t="s">
        <v>473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">
        <v>99565037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4">
        <v>80.56</v>
      </c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 t="s">
        <v>496</v>
      </c>
      <c r="BN348" s="1"/>
      <c r="BO348" s="1"/>
    </row>
    <row r="349" spans="1:67" x14ac:dyDescent="0.15">
      <c r="A349" s="4">
        <v>928270</v>
      </c>
      <c r="B349" s="1" t="s">
        <v>440</v>
      </c>
      <c r="C349" s="4" t="s">
        <v>385</v>
      </c>
      <c r="D349" s="1" t="s">
        <v>471</v>
      </c>
      <c r="E349" s="1" t="s">
        <v>472</v>
      </c>
      <c r="F349" s="1" t="s">
        <v>473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">
        <v>99565100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4">
        <v>45.49</v>
      </c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 t="s">
        <v>496</v>
      </c>
      <c r="BN349" s="1"/>
      <c r="BO349" s="1"/>
    </row>
    <row r="350" spans="1:67" x14ac:dyDescent="0.15">
      <c r="A350" s="4">
        <v>928280</v>
      </c>
      <c r="B350" s="1" t="s">
        <v>440</v>
      </c>
      <c r="C350" s="4" t="s">
        <v>386</v>
      </c>
      <c r="D350" s="1" t="s">
        <v>471</v>
      </c>
      <c r="E350" s="1" t="s">
        <v>472</v>
      </c>
      <c r="F350" s="1" t="s">
        <v>473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">
        <v>99565120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4">
        <v>17.14</v>
      </c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 t="s">
        <v>496</v>
      </c>
      <c r="BN350" s="1"/>
      <c r="BO350" s="1"/>
    </row>
    <row r="351" spans="1:67" x14ac:dyDescent="0.15">
      <c r="A351" s="4">
        <v>928290</v>
      </c>
      <c r="B351" s="1" t="s">
        <v>440</v>
      </c>
      <c r="C351" s="3" t="s">
        <v>387</v>
      </c>
      <c r="D351" s="1" t="s">
        <v>471</v>
      </c>
      <c r="E351" s="1" t="s">
        <v>472</v>
      </c>
      <c r="F351" s="1" t="s">
        <v>473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>
        <v>99565123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3">
        <v>11</v>
      </c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 t="s">
        <v>496</v>
      </c>
      <c r="BN351" s="1"/>
      <c r="BO351" s="1"/>
    </row>
    <row r="352" spans="1:67" x14ac:dyDescent="0.15">
      <c r="A352" s="4">
        <v>928300</v>
      </c>
      <c r="B352" s="1" t="s">
        <v>440</v>
      </c>
      <c r="C352" s="4" t="s">
        <v>388</v>
      </c>
      <c r="D352" s="1" t="s">
        <v>471</v>
      </c>
      <c r="E352" s="1" t="s">
        <v>472</v>
      </c>
      <c r="F352" s="1" t="s">
        <v>473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">
        <v>99565373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4">
        <v>37.74</v>
      </c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 t="s">
        <v>496</v>
      </c>
      <c r="BN352" s="1"/>
      <c r="BO352" s="1"/>
    </row>
    <row r="353" spans="1:67" x14ac:dyDescent="0.15">
      <c r="A353" s="4">
        <v>928310</v>
      </c>
      <c r="B353" s="1" t="s">
        <v>440</v>
      </c>
      <c r="C353" s="4" t="s">
        <v>389</v>
      </c>
      <c r="D353" s="1" t="s">
        <v>471</v>
      </c>
      <c r="E353" s="1" t="s">
        <v>472</v>
      </c>
      <c r="F353" s="1" t="s">
        <v>473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>
        <v>99565477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4">
        <v>85.71</v>
      </c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 t="s">
        <v>496</v>
      </c>
      <c r="BN353" s="1"/>
      <c r="BO353" s="1"/>
    </row>
    <row r="354" spans="1:67" x14ac:dyDescent="0.15">
      <c r="A354" s="4">
        <v>928320</v>
      </c>
      <c r="B354" s="1" t="s">
        <v>440</v>
      </c>
      <c r="C354" s="4" t="s">
        <v>390</v>
      </c>
      <c r="D354" s="1" t="s">
        <v>471</v>
      </c>
      <c r="E354" s="1" t="s">
        <v>472</v>
      </c>
      <c r="F354" s="1" t="s">
        <v>473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">
        <v>99565554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4">
        <v>2.9</v>
      </c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 t="s">
        <v>496</v>
      </c>
      <c r="BN354" s="1"/>
      <c r="BO354" s="1"/>
    </row>
    <row r="355" spans="1:67" x14ac:dyDescent="0.15">
      <c r="A355" s="4">
        <v>928330</v>
      </c>
      <c r="B355" s="1" t="s">
        <v>440</v>
      </c>
      <c r="C355" s="3" t="s">
        <v>391</v>
      </c>
      <c r="D355" s="1" t="s">
        <v>471</v>
      </c>
      <c r="E355" s="1" t="s">
        <v>472</v>
      </c>
      <c r="F355" s="1" t="s">
        <v>473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>
        <v>99565557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3">
        <v>9.4700000000000006</v>
      </c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 t="s">
        <v>496</v>
      </c>
      <c r="BN355" s="1"/>
      <c r="BO355" s="1"/>
    </row>
    <row r="356" spans="1:67" x14ac:dyDescent="0.15">
      <c r="A356" s="4">
        <v>928340</v>
      </c>
      <c r="B356" s="1" t="s">
        <v>440</v>
      </c>
      <c r="C356" s="4" t="s">
        <v>392</v>
      </c>
      <c r="D356" s="1" t="s">
        <v>471</v>
      </c>
      <c r="E356" s="1" t="s">
        <v>472</v>
      </c>
      <c r="F356" s="1" t="s">
        <v>473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">
        <v>99565640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4">
        <v>0.68</v>
      </c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 t="s">
        <v>496</v>
      </c>
      <c r="BN356" s="1"/>
      <c r="BO356" s="1"/>
    </row>
    <row r="357" spans="1:67" x14ac:dyDescent="0.15">
      <c r="A357" s="4">
        <v>928350</v>
      </c>
      <c r="B357" s="1" t="s">
        <v>440</v>
      </c>
      <c r="C357" s="4" t="s">
        <v>393</v>
      </c>
      <c r="D357" s="1" t="s">
        <v>471</v>
      </c>
      <c r="E357" s="1" t="s">
        <v>472</v>
      </c>
      <c r="F357" s="1" t="s">
        <v>473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">
        <v>99565986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4">
        <v>127.54</v>
      </c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 t="s">
        <v>496</v>
      </c>
      <c r="BN357" s="1"/>
      <c r="BO357" s="1"/>
    </row>
    <row r="358" spans="1:67" x14ac:dyDescent="0.15">
      <c r="A358" s="4">
        <v>928360</v>
      </c>
      <c r="B358" s="1" t="s">
        <v>440</v>
      </c>
      <c r="C358" s="4" t="s">
        <v>394</v>
      </c>
      <c r="D358" s="1" t="s">
        <v>471</v>
      </c>
      <c r="E358" s="1" t="s">
        <v>472</v>
      </c>
      <c r="F358" s="1" t="s">
        <v>473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">
        <v>99565992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4">
        <v>32.5</v>
      </c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 t="s">
        <v>496</v>
      </c>
      <c r="BN358" s="1"/>
      <c r="BO358" s="1"/>
    </row>
    <row r="359" spans="1:67" x14ac:dyDescent="0.15">
      <c r="A359" s="4">
        <v>928370</v>
      </c>
      <c r="B359" s="1" t="s">
        <v>440</v>
      </c>
      <c r="C359" s="4" t="s">
        <v>395</v>
      </c>
      <c r="D359" s="1" t="s">
        <v>471</v>
      </c>
      <c r="E359" s="1" t="s">
        <v>472</v>
      </c>
      <c r="F359" s="1" t="s">
        <v>473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>
        <v>99566002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4">
        <v>35</v>
      </c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 t="s">
        <v>496</v>
      </c>
      <c r="BN359" s="1"/>
      <c r="BO359" s="1"/>
    </row>
    <row r="360" spans="1:67" x14ac:dyDescent="0.15">
      <c r="A360" s="4">
        <v>928380</v>
      </c>
      <c r="B360" s="1" t="s">
        <v>440</v>
      </c>
      <c r="C360" s="4" t="s">
        <v>396</v>
      </c>
      <c r="D360" s="1" t="s">
        <v>471</v>
      </c>
      <c r="E360" s="1" t="s">
        <v>472</v>
      </c>
      <c r="F360" s="1" t="s">
        <v>473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>
        <v>99566004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4">
        <v>37</v>
      </c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 t="s">
        <v>496</v>
      </c>
      <c r="BN360" s="1"/>
      <c r="BO360" s="1"/>
    </row>
    <row r="361" spans="1:67" x14ac:dyDescent="0.15">
      <c r="A361" s="4">
        <v>928390</v>
      </c>
      <c r="B361" s="1" t="s">
        <v>440</v>
      </c>
      <c r="C361" s="4" t="s">
        <v>397</v>
      </c>
      <c r="D361" s="1" t="s">
        <v>471</v>
      </c>
      <c r="E361" s="1" t="s">
        <v>472</v>
      </c>
      <c r="F361" s="1" t="s">
        <v>473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>
        <v>99585112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4">
        <v>190</v>
      </c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 t="s">
        <v>496</v>
      </c>
      <c r="BN361" s="1"/>
      <c r="BO361" s="1"/>
    </row>
    <row r="362" spans="1:67" x14ac:dyDescent="0.15">
      <c r="A362" s="4">
        <v>928400</v>
      </c>
      <c r="B362" s="1" t="s">
        <v>440</v>
      </c>
      <c r="C362" s="4" t="s">
        <v>398</v>
      </c>
      <c r="D362" s="1" t="s">
        <v>471</v>
      </c>
      <c r="E362" s="1" t="s">
        <v>472</v>
      </c>
      <c r="F362" s="1" t="s">
        <v>473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>
        <v>99585114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4">
        <v>220</v>
      </c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 t="s">
        <v>496</v>
      </c>
      <c r="BN362" s="1"/>
      <c r="BO362" s="1"/>
    </row>
    <row r="363" spans="1:67" x14ac:dyDescent="0.15">
      <c r="A363" s="4">
        <v>928410</v>
      </c>
      <c r="B363" s="1" t="s">
        <v>440</v>
      </c>
      <c r="C363" s="4" t="s">
        <v>399</v>
      </c>
      <c r="D363" s="1" t="s">
        <v>471</v>
      </c>
      <c r="E363" s="1" t="s">
        <v>472</v>
      </c>
      <c r="F363" s="1" t="s">
        <v>473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>
        <v>99597006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4">
        <v>33.71</v>
      </c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 t="s">
        <v>496</v>
      </c>
      <c r="BN363" s="1"/>
      <c r="BO363" s="1"/>
    </row>
    <row r="364" spans="1:67" x14ac:dyDescent="0.15">
      <c r="A364" s="4">
        <v>928420</v>
      </c>
      <c r="B364" s="1" t="s">
        <v>440</v>
      </c>
      <c r="C364" s="4" t="s">
        <v>400</v>
      </c>
      <c r="D364" s="1" t="s">
        <v>471</v>
      </c>
      <c r="E364" s="1" t="s">
        <v>472</v>
      </c>
      <c r="F364" s="1" t="s">
        <v>473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>
        <v>495133006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4">
        <v>8.3000000000000007</v>
      </c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 t="s">
        <v>496</v>
      </c>
      <c r="BN364" s="1"/>
      <c r="BO364" s="1"/>
    </row>
    <row r="365" spans="1:67" x14ac:dyDescent="0.15">
      <c r="A365" s="4">
        <v>928430</v>
      </c>
      <c r="B365" s="1" t="s">
        <v>440</v>
      </c>
      <c r="C365" s="4" t="s">
        <v>401</v>
      </c>
      <c r="D365" s="1" t="s">
        <v>471</v>
      </c>
      <c r="E365" s="1" t="s">
        <v>472</v>
      </c>
      <c r="F365" s="1" t="s">
        <v>473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>
        <v>495133009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4">
        <v>11.7</v>
      </c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 t="s">
        <v>496</v>
      </c>
      <c r="BN365" s="1"/>
      <c r="BO365" s="1"/>
    </row>
    <row r="366" spans="1:67" x14ac:dyDescent="0.15">
      <c r="A366" s="4">
        <v>928440</v>
      </c>
      <c r="B366" s="1" t="s">
        <v>440</v>
      </c>
      <c r="C366" s="4" t="s">
        <v>402</v>
      </c>
      <c r="D366" s="1" t="s">
        <v>471</v>
      </c>
      <c r="E366" s="1" t="s">
        <v>472</v>
      </c>
      <c r="F366" s="1" t="s">
        <v>473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>
        <v>992200102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4">
        <v>440</v>
      </c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 t="s">
        <v>496</v>
      </c>
      <c r="BN366" s="1"/>
      <c r="BO366" s="1"/>
    </row>
    <row r="367" spans="1:67" x14ac:dyDescent="0.15">
      <c r="A367" s="4">
        <v>928450</v>
      </c>
      <c r="B367" s="1" t="s">
        <v>440</v>
      </c>
      <c r="C367" s="4" t="s">
        <v>403</v>
      </c>
      <c r="D367" s="1" t="s">
        <v>471</v>
      </c>
      <c r="E367" s="1" t="s">
        <v>472</v>
      </c>
      <c r="F367" s="1" t="s">
        <v>473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>
        <v>995650275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4">
        <v>164</v>
      </c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 t="s">
        <v>496</v>
      </c>
      <c r="BN367" s="1"/>
      <c r="BO367" s="1"/>
    </row>
    <row r="368" spans="1:67" x14ac:dyDescent="0.15">
      <c r="A368" s="4">
        <v>928460</v>
      </c>
      <c r="B368" s="1" t="s">
        <v>440</v>
      </c>
      <c r="C368" s="4" t="s">
        <v>404</v>
      </c>
      <c r="D368" s="1" t="s">
        <v>471</v>
      </c>
      <c r="E368" s="1" t="s">
        <v>472</v>
      </c>
      <c r="F368" s="1" t="s">
        <v>473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>
        <v>995650277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4">
        <v>171.42</v>
      </c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 t="s">
        <v>496</v>
      </c>
      <c r="BN368" s="1"/>
      <c r="BO368" s="1"/>
    </row>
    <row r="369" spans="1:67" x14ac:dyDescent="0.15">
      <c r="A369" s="4">
        <v>928470</v>
      </c>
      <c r="B369" s="1" t="s">
        <v>440</v>
      </c>
      <c r="C369" s="4" t="s">
        <v>405</v>
      </c>
      <c r="D369" s="1" t="s">
        <v>471</v>
      </c>
      <c r="E369" s="1" t="s">
        <v>472</v>
      </c>
      <c r="F369" s="1" t="s">
        <v>473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>
        <v>995650421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4">
        <v>55</v>
      </c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 t="s">
        <v>496</v>
      </c>
      <c r="BN369" s="1"/>
      <c r="BO369" s="1"/>
    </row>
    <row r="370" spans="1:67" x14ac:dyDescent="0.15">
      <c r="A370" s="4">
        <v>928480</v>
      </c>
      <c r="B370" s="1" t="s">
        <v>440</v>
      </c>
      <c r="C370" s="4" t="s">
        <v>406</v>
      </c>
      <c r="D370" s="1" t="s">
        <v>471</v>
      </c>
      <c r="E370" s="1" t="s">
        <v>472</v>
      </c>
      <c r="F370" s="1" t="s">
        <v>473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>
        <v>995650434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4">
        <v>228</v>
      </c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 t="s">
        <v>496</v>
      </c>
      <c r="BN370" s="1"/>
      <c r="BO370" s="1"/>
    </row>
    <row r="371" spans="1:67" x14ac:dyDescent="0.15">
      <c r="A371" s="4">
        <v>928490</v>
      </c>
      <c r="B371" s="1" t="s">
        <v>440</v>
      </c>
      <c r="C371" s="4" t="s">
        <v>407</v>
      </c>
      <c r="D371" s="1" t="s">
        <v>471</v>
      </c>
      <c r="E371" s="1" t="s">
        <v>472</v>
      </c>
      <c r="F371" s="1" t="s">
        <v>473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>
        <v>995650532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4">
        <v>177.14</v>
      </c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 t="s">
        <v>496</v>
      </c>
      <c r="BN371" s="1"/>
      <c r="BO371" s="1"/>
    </row>
    <row r="372" spans="1:67" x14ac:dyDescent="0.15">
      <c r="A372" s="4">
        <v>928500</v>
      </c>
      <c r="B372" s="1" t="s">
        <v>440</v>
      </c>
      <c r="C372" s="4" t="s">
        <v>408</v>
      </c>
      <c r="D372" s="1" t="s">
        <v>471</v>
      </c>
      <c r="E372" s="1" t="s">
        <v>472</v>
      </c>
      <c r="F372" s="1" t="s">
        <v>473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>
        <v>995651357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4">
        <v>82</v>
      </c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 t="s">
        <v>496</v>
      </c>
      <c r="BN372" s="1"/>
      <c r="BO372" s="1"/>
    </row>
    <row r="373" spans="1:67" x14ac:dyDescent="0.15">
      <c r="A373" s="4">
        <v>928510</v>
      </c>
      <c r="B373" s="1" t="s">
        <v>440</v>
      </c>
      <c r="C373" s="4" t="s">
        <v>409</v>
      </c>
      <c r="D373" s="1" t="s">
        <v>471</v>
      </c>
      <c r="E373" s="1" t="s">
        <v>472</v>
      </c>
      <c r="F373" s="1" t="s">
        <v>473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>
        <v>995652166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4">
        <v>128.57</v>
      </c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 t="s">
        <v>496</v>
      </c>
      <c r="BN373" s="1"/>
      <c r="BO373" s="1"/>
    </row>
    <row r="374" spans="1:67" x14ac:dyDescent="0.15">
      <c r="A374" s="4">
        <v>928520</v>
      </c>
      <c r="B374" s="1" t="s">
        <v>440</v>
      </c>
      <c r="C374" s="4" t="s">
        <v>410</v>
      </c>
      <c r="D374" s="1" t="s">
        <v>471</v>
      </c>
      <c r="E374" s="1" t="s">
        <v>472</v>
      </c>
      <c r="F374" s="1" t="s">
        <v>473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>
        <v>995654830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4">
        <v>18</v>
      </c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 t="s">
        <v>496</v>
      </c>
      <c r="BN374" s="1"/>
      <c r="BO374" s="1"/>
    </row>
    <row r="375" spans="1:67" x14ac:dyDescent="0.15">
      <c r="A375" s="4">
        <v>928530</v>
      </c>
      <c r="B375" s="1" t="s">
        <v>440</v>
      </c>
      <c r="C375" s="4" t="s">
        <v>411</v>
      </c>
      <c r="D375" s="1" t="s">
        <v>471</v>
      </c>
      <c r="E375" s="1" t="s">
        <v>472</v>
      </c>
      <c r="F375" s="1" t="s">
        <v>473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>
        <v>995655504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4">
        <v>27.62</v>
      </c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 t="s">
        <v>496</v>
      </c>
      <c r="BN375" s="1"/>
      <c r="BO375" s="1"/>
    </row>
    <row r="376" spans="1:67" x14ac:dyDescent="0.15">
      <c r="A376" s="4">
        <v>928540</v>
      </c>
      <c r="B376" s="1" t="s">
        <v>440</v>
      </c>
      <c r="C376" s="4" t="s">
        <v>412</v>
      </c>
      <c r="D376" s="1" t="s">
        <v>471</v>
      </c>
      <c r="E376" s="1" t="s">
        <v>472</v>
      </c>
      <c r="F376" s="1" t="s">
        <v>473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>
        <v>4951330031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4">
        <v>5.9</v>
      </c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 t="s">
        <v>496</v>
      </c>
      <c r="BN376" s="1"/>
      <c r="BO376" s="1"/>
    </row>
    <row r="377" spans="1:67" x14ac:dyDescent="0.15">
      <c r="A377" s="4">
        <v>928550</v>
      </c>
      <c r="B377" s="1" t="s">
        <v>440</v>
      </c>
      <c r="C377" s="4" t="s">
        <v>413</v>
      </c>
      <c r="D377" s="1" t="s">
        <v>471</v>
      </c>
      <c r="E377" s="1" t="s">
        <v>472</v>
      </c>
      <c r="F377" s="1" t="s">
        <v>473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>
        <v>4951330051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4">
        <v>6.6</v>
      </c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 t="s">
        <v>496</v>
      </c>
      <c r="BN377" s="1"/>
      <c r="BO377" s="1"/>
    </row>
    <row r="378" spans="1:67" x14ac:dyDescent="0.15">
      <c r="A378" s="4">
        <v>928560</v>
      </c>
      <c r="B378" s="1" t="s">
        <v>440</v>
      </c>
      <c r="C378" s="4" t="s">
        <v>414</v>
      </c>
      <c r="D378" s="1" t="s">
        <v>471</v>
      </c>
      <c r="E378" s="1" t="s">
        <v>472</v>
      </c>
      <c r="F378" s="1" t="s">
        <v>473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>
        <v>9956513582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4">
        <v>188.57</v>
      </c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 t="s">
        <v>496</v>
      </c>
      <c r="BN378" s="1"/>
      <c r="BO378" s="1"/>
    </row>
    <row r="379" spans="1:67" x14ac:dyDescent="0.15">
      <c r="A379" s="4">
        <v>928570</v>
      </c>
      <c r="B379" s="1" t="s">
        <v>440</v>
      </c>
      <c r="C379" s="4" t="s">
        <v>415</v>
      </c>
      <c r="D379" s="1" t="s">
        <v>471</v>
      </c>
      <c r="E379" s="1" t="s">
        <v>472</v>
      </c>
      <c r="F379" s="1" t="s">
        <v>473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>
        <v>9956615010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4">
        <v>10</v>
      </c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 t="s">
        <v>496</v>
      </c>
      <c r="BN379" s="1"/>
      <c r="BO379" s="1"/>
    </row>
    <row r="380" spans="1:67" x14ac:dyDescent="0.15">
      <c r="A380" s="4">
        <v>928580</v>
      </c>
      <c r="B380" s="1" t="s">
        <v>440</v>
      </c>
      <c r="C380" s="4" t="s">
        <v>416</v>
      </c>
      <c r="D380" s="1" t="s">
        <v>471</v>
      </c>
      <c r="E380" s="1" t="s">
        <v>472</v>
      </c>
      <c r="F380" s="1" t="s">
        <v>473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>
        <v>9956615011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4">
        <v>14</v>
      </c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 t="s">
        <v>496</v>
      </c>
      <c r="BN380" s="1"/>
      <c r="BO380" s="1"/>
    </row>
    <row r="381" spans="1:67" x14ac:dyDescent="0.15">
      <c r="A381" s="4">
        <v>928590</v>
      </c>
      <c r="B381" s="1" t="s">
        <v>440</v>
      </c>
      <c r="C381" s="4" t="s">
        <v>417</v>
      </c>
      <c r="D381" s="1" t="s">
        <v>471</v>
      </c>
      <c r="E381" s="1" t="s">
        <v>472</v>
      </c>
      <c r="F381" s="1" t="s">
        <v>473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>
        <v>9956615012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4">
        <v>20</v>
      </c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 t="s">
        <v>496</v>
      </c>
      <c r="BN381" s="1"/>
      <c r="BO381" s="1"/>
    </row>
    <row r="382" spans="1:67" x14ac:dyDescent="0.15">
      <c r="A382" s="4">
        <v>928600</v>
      </c>
      <c r="B382" s="1" t="s">
        <v>440</v>
      </c>
      <c r="C382" s="4" t="s">
        <v>418</v>
      </c>
      <c r="D382" s="1" t="s">
        <v>471</v>
      </c>
      <c r="E382" s="1" t="s">
        <v>472</v>
      </c>
      <c r="F382" s="1" t="s">
        <v>473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>
        <v>9956615033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4">
        <v>16</v>
      </c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 t="s">
        <v>496</v>
      </c>
      <c r="BN382" s="1"/>
      <c r="BO382" s="1"/>
    </row>
    <row r="383" spans="1:67" x14ac:dyDescent="0.15">
      <c r="A383" s="4">
        <v>928610</v>
      </c>
      <c r="B383" s="1" t="s">
        <v>440</v>
      </c>
      <c r="C383" s="4" t="s">
        <v>419</v>
      </c>
      <c r="D383" s="1" t="s">
        <v>471</v>
      </c>
      <c r="E383" s="1" t="s">
        <v>472</v>
      </c>
      <c r="F383" s="1" t="s">
        <v>473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>
        <v>9956615102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4">
        <v>8</v>
      </c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 t="s">
        <v>496</v>
      </c>
      <c r="BN383" s="1"/>
      <c r="BO383" s="1"/>
    </row>
    <row r="384" spans="1:67" x14ac:dyDescent="0.15">
      <c r="A384" s="4">
        <v>928620</v>
      </c>
      <c r="B384" s="1" t="s">
        <v>440</v>
      </c>
      <c r="C384" s="4" t="s">
        <v>420</v>
      </c>
      <c r="D384" s="1" t="s">
        <v>471</v>
      </c>
      <c r="E384" s="1" t="s">
        <v>472</v>
      </c>
      <c r="F384" s="1" t="s">
        <v>473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>
        <v>9956615262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4">
        <v>14</v>
      </c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 t="s">
        <v>496</v>
      </c>
      <c r="BN384" s="1"/>
      <c r="BO384" s="1"/>
    </row>
    <row r="385" spans="1:67" x14ac:dyDescent="0.15">
      <c r="A385" s="4">
        <v>928630</v>
      </c>
      <c r="B385" s="1" t="s">
        <v>440</v>
      </c>
      <c r="C385" s="4" t="s">
        <v>421</v>
      </c>
      <c r="D385" s="1" t="s">
        <v>471</v>
      </c>
      <c r="E385" s="1" t="s">
        <v>472</v>
      </c>
      <c r="F385" s="1" t="s">
        <v>473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>
        <v>9991105100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4">
        <v>1.4</v>
      </c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 t="s">
        <v>496</v>
      </c>
      <c r="BN385" s="1"/>
      <c r="BO385" s="1"/>
    </row>
    <row r="386" spans="1:67" x14ac:dyDescent="0.15">
      <c r="A386" s="4">
        <v>928640</v>
      </c>
      <c r="B386" s="1" t="s">
        <v>440</v>
      </c>
      <c r="C386" s="4" t="s">
        <v>422</v>
      </c>
      <c r="D386" s="1" t="s">
        <v>471</v>
      </c>
      <c r="E386" s="1" t="s">
        <v>472</v>
      </c>
      <c r="F386" s="1" t="s">
        <v>473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>
        <v>99566104272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4">
        <v>22.63</v>
      </c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 t="s">
        <v>496</v>
      </c>
      <c r="BN386" s="1"/>
      <c r="BO386" s="1"/>
    </row>
    <row r="387" spans="1:67" x14ac:dyDescent="0.15">
      <c r="A387" s="4">
        <v>928650</v>
      </c>
      <c r="B387" s="1" t="s">
        <v>440</v>
      </c>
      <c r="C387" s="3" t="s">
        <v>423</v>
      </c>
      <c r="D387" s="1" t="s">
        <v>471</v>
      </c>
      <c r="E387" s="1" t="s">
        <v>472</v>
      </c>
      <c r="F387" s="1" t="s">
        <v>473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 t="s">
        <v>474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3">
        <v>490</v>
      </c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 t="s">
        <v>496</v>
      </c>
      <c r="BN387" s="1"/>
      <c r="BO387" s="1"/>
    </row>
    <row r="388" spans="1:67" x14ac:dyDescent="0.15">
      <c r="A388" s="4">
        <v>938110</v>
      </c>
      <c r="B388" s="1" t="s">
        <v>440</v>
      </c>
      <c r="C388" s="4" t="s">
        <v>424</v>
      </c>
      <c r="D388" s="1" t="s">
        <v>471</v>
      </c>
      <c r="E388" s="1" t="s">
        <v>472</v>
      </c>
      <c r="F388" s="1" t="s">
        <v>473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>
        <v>1517004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4">
        <v>0.78</v>
      </c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 t="s">
        <v>497</v>
      </c>
      <c r="BN388" s="1"/>
      <c r="BO388" s="1"/>
    </row>
    <row r="389" spans="1:67" x14ac:dyDescent="0.15">
      <c r="A389" s="4">
        <v>938120</v>
      </c>
      <c r="B389" s="1" t="s">
        <v>440</v>
      </c>
      <c r="C389" s="4" t="s">
        <v>425</v>
      </c>
      <c r="D389" s="1" t="s">
        <v>471</v>
      </c>
      <c r="E389" s="1" t="s">
        <v>472</v>
      </c>
      <c r="F389" s="1" t="s">
        <v>473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>
        <v>4931899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4">
        <v>13.6</v>
      </c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 t="s">
        <v>497</v>
      </c>
      <c r="BN389" s="1"/>
      <c r="BO389" s="1"/>
    </row>
    <row r="390" spans="1:67" x14ac:dyDescent="0.15">
      <c r="A390" s="4">
        <v>938130</v>
      </c>
      <c r="B390" s="1" t="s">
        <v>440</v>
      </c>
      <c r="C390" s="4" t="s">
        <v>426</v>
      </c>
      <c r="D390" s="1" t="s">
        <v>471</v>
      </c>
      <c r="E390" s="1" t="s">
        <v>472</v>
      </c>
      <c r="F390" s="1" t="s">
        <v>473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>
        <v>10901103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4">
        <v>176.66</v>
      </c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 t="s">
        <v>497</v>
      </c>
      <c r="BN390" s="1"/>
      <c r="BO390" s="1"/>
    </row>
    <row r="391" spans="1:67" x14ac:dyDescent="0.15">
      <c r="A391" s="4">
        <v>938140</v>
      </c>
      <c r="B391" s="1" t="s">
        <v>440</v>
      </c>
      <c r="C391" s="4" t="s">
        <v>427</v>
      </c>
      <c r="D391" s="1" t="s">
        <v>471</v>
      </c>
      <c r="E391" s="1" t="s">
        <v>472</v>
      </c>
      <c r="F391" s="1" t="s">
        <v>473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>
        <v>15170022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4">
        <v>0.3</v>
      </c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 t="s">
        <v>497</v>
      </c>
      <c r="BN391" s="1"/>
      <c r="BO391" s="1"/>
    </row>
    <row r="392" spans="1:67" x14ac:dyDescent="0.15">
      <c r="A392" s="4">
        <v>938150</v>
      </c>
      <c r="B392" s="1" t="s">
        <v>470</v>
      </c>
      <c r="C392" s="4" t="s">
        <v>428</v>
      </c>
      <c r="D392" s="1" t="s">
        <v>471</v>
      </c>
      <c r="E392" s="1" t="s">
        <v>472</v>
      </c>
      <c r="F392" s="1" t="s">
        <v>473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>
        <v>15170043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4">
        <v>3.3</v>
      </c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 t="s">
        <v>497</v>
      </c>
      <c r="BN392" s="1"/>
      <c r="BO392" s="1"/>
    </row>
    <row r="393" spans="1:67" x14ac:dyDescent="0.15">
      <c r="A393" s="4">
        <v>938160</v>
      </c>
      <c r="B393" s="1" t="s">
        <v>440</v>
      </c>
      <c r="C393" s="4" t="s">
        <v>429</v>
      </c>
      <c r="D393" s="1" t="s">
        <v>471</v>
      </c>
      <c r="E393" s="1" t="s">
        <v>472</v>
      </c>
      <c r="F393" s="1" t="s">
        <v>473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>
        <v>15170061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4">
        <v>1.1000000000000001</v>
      </c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 t="s">
        <v>497</v>
      </c>
      <c r="BN393" s="1"/>
      <c r="BO393" s="1"/>
    </row>
    <row r="394" spans="1:67" x14ac:dyDescent="0.15">
      <c r="A394" s="4">
        <v>938170</v>
      </c>
      <c r="B394" s="1" t="s">
        <v>440</v>
      </c>
      <c r="C394" s="4" t="s">
        <v>430</v>
      </c>
      <c r="D394" s="1" t="s">
        <v>471</v>
      </c>
      <c r="E394" s="1" t="s">
        <v>472</v>
      </c>
      <c r="F394" s="1" t="s">
        <v>473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>
        <v>49318991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4">
        <v>14.06</v>
      </c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 t="s">
        <v>497</v>
      </c>
      <c r="BN394" s="1"/>
      <c r="BO394" s="1"/>
    </row>
    <row r="395" spans="1:67" x14ac:dyDescent="0.15">
      <c r="A395" s="4">
        <v>938180</v>
      </c>
      <c r="B395" s="1" t="s">
        <v>440</v>
      </c>
      <c r="C395" s="4" t="s">
        <v>431</v>
      </c>
      <c r="D395" s="1" t="s">
        <v>471</v>
      </c>
      <c r="E395" s="1" t="s">
        <v>472</v>
      </c>
      <c r="F395" s="1" t="s">
        <v>473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>
        <v>63300971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4">
        <v>4.4000000000000004</v>
      </c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 t="s">
        <v>497</v>
      </c>
      <c r="BN395" s="1"/>
      <c r="BO395" s="1"/>
    </row>
    <row r="396" spans="1:67" x14ac:dyDescent="0.15">
      <c r="A396" s="4">
        <v>938190</v>
      </c>
      <c r="B396" s="1" t="s">
        <v>440</v>
      </c>
      <c r="C396" s="4" t="s">
        <v>432</v>
      </c>
      <c r="D396" s="1" t="s">
        <v>471</v>
      </c>
      <c r="E396" s="1" t="s">
        <v>472</v>
      </c>
      <c r="F396" s="1" t="s">
        <v>473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>
        <v>63300973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4">
        <v>5.58</v>
      </c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 t="s">
        <v>497</v>
      </c>
      <c r="BN396" s="1"/>
      <c r="BO396" s="1"/>
    </row>
    <row r="397" spans="1:67" x14ac:dyDescent="0.15">
      <c r="A397" s="4">
        <v>938200</v>
      </c>
      <c r="B397" s="1" t="s">
        <v>440</v>
      </c>
      <c r="C397" s="3" t="s">
        <v>433</v>
      </c>
      <c r="D397" s="1" t="s">
        <v>471</v>
      </c>
      <c r="E397" s="1" t="s">
        <v>472</v>
      </c>
      <c r="F397" s="1" t="s">
        <v>473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>
        <v>99150592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3">
        <v>0.46</v>
      </c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 t="s">
        <v>497</v>
      </c>
      <c r="BN397" s="1"/>
      <c r="BO397" s="1"/>
    </row>
    <row r="398" spans="1:67" x14ac:dyDescent="0.15">
      <c r="A398" s="4">
        <v>938210</v>
      </c>
      <c r="B398" s="1" t="s">
        <v>440</v>
      </c>
      <c r="C398" s="3" t="s">
        <v>434</v>
      </c>
      <c r="D398" s="1" t="s">
        <v>471</v>
      </c>
      <c r="E398" s="1" t="s">
        <v>472</v>
      </c>
      <c r="F398" s="1" t="s">
        <v>473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>
        <v>99150596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3">
        <v>0.72</v>
      </c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 t="s">
        <v>497</v>
      </c>
      <c r="BN398" s="1"/>
      <c r="BO398" s="1"/>
    </row>
    <row r="399" spans="1:67" x14ac:dyDescent="0.15">
      <c r="A399" s="4">
        <v>938220</v>
      </c>
      <c r="B399" s="1" t="s">
        <v>440</v>
      </c>
      <c r="C399" s="4" t="s">
        <v>435</v>
      </c>
      <c r="D399" s="1" t="s">
        <v>471</v>
      </c>
      <c r="E399" s="1" t="s">
        <v>472</v>
      </c>
      <c r="F399" s="1" t="s">
        <v>473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>
        <v>99220215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4">
        <v>5.5</v>
      </c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 t="s">
        <v>497</v>
      </c>
      <c r="BN399" s="1"/>
      <c r="BO399" s="1"/>
    </row>
    <row r="400" spans="1:67" x14ac:dyDescent="0.15">
      <c r="A400" s="4">
        <v>938230</v>
      </c>
      <c r="B400" s="1" t="s">
        <v>440</v>
      </c>
      <c r="C400" s="4" t="s">
        <v>436</v>
      </c>
      <c r="D400" s="1" t="s">
        <v>471</v>
      </c>
      <c r="E400" s="1" t="s">
        <v>472</v>
      </c>
      <c r="F400" s="1" t="s">
        <v>473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>
        <v>99221070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4">
        <v>0.9</v>
      </c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 t="s">
        <v>497</v>
      </c>
      <c r="BN400" s="1"/>
      <c r="BO400" s="1"/>
    </row>
    <row r="401" spans="1:67" x14ac:dyDescent="0.15">
      <c r="A401" s="4">
        <v>938240</v>
      </c>
      <c r="B401" s="1" t="s">
        <v>440</v>
      </c>
      <c r="C401" s="4" t="s">
        <v>437</v>
      </c>
      <c r="D401" s="1" t="s">
        <v>471</v>
      </c>
      <c r="E401" s="1" t="s">
        <v>472</v>
      </c>
      <c r="F401" s="1" t="s">
        <v>473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>
        <v>99221091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4">
        <v>3.7</v>
      </c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 t="s">
        <v>497</v>
      </c>
      <c r="BN401" s="1"/>
      <c r="BO401" s="1"/>
    </row>
    <row r="402" spans="1:67" x14ac:dyDescent="0.15">
      <c r="A402" s="4">
        <v>938250</v>
      </c>
      <c r="B402" s="1" t="s">
        <v>440</v>
      </c>
      <c r="C402" s="4" t="s">
        <v>438</v>
      </c>
      <c r="D402" s="1" t="s">
        <v>471</v>
      </c>
      <c r="E402" s="1" t="s">
        <v>472</v>
      </c>
      <c r="F402" s="1" t="s">
        <v>473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>
        <v>992211001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4">
        <v>3</v>
      </c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 t="s">
        <v>497</v>
      </c>
      <c r="BN402" s="1"/>
      <c r="BO40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 Alon</dc:creator>
  <cp:lastModifiedBy>לייטמן מערכות</cp:lastModifiedBy>
  <dcterms:created xsi:type="dcterms:W3CDTF">2016-12-05T10:36:24Z</dcterms:created>
  <dcterms:modified xsi:type="dcterms:W3CDTF">2016-12-06T04:19:01Z</dcterms:modified>
</cp:coreProperties>
</file>