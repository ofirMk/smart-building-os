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7935" activeTab="1"/>
  </bookViews>
  <sheets>
    <sheet name="סעיפי מאזן בוחן" sheetId="1" r:id="rId1"/>
    <sheet name="סעיפי מאזן רווה&quot;פ לכרטסת ראשית" sheetId="2" r:id="rId2"/>
  </sheets>
  <calcPr calcId="145621"/>
</workbook>
</file>

<file path=xl/calcChain.xml><?xml version="1.0" encoding="utf-8"?>
<calcChain xmlns="http://schemas.openxmlformats.org/spreadsheetml/2006/main">
  <c r="F18" i="2" l="1"/>
  <c r="F17" i="2"/>
  <c r="F16" i="2"/>
  <c r="F15" i="2"/>
  <c r="F14" i="2"/>
  <c r="F13" i="2"/>
  <c r="F12" i="2"/>
  <c r="F11" i="2"/>
  <c r="D57" i="2" l="1"/>
  <c r="C57" i="2"/>
  <c r="A57" i="2"/>
  <c r="D56" i="2"/>
  <c r="C56" i="2"/>
  <c r="A56" i="2"/>
  <c r="D55" i="2"/>
  <c r="C55" i="2"/>
  <c r="A55" i="2"/>
  <c r="D54" i="2"/>
  <c r="C54" i="2"/>
  <c r="A54" i="2"/>
  <c r="D53" i="2"/>
  <c r="C53" i="2"/>
  <c r="A53" i="2"/>
  <c r="D52" i="2"/>
  <c r="C52" i="2"/>
  <c r="A52" i="2"/>
  <c r="D51" i="2"/>
  <c r="C51" i="2"/>
  <c r="A51" i="2"/>
  <c r="D50" i="2"/>
  <c r="C50" i="2"/>
  <c r="A50" i="2"/>
  <c r="D49" i="2"/>
  <c r="C49" i="2"/>
  <c r="A49" i="2"/>
  <c r="D48" i="2"/>
  <c r="C48" i="2"/>
  <c r="A48" i="2"/>
  <c r="D47" i="2"/>
  <c r="C47" i="2"/>
  <c r="A47" i="2"/>
  <c r="D46" i="2"/>
  <c r="C46" i="2"/>
  <c r="A46" i="2"/>
  <c r="D45" i="2"/>
  <c r="C45" i="2"/>
  <c r="A45" i="2"/>
  <c r="D44" i="2"/>
  <c r="C44" i="2"/>
  <c r="A44" i="2"/>
  <c r="D43" i="2"/>
  <c r="C43" i="2"/>
  <c r="A43" i="2"/>
  <c r="D42" i="2"/>
  <c r="C42" i="2"/>
  <c r="A42" i="2"/>
  <c r="D41" i="2"/>
  <c r="C41" i="2"/>
  <c r="A41" i="2"/>
  <c r="D40" i="2"/>
  <c r="C40" i="2"/>
  <c r="A40" i="2"/>
  <c r="D39" i="2"/>
  <c r="C39" i="2"/>
  <c r="A39" i="2"/>
  <c r="D38" i="2"/>
  <c r="C38" i="2"/>
  <c r="A38" i="2"/>
  <c r="D37" i="2"/>
  <c r="C37" i="2"/>
  <c r="A37" i="2"/>
  <c r="D36" i="2"/>
  <c r="C36" i="2"/>
  <c r="A36" i="2"/>
  <c r="D35" i="2"/>
  <c r="C35" i="2"/>
  <c r="A35" i="2"/>
  <c r="D34" i="2"/>
  <c r="C34" i="2"/>
  <c r="A34" i="2"/>
  <c r="D33" i="2"/>
  <c r="C33" i="2"/>
  <c r="A33" i="2"/>
  <c r="D32" i="2"/>
  <c r="C32" i="2"/>
  <c r="A32" i="2"/>
  <c r="D31" i="2"/>
  <c r="C31" i="2"/>
  <c r="A31" i="2"/>
  <c r="D30" i="2"/>
  <c r="C30" i="2"/>
  <c r="A30" i="2"/>
  <c r="D29" i="2"/>
  <c r="C29" i="2"/>
  <c r="A29" i="2"/>
  <c r="D28" i="2"/>
  <c r="C28" i="2"/>
  <c r="A28" i="2"/>
  <c r="D27" i="2"/>
  <c r="C27" i="2"/>
  <c r="A27" i="2"/>
  <c r="D26" i="2"/>
  <c r="C26" i="2"/>
  <c r="A26" i="2"/>
  <c r="D25" i="2"/>
  <c r="C25" i="2"/>
  <c r="A25" i="2"/>
  <c r="D24" i="2"/>
  <c r="C24" i="2"/>
  <c r="A24" i="2"/>
  <c r="D23" i="2"/>
  <c r="C23" i="2"/>
  <c r="A23" i="2"/>
  <c r="D22" i="2"/>
  <c r="C22" i="2"/>
  <c r="A22" i="2"/>
  <c r="D21" i="2"/>
  <c r="C21" i="2"/>
  <c r="A21" i="2"/>
  <c r="D20" i="2"/>
  <c r="C20" i="2"/>
  <c r="A20" i="2"/>
  <c r="D19" i="2"/>
  <c r="C19" i="2"/>
  <c r="A19" i="2"/>
  <c r="D18" i="2"/>
  <c r="C18" i="2"/>
  <c r="A18" i="2"/>
  <c r="D17" i="2"/>
  <c r="C17" i="2"/>
  <c r="A17" i="2"/>
  <c r="D16" i="2"/>
  <c r="C16" i="2"/>
  <c r="A16" i="2"/>
  <c r="D15" i="2"/>
  <c r="C15" i="2"/>
  <c r="A15" i="2"/>
  <c r="D14" i="2"/>
  <c r="C14" i="2"/>
  <c r="A14" i="2"/>
  <c r="D13" i="2"/>
  <c r="C13" i="2"/>
  <c r="A13" i="2"/>
  <c r="D12" i="2"/>
  <c r="C12" i="2"/>
  <c r="A12" i="2"/>
  <c r="D11" i="2"/>
  <c r="C11" i="2"/>
  <c r="A11" i="2"/>
  <c r="D10" i="2"/>
  <c r="C10" i="2"/>
  <c r="A10" i="2"/>
  <c r="D9" i="2"/>
  <c r="C9" i="2"/>
  <c r="A9" i="2"/>
  <c r="D8" i="2"/>
  <c r="C8" i="2"/>
  <c r="A8" i="2"/>
  <c r="D7" i="2"/>
  <c r="C7" i="2"/>
  <c r="A7" i="2"/>
  <c r="D6" i="2"/>
  <c r="C6" i="2"/>
  <c r="A6" i="2"/>
  <c r="D5" i="2"/>
  <c r="C5" i="2"/>
  <c r="A5" i="2"/>
  <c r="D4" i="2"/>
  <c r="C4" i="2"/>
  <c r="A4" i="2"/>
  <c r="D3" i="2"/>
  <c r="C3" i="2"/>
  <c r="A3" i="2"/>
  <c r="D2" i="2"/>
  <c r="C2" i="2"/>
  <c r="A2" i="2"/>
  <c r="D1" i="2"/>
  <c r="C1" i="2"/>
  <c r="B1" i="2"/>
  <c r="A1" i="2"/>
  <c r="A1" i="1"/>
  <c r="B1" i="1"/>
  <c r="C1" i="1"/>
  <c r="A2" i="1"/>
  <c r="B2" i="1"/>
  <c r="C2" i="1"/>
  <c r="A3" i="1"/>
  <c r="B3" i="1"/>
  <c r="C3" i="1"/>
  <c r="A4" i="1"/>
  <c r="B4" i="1"/>
  <c r="C4" i="1"/>
  <c r="A5" i="1"/>
  <c r="B5" i="1"/>
  <c r="C5" i="1"/>
  <c r="A6" i="1"/>
  <c r="B6" i="1"/>
  <c r="C6" i="1"/>
  <c r="A7" i="1"/>
  <c r="B7" i="1"/>
  <c r="C7" i="1"/>
  <c r="A8" i="1"/>
  <c r="B8" i="1"/>
  <c r="C8" i="1"/>
  <c r="A9" i="1"/>
  <c r="B9" i="1"/>
  <c r="C9" i="1"/>
  <c r="A10" i="1"/>
  <c r="B10" i="1"/>
  <c r="C10" i="1"/>
  <c r="A11" i="1"/>
  <c r="B11" i="1"/>
  <c r="C11" i="1"/>
  <c r="A12" i="1"/>
  <c r="B12" i="1"/>
  <c r="C12" i="1"/>
  <c r="A13" i="1"/>
  <c r="B13" i="1"/>
  <c r="C13" i="1"/>
  <c r="A14" i="1"/>
  <c r="B14" i="1"/>
  <c r="C14" i="1"/>
  <c r="A15" i="1"/>
  <c r="B15" i="1"/>
  <c r="C15" i="1"/>
  <c r="A16" i="1"/>
  <c r="B16" i="1"/>
  <c r="C16" i="1"/>
  <c r="A17" i="1"/>
  <c r="B17" i="1"/>
  <c r="C17" i="1"/>
  <c r="A18" i="1"/>
  <c r="B18" i="1"/>
  <c r="C18" i="1"/>
  <c r="A19" i="1"/>
  <c r="B19" i="1"/>
  <c r="C19" i="1"/>
  <c r="A20" i="1"/>
  <c r="B20" i="1"/>
  <c r="C20" i="1"/>
  <c r="A21" i="1"/>
  <c r="B21" i="1"/>
  <c r="C21" i="1"/>
  <c r="A22" i="1"/>
  <c r="B22" i="1"/>
  <c r="C22" i="1"/>
  <c r="A23" i="1"/>
  <c r="B23" i="1"/>
  <c r="C23" i="1"/>
  <c r="A24" i="1"/>
  <c r="B24" i="1"/>
  <c r="C24" i="1"/>
  <c r="A25" i="1"/>
  <c r="B25" i="1"/>
  <c r="C25" i="1"/>
  <c r="A26" i="1"/>
  <c r="B26" i="1"/>
  <c r="C26" i="1"/>
  <c r="A27" i="1"/>
  <c r="B27" i="1"/>
  <c r="C27" i="1"/>
  <c r="A28" i="1"/>
  <c r="B28" i="1"/>
  <c r="C28" i="1"/>
  <c r="A29" i="1"/>
  <c r="B29" i="1"/>
  <c r="C29" i="1"/>
  <c r="A30" i="1"/>
  <c r="B30" i="1"/>
  <c r="C30" i="1"/>
  <c r="A31" i="1"/>
  <c r="B31" i="1"/>
  <c r="C31" i="1"/>
  <c r="A32" i="1"/>
  <c r="B32" i="1"/>
  <c r="C32" i="1"/>
  <c r="A33" i="1"/>
  <c r="B33" i="1"/>
  <c r="C33" i="1"/>
  <c r="A34" i="1"/>
  <c r="B34" i="1"/>
  <c r="C34" i="1"/>
  <c r="A35" i="1"/>
  <c r="B35" i="1"/>
  <c r="C35" i="1"/>
  <c r="A36" i="1"/>
  <c r="B36" i="1"/>
  <c r="C36" i="1"/>
  <c r="A37" i="1"/>
  <c r="B37" i="1"/>
  <c r="C37" i="1"/>
  <c r="A38" i="1"/>
  <c r="B38" i="1"/>
  <c r="C38" i="1"/>
  <c r="A39" i="1"/>
  <c r="B39" i="1"/>
  <c r="C39" i="1"/>
  <c r="A40" i="1"/>
  <c r="B40" i="1"/>
  <c r="C40" i="1"/>
  <c r="A41" i="1"/>
  <c r="B41" i="1"/>
  <c r="C41" i="1"/>
  <c r="A42" i="1"/>
  <c r="B42" i="1"/>
  <c r="C42" i="1"/>
  <c r="A43" i="1"/>
  <c r="B43" i="1"/>
  <c r="C43" i="1"/>
  <c r="A44" i="1"/>
  <c r="B44" i="1"/>
  <c r="C44" i="1"/>
  <c r="A45" i="1"/>
  <c r="B45" i="1"/>
  <c r="C45" i="1"/>
  <c r="A46" i="1"/>
  <c r="B46" i="1"/>
  <c r="C46" i="1"/>
  <c r="A47" i="1"/>
  <c r="B47" i="1"/>
  <c r="C47" i="1"/>
  <c r="A48" i="1"/>
  <c r="B48" i="1"/>
  <c r="C48" i="1"/>
  <c r="A49" i="1"/>
  <c r="B49" i="1"/>
  <c r="C49" i="1"/>
  <c r="A50" i="1"/>
  <c r="B50" i="1"/>
  <c r="C50" i="1"/>
  <c r="A51" i="1"/>
  <c r="B51" i="1"/>
  <c r="C51" i="1"/>
  <c r="A52" i="1"/>
  <c r="B52" i="1"/>
  <c r="C52" i="1"/>
  <c r="A53" i="1"/>
  <c r="B53" i="1"/>
  <c r="C53" i="1"/>
  <c r="A54" i="1"/>
  <c r="B54" i="1"/>
  <c r="C54" i="1"/>
  <c r="A55" i="1"/>
  <c r="B55" i="1"/>
  <c r="C55" i="1"/>
  <c r="A56" i="1"/>
  <c r="B56" i="1"/>
  <c r="C56" i="1"/>
  <c r="A57" i="1"/>
  <c r="B57" i="1"/>
  <c r="C57" i="1"/>
  <c r="A58" i="1"/>
  <c r="B58" i="1"/>
  <c r="C58" i="1"/>
  <c r="A59" i="1"/>
  <c r="B59" i="1"/>
  <c r="C59" i="1"/>
  <c r="A60" i="1"/>
  <c r="B60" i="1"/>
  <c r="C60" i="1"/>
  <c r="A61" i="1"/>
  <c r="B61" i="1"/>
  <c r="C61" i="1"/>
  <c r="A62" i="1"/>
  <c r="B62" i="1"/>
  <c r="C62" i="1"/>
  <c r="A63" i="1"/>
  <c r="B63" i="1"/>
  <c r="C63" i="1"/>
  <c r="A64" i="1"/>
  <c r="B64" i="1"/>
  <c r="C64" i="1"/>
  <c r="A65" i="1"/>
  <c r="B65" i="1"/>
  <c r="C65" i="1"/>
  <c r="A66" i="1"/>
  <c r="B66" i="1"/>
  <c r="C66" i="1"/>
  <c r="A67" i="1"/>
  <c r="B67" i="1"/>
  <c r="C67" i="1"/>
  <c r="A68" i="1"/>
  <c r="B68" i="1"/>
  <c r="C68" i="1"/>
  <c r="A69" i="1"/>
  <c r="B69" i="1"/>
  <c r="C69" i="1"/>
  <c r="A70" i="1"/>
  <c r="B70" i="1"/>
  <c r="C70" i="1"/>
  <c r="A71" i="1"/>
  <c r="B71" i="1"/>
  <c r="C71" i="1"/>
  <c r="A72" i="1"/>
  <c r="B72" i="1"/>
  <c r="C72" i="1"/>
  <c r="A73" i="1"/>
  <c r="B73" i="1"/>
  <c r="C73" i="1"/>
  <c r="A74" i="1"/>
  <c r="B74" i="1"/>
  <c r="C74" i="1"/>
  <c r="A75" i="1"/>
  <c r="B75" i="1"/>
  <c r="C75" i="1"/>
  <c r="A76" i="1"/>
  <c r="B76" i="1"/>
  <c r="C76" i="1"/>
  <c r="A77" i="1"/>
  <c r="B77" i="1"/>
  <c r="C77" i="1"/>
</calcChain>
</file>

<file path=xl/comments1.xml><?xml version="1.0" encoding="utf-8"?>
<comments xmlns="http://schemas.openxmlformats.org/spreadsheetml/2006/main">
  <authors>
    <author>Avital Babler</author>
  </authors>
  <commentList>
    <comment ref="B1" authorId="0">
      <text>
        <r>
          <rPr>
            <b/>
            <sz val="9"/>
            <color indexed="81"/>
            <rFont val="Tahoma"/>
            <family val="2"/>
          </rPr>
          <t>Avital Babler:</t>
        </r>
        <r>
          <rPr>
            <sz val="9"/>
            <color indexed="81"/>
            <rFont val="Tahoma"/>
            <family val="2"/>
          </rPr>
          <t xml:space="preserve">
הסדר בו יופיע בדוחות מאזן ורווה"פ (בהתאם לאיך שתגדירו (נהוג שהסדר הוא מהנזיל ביותר לזה פחות).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Avital Babler:</t>
        </r>
        <r>
          <rPr>
            <sz val="9"/>
            <color indexed="81"/>
            <rFont val="Tahoma"/>
            <family val="2"/>
          </rPr>
          <t xml:space="preserve">
יגיע באופן אוטומט מטבלת תשתי שכבר קיימת בפריוריטי</t>
        </r>
      </text>
    </comment>
  </commentList>
</comments>
</file>

<file path=xl/sharedStrings.xml><?xml version="1.0" encoding="utf-8"?>
<sst xmlns="http://schemas.openxmlformats.org/spreadsheetml/2006/main" count="15" uniqueCount="13">
  <si>
    <t xml:space="preserve">הסבר: </t>
  </si>
  <si>
    <t>להלן היררכיית מאזן בוחן שמגיעה באופן סטנדרטי עם המערכת</t>
  </si>
  <si>
    <t>ניתן להשתמש בה ולהוסיף במידת הצורך שלכם סעיפים או לבנות חדשה.</t>
  </si>
  <si>
    <t>דגשים:</t>
  </si>
  <si>
    <t>המבנה חייב להישאר אותו הדבר:</t>
  </si>
  <si>
    <t>**1- סעיף ראשי מאזן /רווה"פ</t>
  </si>
  <si>
    <t>*10- כותרת מאזן/רווה"פ</t>
  </si>
  <si>
    <t>100/101 וכו'- הכותרת לחשבונות במאזן בוחן</t>
  </si>
  <si>
    <t xml:space="preserve">העמודות שסימנתי באדום חייבים להיות בהם נתונים להזנה בפריוריטי, מה שלא מסומן באדום זו רשות </t>
  </si>
  <si>
    <t>להלן היררכייה לדוחות הכספיים במערכת מאזןורווה"פ שמגיעה באופן סטנדרטי עם המערכת</t>
  </si>
  <si>
    <t>ניתן להשתמש בזה ולהוסיף במידת הצורך שלכם סעיפים או לבנות חדשה.</t>
  </si>
  <si>
    <t>ניתן לתת מספרים בלבד ועד 3 ספרות אורך תו</t>
  </si>
  <si>
    <t>עמודה C זו רשימה סגורה- יש לשבץ אחד מהסעיפים הבאים בלבד: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</si>
</sst>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Arial"/>
      <family val="2"/>
      <charset val="177"/>
      <scheme val="minor"/>
    </font>
    <font>
      <b/>
      <sz val="11"/>
      <color rgb="FFFF0000"/>
      <name val="Arial"/>
      <family val="2"/>
      <scheme val="minor"/>
    </font>
    <font>
      <b/>
      <u/>
      <sz val="11"/>
      <color rgb="FFFF0000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readingOrder="1"/>
    </xf>
    <xf numFmtId="0" fontId="0" fillId="0" borderId="0" xfId="0" applyAlignment="1">
      <alignment readingOrder="1"/>
    </xf>
    <xf numFmtId="0" fontId="1" fillId="0" borderId="0" xfId="0" applyFont="1" applyAlignment="1">
      <alignment readingOrder="2"/>
    </xf>
    <xf numFmtId="0" fontId="0" fillId="0" borderId="0" xfId="0" applyAlignment="1">
      <alignment readingOrder="2"/>
    </xf>
    <xf numFmtId="0" fontId="2" fillId="0" borderId="0" xfId="0" applyFont="1" applyAlignment="1">
      <alignment readingOrder="2"/>
    </xf>
    <xf numFmtId="0" fontId="3" fillId="0" borderId="0" xfId="0" applyFont="1" applyAlignment="1">
      <alignment readingOrder="2"/>
    </xf>
    <xf numFmtId="0" fontId="0" fillId="0" borderId="0" xfId="0" applyAlignment="1">
      <alignment horizontal="right" readingOrder="2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"/>
  <sheetViews>
    <sheetView rightToLeft="1" workbookViewId="0">
      <selection activeCell="G17" sqref="G17"/>
    </sheetView>
  </sheetViews>
  <sheetFormatPr defaultRowHeight="14.25" x14ac:dyDescent="0.2"/>
  <cols>
    <col min="1" max="1" width="9" style="3"/>
    <col min="2" max="2" width="18.25" style="5" bestFit="1" customWidth="1"/>
    <col min="3" max="3" width="29.125" style="5" bestFit="1" customWidth="1"/>
    <col min="4" max="16384" width="9" style="5"/>
  </cols>
  <sheetData>
    <row r="1" spans="1:6" ht="15" x14ac:dyDescent="0.25">
      <c r="A1" s="2" t="str">
        <f>"קוד סעיף"</f>
        <v>קוד סעיף</v>
      </c>
      <c r="B1" s="4" t="str">
        <f>"כותרת"</f>
        <v>כותרת</v>
      </c>
      <c r="C1" s="5" t="str">
        <f>"כותרת (אנגלית)"</f>
        <v>כותרת (אנגלית)</v>
      </c>
    </row>
    <row r="2" spans="1:6" ht="15" x14ac:dyDescent="0.25">
      <c r="A2" s="3" t="str">
        <f>"000"</f>
        <v>000</v>
      </c>
      <c r="B2" s="5" t="str">
        <f>"סעיפים לא משוייכים"</f>
        <v>סעיפים לא משוייכים</v>
      </c>
      <c r="C2" s="5" t="str">
        <f>"Unassigned Items"</f>
        <v>Unassigned Items</v>
      </c>
      <c r="F2" s="6" t="s">
        <v>0</v>
      </c>
    </row>
    <row r="3" spans="1:6" x14ac:dyDescent="0.2">
      <c r="A3" s="3" t="str">
        <f>"1**"</f>
        <v>1**</v>
      </c>
      <c r="B3" s="5" t="str">
        <f>"נכסים"</f>
        <v>נכסים</v>
      </c>
      <c r="C3" s="5" t="str">
        <f>"ASSETS"</f>
        <v>ASSETS</v>
      </c>
      <c r="F3" s="5" t="s">
        <v>1</v>
      </c>
    </row>
    <row r="4" spans="1:6" x14ac:dyDescent="0.2">
      <c r="A4" s="3" t="str">
        <f>"10*"</f>
        <v>10*</v>
      </c>
      <c r="B4" s="5" t="str">
        <f>"רכוש שוטף"</f>
        <v>רכוש שוטף</v>
      </c>
      <c r="C4" s="5" t="str">
        <f>"CURRENT ASSETS"</f>
        <v>CURRENT ASSETS</v>
      </c>
      <c r="F4" s="5" t="s">
        <v>2</v>
      </c>
    </row>
    <row r="5" spans="1:6" ht="15" x14ac:dyDescent="0.25">
      <c r="A5" s="3" t="str">
        <f>"100"</f>
        <v>100</v>
      </c>
      <c r="B5" s="5" t="str">
        <f>"קופה ראשית"</f>
        <v>קופה ראשית</v>
      </c>
      <c r="C5" s="5" t="str">
        <f>"Primary Cashier"</f>
        <v>Primary Cashier</v>
      </c>
      <c r="F5" s="7" t="s">
        <v>3</v>
      </c>
    </row>
    <row r="6" spans="1:6" x14ac:dyDescent="0.2">
      <c r="A6" s="3" t="str">
        <f>"102"</f>
        <v>102</v>
      </c>
      <c r="B6" s="5" t="str">
        <f>"מזומנים בבנק"</f>
        <v>מזומנים בבנק</v>
      </c>
      <c r="C6" s="5" t="str">
        <f>"Cash in Bank"</f>
        <v>Cash in Bank</v>
      </c>
      <c r="F6" s="5" t="s">
        <v>4</v>
      </c>
    </row>
    <row r="7" spans="1:6" x14ac:dyDescent="0.2">
      <c r="A7" s="3" t="str">
        <f>"103"</f>
        <v>103</v>
      </c>
      <c r="B7" s="5" t="str">
        <f>"ניירות ערך סחירים"</f>
        <v>ניירות ערך סחירים</v>
      </c>
      <c r="C7" s="5" t="str">
        <f>"Negotiable Stocks"</f>
        <v>Negotiable Stocks</v>
      </c>
      <c r="F7" s="8" t="s">
        <v>5</v>
      </c>
    </row>
    <row r="8" spans="1:6" x14ac:dyDescent="0.2">
      <c r="A8" s="3" t="str">
        <f>"104"</f>
        <v>104</v>
      </c>
      <c r="B8" s="5" t="str">
        <f>"המחאות לגביה"</f>
        <v>המחאות לגביה</v>
      </c>
      <c r="C8" s="5" t="str">
        <f>"Post-dated Checks In"</f>
        <v>Post-dated Checks In</v>
      </c>
      <c r="F8" s="8" t="s">
        <v>6</v>
      </c>
    </row>
    <row r="9" spans="1:6" x14ac:dyDescent="0.2">
      <c r="A9" s="3" t="str">
        <f>"105"</f>
        <v>105</v>
      </c>
      <c r="B9" s="5" t="str">
        <f>"חברות כרטיסי אשראי"</f>
        <v>חברות כרטיסי אשראי</v>
      </c>
      <c r="C9" s="5" t="str">
        <f>"Credit Card Companies"</f>
        <v>Credit Card Companies</v>
      </c>
      <c r="F9" s="8" t="s">
        <v>7</v>
      </c>
    </row>
    <row r="10" spans="1:6" x14ac:dyDescent="0.2">
      <c r="A10" s="3" t="str">
        <f>"106"</f>
        <v>106</v>
      </c>
      <c r="B10" s="5" t="str">
        <f>"לקוחות"</f>
        <v>לקוחות</v>
      </c>
      <c r="C10" s="5" t="str">
        <f>"Accounts Receivable"</f>
        <v>Accounts Receivable</v>
      </c>
      <c r="F10" s="8" t="s">
        <v>11</v>
      </c>
    </row>
    <row r="11" spans="1:6" x14ac:dyDescent="0.2">
      <c r="A11" s="3" t="str">
        <f>"107"</f>
        <v>107</v>
      </c>
      <c r="B11" s="5" t="str">
        <f>"מקדמות לספקים"</f>
        <v>מקדמות לספקים</v>
      </c>
      <c r="C11" s="5" t="str">
        <f>"Prepaid A/P"</f>
        <v>Prepaid A/P</v>
      </c>
    </row>
    <row r="12" spans="1:6" x14ac:dyDescent="0.2">
      <c r="A12" s="3" t="str">
        <f>"11*"</f>
        <v>11*</v>
      </c>
      <c r="B12" s="5" t="str">
        <f>"מלאי"</f>
        <v>מלאי</v>
      </c>
      <c r="C12" s="5" t="str">
        <f>"INVENTORY"</f>
        <v>INVENTORY</v>
      </c>
    </row>
    <row r="13" spans="1:6" x14ac:dyDescent="0.2">
      <c r="A13" s="3" t="str">
        <f>"110"</f>
        <v>110</v>
      </c>
      <c r="B13" s="5" t="str">
        <f>"מלאי חומר גלם"</f>
        <v>מלאי חומר גלם</v>
      </c>
      <c r="C13" s="5" t="str">
        <f>"Raw Materials"</f>
        <v>Raw Materials</v>
      </c>
      <c r="F13" s="8" t="s">
        <v>8</v>
      </c>
    </row>
    <row r="14" spans="1:6" x14ac:dyDescent="0.2">
      <c r="A14" s="3" t="str">
        <f>"111"</f>
        <v>111</v>
      </c>
      <c r="B14" s="5" t="str">
        <f>"מלאי בתהליך יצור"</f>
        <v>מלאי בתהליך יצור</v>
      </c>
      <c r="C14" s="5" t="str">
        <f>"Work in Process"</f>
        <v>Work in Process</v>
      </c>
    </row>
    <row r="15" spans="1:6" x14ac:dyDescent="0.2">
      <c r="A15" s="3" t="str">
        <f>"112"</f>
        <v>112</v>
      </c>
      <c r="B15" s="5" t="str">
        <f>"מלאי תוצ'ג"</f>
        <v>מלאי תוצ'ג</v>
      </c>
      <c r="C15" s="5" t="str">
        <f>"Finished Goods"</f>
        <v>Finished Goods</v>
      </c>
    </row>
    <row r="16" spans="1:6" x14ac:dyDescent="0.2">
      <c r="A16" s="3" t="str">
        <f>"15*"</f>
        <v>15*</v>
      </c>
      <c r="B16" s="5" t="str">
        <f>"רכוש קבוע"</f>
        <v>רכוש קבוע</v>
      </c>
      <c r="C16" s="5" t="str">
        <f>"FIXED ASSETS"</f>
        <v>FIXED ASSETS</v>
      </c>
    </row>
    <row r="17" spans="1:3" x14ac:dyDescent="0.2">
      <c r="A17" s="3" t="str">
        <f>"151"</f>
        <v>151</v>
      </c>
      <c r="B17" s="5" t="str">
        <f>"קרקע"</f>
        <v>קרקע</v>
      </c>
      <c r="C17" s="5" t="str">
        <f>"Property-Land"</f>
        <v>Property-Land</v>
      </c>
    </row>
    <row r="18" spans="1:3" x14ac:dyDescent="0.2">
      <c r="A18" s="3" t="str">
        <f>"152"</f>
        <v>152</v>
      </c>
      <c r="B18" s="5" t="str">
        <f>"מבנים"</f>
        <v>מבנים</v>
      </c>
      <c r="C18" s="5" t="str">
        <f>"Property-Bldgs"</f>
        <v>Property-Bldgs</v>
      </c>
    </row>
    <row r="19" spans="1:3" x14ac:dyDescent="0.2">
      <c r="A19" s="3" t="str">
        <f>"153"</f>
        <v>153</v>
      </c>
      <c r="B19" s="5" t="str">
        <f>"מבנים - פחת נצבר"</f>
        <v>מבנים - פחת נצבר</v>
      </c>
      <c r="C19" s="5" t="str">
        <f>"Buildings-Accumulated Deprec."</f>
        <v>Buildings-Accumulated Deprec.</v>
      </c>
    </row>
    <row r="20" spans="1:3" x14ac:dyDescent="0.2">
      <c r="A20" s="3" t="str">
        <f>"154"</f>
        <v>154</v>
      </c>
      <c r="B20" s="5" t="str">
        <f>"מכונות"</f>
        <v>מכונות</v>
      </c>
      <c r="C20" s="5" t="str">
        <f>"Equipment"</f>
        <v>Equipment</v>
      </c>
    </row>
    <row r="21" spans="1:3" x14ac:dyDescent="0.2">
      <c r="A21" s="3" t="str">
        <f>"155"</f>
        <v>155</v>
      </c>
      <c r="B21" s="5" t="str">
        <f>"מכונות - פחת נצבר"</f>
        <v>מכונות - פחת נצבר</v>
      </c>
      <c r="C21" s="5" t="str">
        <f>"Equipment-Accumulated Deprec."</f>
        <v>Equipment-Accumulated Deprec.</v>
      </c>
    </row>
    <row r="22" spans="1:3" x14ac:dyDescent="0.2">
      <c r="A22" s="3" t="str">
        <f>"156"</f>
        <v>156</v>
      </c>
      <c r="B22" s="5" t="str">
        <f>"ריהוט"</f>
        <v>ריהוט</v>
      </c>
      <c r="C22" s="5" t="str">
        <f>"Furnishings"</f>
        <v>Furnishings</v>
      </c>
    </row>
    <row r="23" spans="1:3" x14ac:dyDescent="0.2">
      <c r="A23" s="3" t="str">
        <f>"157"</f>
        <v>157</v>
      </c>
      <c r="B23" s="5" t="str">
        <f>"ריהוט - פחת נצבר"</f>
        <v>ריהוט - פחת נצבר</v>
      </c>
      <c r="C23" s="5" t="str">
        <f>"Furnishings-Accumulated Deprec."</f>
        <v>Furnishings-Accumulated Deprec.</v>
      </c>
    </row>
    <row r="24" spans="1:3" x14ac:dyDescent="0.2">
      <c r="A24" s="3" t="str">
        <f>"158"</f>
        <v>158</v>
      </c>
      <c r="B24" s="5" t="str">
        <f>"ניירות ערך בלתי סחירים"</f>
        <v>ניירות ערך בלתי סחירים</v>
      </c>
      <c r="C24" s="5" t="str">
        <f>"Non-negotiable Stocks"</f>
        <v>Non-negotiable Stocks</v>
      </c>
    </row>
    <row r="25" spans="1:3" x14ac:dyDescent="0.2">
      <c r="A25" s="3" t="str">
        <f>"2**"</f>
        <v>2**</v>
      </c>
      <c r="B25" s="5" t="str">
        <f>"התחייבויות"</f>
        <v>התחייבויות</v>
      </c>
      <c r="C25" s="5" t="str">
        <f>"LIABILITIES &amp; EQUITY"</f>
        <v>LIABILITIES &amp; EQUITY</v>
      </c>
    </row>
    <row r="26" spans="1:3" x14ac:dyDescent="0.2">
      <c r="A26" s="3" t="str">
        <f>"20*"</f>
        <v>20*</v>
      </c>
      <c r="B26" s="5" t="str">
        <f>"התחייבויות שוטפות"</f>
        <v>התחייבויות שוטפות</v>
      </c>
      <c r="C26" s="5" t="str">
        <f>"CURRENT LIABILITIES"</f>
        <v>CURRENT LIABILITIES</v>
      </c>
    </row>
    <row r="27" spans="1:3" x14ac:dyDescent="0.2">
      <c r="A27" s="3" t="str">
        <f>"200"</f>
        <v>200</v>
      </c>
      <c r="B27" s="5" t="str">
        <f>"ספקים"</f>
        <v>ספקים</v>
      </c>
      <c r="C27" s="5" t="str">
        <f>"Accounts Payable"</f>
        <v>Accounts Payable</v>
      </c>
    </row>
    <row r="28" spans="1:3" x14ac:dyDescent="0.2">
      <c r="A28" s="3" t="str">
        <f>"201"</f>
        <v>201</v>
      </c>
      <c r="B28" s="5" t="str">
        <f>"מקדמות מלקוחות"</f>
        <v>מקדמות מלקוחות</v>
      </c>
      <c r="C28" s="5" t="str">
        <f>"Prepaid A/R"</f>
        <v>Prepaid A/R</v>
      </c>
    </row>
    <row r="29" spans="1:3" x14ac:dyDescent="0.2">
      <c r="A29" s="3" t="str">
        <f>"202"</f>
        <v>202</v>
      </c>
      <c r="B29" s="5" t="str">
        <f>"הלוואות זמן קצר"</f>
        <v>הלוואות זמן קצר</v>
      </c>
      <c r="C29" s="5" t="str">
        <f>"Short-term Loans"</f>
        <v>Short-term Loans</v>
      </c>
    </row>
    <row r="30" spans="1:3" x14ac:dyDescent="0.2">
      <c r="A30" s="3" t="str">
        <f>"204"</f>
        <v>204</v>
      </c>
      <c r="B30" s="5" t="str">
        <f>"המחאות לפרעון"</f>
        <v>המחאות לפרעון</v>
      </c>
      <c r="C30" s="5" t="str">
        <f>"Post-dated Checks Out"</f>
        <v>Post-dated Checks Out</v>
      </c>
    </row>
    <row r="31" spans="1:3" x14ac:dyDescent="0.2">
      <c r="A31" s="3" t="str">
        <f>"205"</f>
        <v>205</v>
      </c>
      <c r="B31" s="5" t="str">
        <f>"מע'מ חו'ז"</f>
        <v>מע'מ חו'ז</v>
      </c>
      <c r="C31" s="5" t="str">
        <f>"VAT (Debit and Credit)"</f>
        <v>VAT (Debit and Credit)</v>
      </c>
    </row>
    <row r="32" spans="1:3" x14ac:dyDescent="0.2">
      <c r="A32" s="3" t="str">
        <f>"206"</f>
        <v>206</v>
      </c>
      <c r="B32" s="5" t="str">
        <f>"מוסדות"</f>
        <v>מוסדות</v>
      </c>
      <c r="C32" s="5" t="str">
        <f>"Institutions"</f>
        <v>Institutions</v>
      </c>
    </row>
    <row r="33" spans="1:3" x14ac:dyDescent="0.2">
      <c r="A33" s="3" t="str">
        <f>"25*"</f>
        <v>25*</v>
      </c>
      <c r="B33" s="5" t="str">
        <f>"התחייבויות לטווח ארוך"</f>
        <v>התחייבויות לטווח ארוך</v>
      </c>
      <c r="C33" s="5" t="str">
        <f>"LONG-TERM LIABILITIES"</f>
        <v>LONG-TERM LIABILITIES</v>
      </c>
    </row>
    <row r="34" spans="1:3" x14ac:dyDescent="0.2">
      <c r="A34" s="3" t="str">
        <f>"250"</f>
        <v>250</v>
      </c>
      <c r="B34" s="5" t="str">
        <f>"הלוואות לזמן ארוך"</f>
        <v>הלוואות לזמן ארוך</v>
      </c>
      <c r="C34" s="5" t="str">
        <f>"Long-term Loans"</f>
        <v>Long-term Loans</v>
      </c>
    </row>
    <row r="35" spans="1:3" x14ac:dyDescent="0.2">
      <c r="A35" s="3" t="str">
        <f>"251"</f>
        <v>251</v>
      </c>
      <c r="B35" s="5" t="str">
        <f>"הפרשות לפיצויים"</f>
        <v>הפרשות לפיצויים</v>
      </c>
      <c r="C35" s="5" t="str">
        <f>"Workers Comp Deductions"</f>
        <v>Workers Comp Deductions</v>
      </c>
    </row>
    <row r="36" spans="1:3" x14ac:dyDescent="0.2">
      <c r="A36" s="3" t="str">
        <f>"3**"</f>
        <v>3**</v>
      </c>
      <c r="B36" s="5" t="str">
        <f>"הון עצמי"</f>
        <v>הון עצמי</v>
      </c>
      <c r="C36" s="5" t="str">
        <f>"EQUITY CAPITAL"</f>
        <v>EQUITY CAPITAL</v>
      </c>
    </row>
    <row r="37" spans="1:3" x14ac:dyDescent="0.2">
      <c r="A37" s="3" t="str">
        <f>"30*"</f>
        <v>30*</v>
      </c>
      <c r="B37" s="5" t="str">
        <f>"הון עצמי"</f>
        <v>הון עצמי</v>
      </c>
      <c r="C37" s="5" t="str">
        <f>"EQUITY CAPITAL"</f>
        <v>EQUITY CAPITAL</v>
      </c>
    </row>
    <row r="38" spans="1:3" x14ac:dyDescent="0.2">
      <c r="A38" s="3" t="str">
        <f>"300"</f>
        <v>300</v>
      </c>
      <c r="B38" s="5" t="str">
        <f>"הון מניות"</f>
        <v>הון מניות</v>
      </c>
      <c r="C38" s="5" t="str">
        <f>"Capital Stock"</f>
        <v>Capital Stock</v>
      </c>
    </row>
    <row r="39" spans="1:3" x14ac:dyDescent="0.2">
      <c r="A39" s="3" t="str">
        <f>"301"</f>
        <v>301</v>
      </c>
      <c r="B39" s="5" t="str">
        <f>"יתרת רווח שנים קודמות"</f>
        <v>יתרת רווח שנים קודמות</v>
      </c>
      <c r="C39" s="5" t="str">
        <f>"Prior Retained Earnings"</f>
        <v>Prior Retained Earnings</v>
      </c>
    </row>
    <row r="40" spans="1:3" x14ac:dyDescent="0.2">
      <c r="A40" s="3" t="str">
        <f>"303"</f>
        <v>303</v>
      </c>
      <c r="B40" s="5" t="str">
        <f>"יתרות פתיחה"</f>
        <v>יתרות פתיחה</v>
      </c>
      <c r="C40" s="5" t="str">
        <f>"Opening Balances"</f>
        <v>Opening Balances</v>
      </c>
    </row>
    <row r="41" spans="1:3" x14ac:dyDescent="0.2">
      <c r="A41" s="3" t="str">
        <f>"4**"</f>
        <v>4**</v>
      </c>
      <c r="B41" s="5" t="str">
        <f>"הכנסות"</f>
        <v>הכנסות</v>
      </c>
      <c r="C41" s="5" t="str">
        <f>"INCOME"</f>
        <v>INCOME</v>
      </c>
    </row>
    <row r="42" spans="1:3" x14ac:dyDescent="0.2">
      <c r="A42" s="3" t="str">
        <f>"40*"</f>
        <v>40*</v>
      </c>
      <c r="B42" s="5" t="str">
        <f>"הכנסות"</f>
        <v>הכנסות</v>
      </c>
      <c r="C42" s="5" t="str">
        <f>"INCOME"</f>
        <v>INCOME</v>
      </c>
    </row>
    <row r="43" spans="1:3" x14ac:dyDescent="0.2">
      <c r="A43" s="3" t="str">
        <f>"400"</f>
        <v>400</v>
      </c>
      <c r="B43" s="5" t="str">
        <f>"הכנסות ממכירות בארץ"</f>
        <v>הכנסות ממכירות בארץ</v>
      </c>
      <c r="C43" s="5" t="str">
        <f>"Income from Domestic Sales"</f>
        <v>Income from Domestic Sales</v>
      </c>
    </row>
    <row r="44" spans="1:3" x14ac:dyDescent="0.2">
      <c r="A44" s="3" t="str">
        <f>"401"</f>
        <v>401</v>
      </c>
      <c r="B44" s="5" t="str">
        <f>"הכנסות מיצוא"</f>
        <v>הכנסות מיצוא</v>
      </c>
      <c r="C44" s="5" t="str">
        <f>"Export Income"</f>
        <v>Export Income</v>
      </c>
    </row>
    <row r="45" spans="1:3" x14ac:dyDescent="0.2">
      <c r="A45" s="3" t="str">
        <f>"402"</f>
        <v>402</v>
      </c>
      <c r="B45" s="5" t="str">
        <f>"הכנסות מימוש נכסים"</f>
        <v>הכנסות מימוש נכסים</v>
      </c>
      <c r="C45" s="5" t="str">
        <f>"Income from Property Sales"</f>
        <v>Income from Property Sales</v>
      </c>
    </row>
    <row r="46" spans="1:3" x14ac:dyDescent="0.2">
      <c r="A46" s="3" t="str">
        <f>"403"</f>
        <v>403</v>
      </c>
      <c r="B46" s="5" t="str">
        <f>"הכנסות מעמלות"</f>
        <v>הכנסות מעמלות</v>
      </c>
      <c r="C46" s="5" t="str">
        <f>"Income from Commissions"</f>
        <v>Income from Commissions</v>
      </c>
    </row>
    <row r="47" spans="1:3" x14ac:dyDescent="0.2">
      <c r="A47" s="3" t="str">
        <f>"404"</f>
        <v>404</v>
      </c>
      <c r="B47" s="5" t="str">
        <f>"ריבית לקוחות"</f>
        <v>ריבית לקוחות</v>
      </c>
      <c r="C47" s="5" t="str">
        <f>"Income from Finance Charges"</f>
        <v>Income from Finance Charges</v>
      </c>
    </row>
    <row r="48" spans="1:3" x14ac:dyDescent="0.2">
      <c r="A48" s="3" t="str">
        <f>"405"</f>
        <v>405</v>
      </c>
      <c r="B48" s="5" t="str">
        <f>"הנחות מספקים"</f>
        <v>הנחות מספקים</v>
      </c>
      <c r="C48" s="5" t="str">
        <f>"Vendor Discounts"</f>
        <v>Vendor Discounts</v>
      </c>
    </row>
    <row r="49" spans="1:3" x14ac:dyDescent="0.2">
      <c r="A49" s="3" t="str">
        <f>"5**"</f>
        <v>5**</v>
      </c>
      <c r="B49" s="5" t="str">
        <f>"עלות המכירות"</f>
        <v>עלות המכירות</v>
      </c>
      <c r="C49" s="5" t="str">
        <f>"COST OF GOODS SOLD"</f>
        <v>COST OF GOODS SOLD</v>
      </c>
    </row>
    <row r="50" spans="1:3" x14ac:dyDescent="0.2">
      <c r="A50" s="3" t="str">
        <f>"50*"</f>
        <v>50*</v>
      </c>
      <c r="B50" s="5" t="str">
        <f>"עלות המכירות"</f>
        <v>עלות המכירות</v>
      </c>
      <c r="C50" s="5" t="str">
        <f>"COST OF GOODS SOLD"</f>
        <v>COST OF GOODS SOLD</v>
      </c>
    </row>
    <row r="51" spans="1:3" x14ac:dyDescent="0.2">
      <c r="A51" s="3" t="str">
        <f>"500"</f>
        <v>500</v>
      </c>
      <c r="B51" s="5" t="str">
        <f>"עלות המכירות"</f>
        <v>עלות המכירות</v>
      </c>
      <c r="C51" s="5" t="str">
        <f>"Cost of Goods Sold"</f>
        <v>Cost of Goods Sold</v>
      </c>
    </row>
    <row r="52" spans="1:3" x14ac:dyDescent="0.2">
      <c r="A52" s="3" t="str">
        <f>"501"</f>
        <v>501</v>
      </c>
      <c r="B52" s="5" t="str">
        <f>"מלאי פתיחה"</f>
        <v>מלאי פתיחה</v>
      </c>
      <c r="C52" s="5" t="str">
        <f>"Opening Inventory"</f>
        <v>Opening Inventory</v>
      </c>
    </row>
    <row r="53" spans="1:3" x14ac:dyDescent="0.2">
      <c r="A53" s="3" t="str">
        <f>"502"</f>
        <v>502</v>
      </c>
      <c r="B53" s="5" t="str">
        <f>"קניות"</f>
        <v>קניות</v>
      </c>
      <c r="C53" s="5" t="str">
        <f>"Purchases"</f>
        <v>Purchases</v>
      </c>
    </row>
    <row r="54" spans="1:3" x14ac:dyDescent="0.2">
      <c r="A54" s="3" t="str">
        <f>"503"</f>
        <v>503</v>
      </c>
      <c r="B54" s="5" t="str">
        <f>"מלאי סגירה"</f>
        <v>מלאי סגירה</v>
      </c>
      <c r="C54" s="5" t="str">
        <f>"Closing Inventory"</f>
        <v>Closing Inventory</v>
      </c>
    </row>
    <row r="55" spans="1:3" x14ac:dyDescent="0.2">
      <c r="A55" s="3" t="str">
        <f>"6**"</f>
        <v>6**</v>
      </c>
      <c r="B55" s="5" t="str">
        <f>"הוצאות"</f>
        <v>הוצאות</v>
      </c>
      <c r="C55" s="5" t="str">
        <f>"EXPENSES"</f>
        <v>EXPENSES</v>
      </c>
    </row>
    <row r="56" spans="1:3" x14ac:dyDescent="0.2">
      <c r="A56" s="3" t="str">
        <f>"60*"</f>
        <v>60*</v>
      </c>
      <c r="B56" s="5" t="str">
        <f>"הוצאות כלליות"</f>
        <v>הוצאות כלליות</v>
      </c>
      <c r="C56" s="5" t="str">
        <f>"OPERATING COSTS"</f>
        <v>OPERATING COSTS</v>
      </c>
    </row>
    <row r="57" spans="1:3" x14ac:dyDescent="0.2">
      <c r="A57" s="3" t="str">
        <f>"600"</f>
        <v>600</v>
      </c>
      <c r="B57" s="5" t="str">
        <f>"שכר עבודה"</f>
        <v>שכר עבודה</v>
      </c>
      <c r="C57" s="5" t="str">
        <f>"Wages"</f>
        <v>Wages</v>
      </c>
    </row>
    <row r="58" spans="1:3" x14ac:dyDescent="0.2">
      <c r="A58" s="3" t="str">
        <f>"601"</f>
        <v>601</v>
      </c>
      <c r="B58" s="5" t="str">
        <f>"מיסים ואגרות"</f>
        <v>מיסים ואגרות</v>
      </c>
      <c r="C58" s="5" t="str">
        <f>"Payroll Taxes"</f>
        <v>Payroll Taxes</v>
      </c>
    </row>
    <row r="59" spans="1:3" x14ac:dyDescent="0.2">
      <c r="A59" s="3" t="str">
        <f>"602"</f>
        <v>602</v>
      </c>
      <c r="B59" s="5" t="str">
        <f>"דמי שכירה וחכירה"</f>
        <v>דמי שכירה וחכירה</v>
      </c>
      <c r="C59" s="5" t="str">
        <f>"Leasing and Rental Expenses"</f>
        <v>Leasing and Rental Expenses</v>
      </c>
    </row>
    <row r="60" spans="1:3" x14ac:dyDescent="0.2">
      <c r="A60" s="3" t="str">
        <f>"603"</f>
        <v>603</v>
      </c>
      <c r="B60" s="5" t="str">
        <f>"חובות אבודים"</f>
        <v>חובות אבודים</v>
      </c>
      <c r="C60" s="5" t="str">
        <f>"Write-Offs"</f>
        <v>Write-Offs</v>
      </c>
    </row>
    <row r="61" spans="1:3" x14ac:dyDescent="0.2">
      <c r="A61" s="3" t="str">
        <f>"604"</f>
        <v>604</v>
      </c>
      <c r="B61" s="5" t="str">
        <f>"פחת"</f>
        <v>פחת</v>
      </c>
      <c r="C61" s="5" t="str">
        <f>"Depreciation"</f>
        <v>Depreciation</v>
      </c>
    </row>
    <row r="62" spans="1:3" x14ac:dyDescent="0.2">
      <c r="A62" s="3" t="str">
        <f>"605"</f>
        <v>605</v>
      </c>
      <c r="B62" s="5" t="str">
        <f>"ביטוחים"</f>
        <v>ביטוחים</v>
      </c>
      <c r="C62" s="5" t="str">
        <f>"Insurance"</f>
        <v>Insurance</v>
      </c>
    </row>
    <row r="63" spans="1:3" x14ac:dyDescent="0.2">
      <c r="A63" s="3" t="str">
        <f>"606"</f>
        <v>606</v>
      </c>
      <c r="B63" s="5" t="str">
        <f>"הוצאות כלליות"</f>
        <v>הוצאות כלליות</v>
      </c>
      <c r="C63" s="5" t="str">
        <f>"Miscellaneous Expenses"</f>
        <v>Miscellaneous Expenses</v>
      </c>
    </row>
    <row r="64" spans="1:3" x14ac:dyDescent="0.2">
      <c r="A64" s="3" t="str">
        <f>"607"</f>
        <v>607</v>
      </c>
      <c r="B64" s="5" t="str">
        <f>"הוצאות משרד"</f>
        <v>הוצאות משרד</v>
      </c>
      <c r="C64" s="5" t="str">
        <f>"Office &amp; Admin. Expenses"</f>
        <v>Office &amp; Admin. Expenses</v>
      </c>
    </row>
    <row r="65" spans="1:3" x14ac:dyDescent="0.2">
      <c r="A65" s="3" t="str">
        <f>"608"</f>
        <v>608</v>
      </c>
      <c r="B65" s="5" t="str">
        <f>"פרסום"</f>
        <v>פרסום</v>
      </c>
      <c r="C65" s="5" t="str">
        <f>"Advertising"</f>
        <v>Advertising</v>
      </c>
    </row>
    <row r="66" spans="1:3" x14ac:dyDescent="0.2">
      <c r="A66" s="3" t="str">
        <f>"61*"</f>
        <v>61*</v>
      </c>
      <c r="B66" s="5" t="str">
        <f>"הוצאות יצור"</f>
        <v>הוצאות יצור</v>
      </c>
      <c r="C66" s="5" t="str">
        <f>"PRODUCTION EXPENSES"</f>
        <v>PRODUCTION EXPENSES</v>
      </c>
    </row>
    <row r="67" spans="1:3" x14ac:dyDescent="0.2">
      <c r="A67" s="3" t="str">
        <f>"610"</f>
        <v>610</v>
      </c>
      <c r="B67" s="5" t="str">
        <f>"הוצאות יצור"</f>
        <v>הוצאות יצור</v>
      </c>
      <c r="C67" s="5" t="str">
        <f>"Production Costs"</f>
        <v>Production Costs</v>
      </c>
    </row>
    <row r="68" spans="1:3" x14ac:dyDescent="0.2">
      <c r="A68" s="3" t="str">
        <f>"611"</f>
        <v>611</v>
      </c>
      <c r="B68" s="5" t="str">
        <f>"הפרשי מלאי"</f>
        <v>הפרשי מלאי</v>
      </c>
      <c r="C68" s="5" t="str">
        <f>"Inventory Losses"</f>
        <v>Inventory Losses</v>
      </c>
    </row>
    <row r="69" spans="1:3" x14ac:dyDescent="0.2">
      <c r="A69" s="3" t="str">
        <f>"612"</f>
        <v>612</v>
      </c>
      <c r="B69" s="5" t="str">
        <f>"עלויות יבוא"</f>
        <v>עלויות יבוא</v>
      </c>
      <c r="C69" s="5" t="str">
        <f>"Import Expenses"</f>
        <v>Import Expenses</v>
      </c>
    </row>
    <row r="70" spans="1:3" x14ac:dyDescent="0.2">
      <c r="A70" s="3" t="str">
        <f>"62*"</f>
        <v>62*</v>
      </c>
      <c r="B70" s="5" t="str">
        <f>"הוצאות מימון"</f>
        <v>הוצאות מימון</v>
      </c>
      <c r="C70" s="5" t="str">
        <f>"FINANCING EXPENSES"</f>
        <v>FINANCING EXPENSES</v>
      </c>
    </row>
    <row r="71" spans="1:3" x14ac:dyDescent="0.2">
      <c r="A71" s="3" t="str">
        <f>"620"</f>
        <v>620</v>
      </c>
      <c r="B71" s="5" t="str">
        <f>"ריבית לבנקים"</f>
        <v>ריבית לבנקים</v>
      </c>
      <c r="C71" s="5" t="str">
        <f>"Financing Expenses-Bank Interest"</f>
        <v>Financing Expenses-Bank Interest</v>
      </c>
    </row>
    <row r="72" spans="1:3" x14ac:dyDescent="0.2">
      <c r="A72" s="3" t="str">
        <f>"621"</f>
        <v>621</v>
      </c>
      <c r="B72" s="5" t="str">
        <f>"הפרשי שער"</f>
        <v>הפרשי שער</v>
      </c>
      <c r="C72" s="5" t="str">
        <f>"Exchange Rate Adjustments"</f>
        <v>Exchange Rate Adjustments</v>
      </c>
    </row>
    <row r="73" spans="1:3" x14ac:dyDescent="0.2">
      <c r="A73" s="3" t="str">
        <f>"622"</f>
        <v>622</v>
      </c>
      <c r="B73" s="5" t="str">
        <f>"הפרשי התאמות"</f>
        <v>הפרשי התאמות</v>
      </c>
      <c r="C73" s="5" t="str">
        <f>"Reconciliation Adjustments"</f>
        <v>Reconciliation Adjustments</v>
      </c>
    </row>
    <row r="74" spans="1:3" x14ac:dyDescent="0.2">
      <c r="A74" s="3" t="str">
        <f>"623"</f>
        <v>623</v>
      </c>
      <c r="B74" s="5" t="str">
        <f>"הפרשי מידוד"</f>
        <v>הפרשי מידוד</v>
      </c>
      <c r="C74" s="5" t="str">
        <f>"Price Index Adjustments"</f>
        <v>Price Index Adjustments</v>
      </c>
    </row>
    <row r="75" spans="1:3" x14ac:dyDescent="0.2">
      <c r="A75" s="3" t="str">
        <f>"624"</f>
        <v>624</v>
      </c>
      <c r="B75" s="5" t="str">
        <f>"הנחות ללקוחות"</f>
        <v>הנחות ללקוחות</v>
      </c>
      <c r="C75" s="5" t="str">
        <f>"Customer Discounts"</f>
        <v>Customer Discounts</v>
      </c>
    </row>
    <row r="76" spans="1:3" x14ac:dyDescent="0.2">
      <c r="A76" s="3" t="str">
        <f>"63*"</f>
        <v>63*</v>
      </c>
      <c r="B76" s="5" t="str">
        <f>"הוצאות נוספות"</f>
        <v>הוצאות נוספות</v>
      </c>
      <c r="C76" s="5" t="str">
        <f>"OTHER EXPENSES"</f>
        <v>OTHER EXPENSES</v>
      </c>
    </row>
    <row r="77" spans="1:3" x14ac:dyDescent="0.2">
      <c r="A77" s="3" t="str">
        <f>"630"</f>
        <v>630</v>
      </c>
      <c r="B77" s="5" t="str">
        <f>"שונות"</f>
        <v>שונות</v>
      </c>
      <c r="C77" s="5" t="str">
        <f>"Other Expenses"</f>
        <v>Other Expenses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57"/>
  <sheetViews>
    <sheetView rightToLeft="1" tabSelected="1" workbookViewId="0">
      <selection activeCell="F8" sqref="F8"/>
    </sheetView>
  </sheetViews>
  <sheetFormatPr defaultRowHeight="14.25" x14ac:dyDescent="0.2"/>
  <cols>
    <col min="1" max="1" width="18.25" bestFit="1" customWidth="1"/>
    <col min="2" max="2" width="4" bestFit="1" customWidth="1"/>
    <col min="3" max="3" width="16.125" bestFit="1" customWidth="1"/>
    <col min="4" max="4" width="29.125" bestFit="1" customWidth="1"/>
  </cols>
  <sheetData>
    <row r="1" spans="1:11" ht="15" x14ac:dyDescent="0.25">
      <c r="A1" s="1" t="str">
        <f>"סעיף"</f>
        <v>סעיף</v>
      </c>
      <c r="B1" s="1" t="str">
        <f>"סדר"</f>
        <v>סדר</v>
      </c>
      <c r="C1" s="1" t="str">
        <f>"כותרת בדו""ח"</f>
        <v>כותרת בדו"ח</v>
      </c>
      <c r="D1" t="str">
        <f>"סעיף (אנגלית)"</f>
        <v>סעיף (אנגלית)</v>
      </c>
    </row>
    <row r="2" spans="1:11" ht="15" x14ac:dyDescent="0.25">
      <c r="A2" t="str">
        <f>"קופה ראשית"</f>
        <v>קופה ראשית</v>
      </c>
      <c r="B2">
        <v>0</v>
      </c>
      <c r="C2" t="str">
        <f t="shared" ref="C2:C10" si="0">"רכוש שוטף"</f>
        <v>רכוש שוטף</v>
      </c>
      <c r="D2" t="str">
        <f>"Primary Cashier"</f>
        <v>Primary Cashier</v>
      </c>
      <c r="F2" s="6" t="s">
        <v>0</v>
      </c>
    </row>
    <row r="3" spans="1:11" x14ac:dyDescent="0.2">
      <c r="A3" t="str">
        <f>"מזומנים בבנק"</f>
        <v>מזומנים בבנק</v>
      </c>
      <c r="B3">
        <v>2</v>
      </c>
      <c r="C3" t="str">
        <f t="shared" si="0"/>
        <v>רכוש שוטף</v>
      </c>
      <c r="D3" t="str">
        <f>"Cash in Bank"</f>
        <v>Cash in Bank</v>
      </c>
      <c r="F3" s="5" t="s">
        <v>9</v>
      </c>
    </row>
    <row r="4" spans="1:11" x14ac:dyDescent="0.2">
      <c r="A4" t="str">
        <f>"ניירות ערך סחירים"</f>
        <v>ניירות ערך סחירים</v>
      </c>
      <c r="B4">
        <v>3</v>
      </c>
      <c r="C4" t="str">
        <f t="shared" si="0"/>
        <v>רכוש שוטף</v>
      </c>
      <c r="D4" t="str">
        <f>"Negotiable Stocks"</f>
        <v>Negotiable Stocks</v>
      </c>
      <c r="F4" s="5" t="s">
        <v>10</v>
      </c>
    </row>
    <row r="5" spans="1:11" ht="15" x14ac:dyDescent="0.25">
      <c r="A5" t="str">
        <f>"המחאות לגביה"</f>
        <v>המחאות לגביה</v>
      </c>
      <c r="B5">
        <v>4</v>
      </c>
      <c r="C5" t="str">
        <f t="shared" si="0"/>
        <v>רכוש שוטף</v>
      </c>
      <c r="D5" t="str">
        <f>"Post-dated Checks In"</f>
        <v>Post-dated Checks In</v>
      </c>
      <c r="F5" s="7"/>
    </row>
    <row r="6" spans="1:11" x14ac:dyDescent="0.2">
      <c r="A6" t="str">
        <f>"חברות כרטיסי אשראי"</f>
        <v>חברות כרטיסי אשראי</v>
      </c>
      <c r="B6">
        <v>5</v>
      </c>
      <c r="C6" t="str">
        <f t="shared" si="0"/>
        <v>רכוש שוטף</v>
      </c>
      <c r="D6" t="str">
        <f>"Credit Card Companies"</f>
        <v>Credit Card Companies</v>
      </c>
      <c r="F6" s="8" t="s">
        <v>8</v>
      </c>
    </row>
    <row r="7" spans="1:11" x14ac:dyDescent="0.2">
      <c r="A7" t="str">
        <f>"מקדמות לספקים"</f>
        <v>מקדמות לספקים</v>
      </c>
      <c r="B7">
        <v>7</v>
      </c>
      <c r="C7" t="str">
        <f t="shared" si="0"/>
        <v>רכוש שוטף</v>
      </c>
      <c r="D7" t="str">
        <f>"Prepaid A/P"</f>
        <v>Prepaid A/P</v>
      </c>
      <c r="F7" s="8"/>
    </row>
    <row r="8" spans="1:11" x14ac:dyDescent="0.2">
      <c r="A8" t="str">
        <f>"מלאי חומר גלם"</f>
        <v>מלאי חומר גלם</v>
      </c>
      <c r="B8">
        <v>10</v>
      </c>
      <c r="C8" t="str">
        <f t="shared" si="0"/>
        <v>רכוש שוטף</v>
      </c>
      <c r="D8" t="str">
        <f>"Raw Materials"</f>
        <v>Raw Materials</v>
      </c>
      <c r="F8" s="8"/>
    </row>
    <row r="9" spans="1:11" x14ac:dyDescent="0.2">
      <c r="A9" t="str">
        <f>"מלאי בתהליך יצור"</f>
        <v>מלאי בתהליך יצור</v>
      </c>
      <c r="B9">
        <v>11</v>
      </c>
      <c r="C9" t="str">
        <f t="shared" si="0"/>
        <v>רכוש שוטף</v>
      </c>
      <c r="D9" t="str">
        <f>"Work in Process"</f>
        <v>Work in Process</v>
      </c>
      <c r="F9" s="8"/>
    </row>
    <row r="10" spans="1:11" ht="15" x14ac:dyDescent="0.25">
      <c r="A10" t="str">
        <f>"מלאי תוצ'ג"</f>
        <v>מלאי תוצ'ג</v>
      </c>
      <c r="B10">
        <v>12</v>
      </c>
      <c r="C10" t="str">
        <f t="shared" si="0"/>
        <v>רכוש שוטף</v>
      </c>
      <c r="D10" t="str">
        <f>"Finished Goods"</f>
        <v>Finished Goods</v>
      </c>
      <c r="F10" s="6" t="s">
        <v>12</v>
      </c>
      <c r="G10" s="9"/>
      <c r="H10" s="9"/>
      <c r="I10" s="9"/>
      <c r="J10" s="9"/>
      <c r="K10" s="9"/>
    </row>
    <row r="11" spans="1:11" x14ac:dyDescent="0.2">
      <c r="A11" t="str">
        <f>"קרקע"</f>
        <v>קרקע</v>
      </c>
      <c r="B11">
        <v>51</v>
      </c>
      <c r="C11" t="str">
        <f t="shared" ref="C11:C18" si="1">"רכוש קבוע"</f>
        <v>רכוש קבוע</v>
      </c>
      <c r="D11" t="str">
        <f>"Property-Land"</f>
        <v>Property-Land</v>
      </c>
      <c r="F11" t="str">
        <f t="shared" ref="F11:F12" si="2">"רכוש שוטף"</f>
        <v>רכוש שוטף</v>
      </c>
    </row>
    <row r="12" spans="1:11" x14ac:dyDescent="0.2">
      <c r="A12" t="str">
        <f>"מבנים"</f>
        <v>מבנים</v>
      </c>
      <c r="B12">
        <v>52</v>
      </c>
      <c r="C12" t="str">
        <f t="shared" si="1"/>
        <v>רכוש קבוע</v>
      </c>
      <c r="D12" t="str">
        <f>"Property-Bldgs"</f>
        <v>Property-Bldgs</v>
      </c>
      <c r="F12" t="str">
        <f t="shared" ref="F12" si="3">"רכוש קבוע"</f>
        <v>רכוש קבוע</v>
      </c>
    </row>
    <row r="13" spans="1:11" x14ac:dyDescent="0.2">
      <c r="A13" t="str">
        <f>"מבנים - פחת נצבר"</f>
        <v>מבנים - פחת נצבר</v>
      </c>
      <c r="B13">
        <v>53</v>
      </c>
      <c r="C13" t="str">
        <f t="shared" si="1"/>
        <v>רכוש קבוע</v>
      </c>
      <c r="D13" t="str">
        <f>"Buildings-Accumulated Deprec."</f>
        <v>Buildings-Accumulated Deprec.</v>
      </c>
      <c r="F13" t="str">
        <f>"התחייבויות שוטפות"</f>
        <v>התחייבויות שוטפות</v>
      </c>
    </row>
    <row r="14" spans="1:11" x14ac:dyDescent="0.2">
      <c r="A14" t="str">
        <f>"מכונות"</f>
        <v>מכונות</v>
      </c>
      <c r="B14">
        <v>54</v>
      </c>
      <c r="C14" t="str">
        <f t="shared" si="1"/>
        <v>רכוש קבוע</v>
      </c>
      <c r="D14" t="str">
        <f>"Equipment"</f>
        <v>Equipment</v>
      </c>
      <c r="F14" t="str">
        <f>"התחייבויות לזמן ארוך"</f>
        <v>התחייבויות לזמן ארוך</v>
      </c>
    </row>
    <row r="15" spans="1:11" x14ac:dyDescent="0.2">
      <c r="A15" t="str">
        <f>"מכונות - פחת נצבר"</f>
        <v>מכונות - פחת נצבר</v>
      </c>
      <c r="B15">
        <v>55</v>
      </c>
      <c r="C15" t="str">
        <f t="shared" si="1"/>
        <v>רכוש קבוע</v>
      </c>
      <c r="D15" t="str">
        <f>"Equipment-Accumulated Deprec."</f>
        <v>Equipment-Accumulated Deprec.</v>
      </c>
      <c r="F15" t="str">
        <f>"הון עצמי"</f>
        <v>הון עצמי</v>
      </c>
    </row>
    <row r="16" spans="1:11" x14ac:dyDescent="0.2">
      <c r="A16" t="str">
        <f>"ריהוט"</f>
        <v>ריהוט</v>
      </c>
      <c r="B16">
        <v>56</v>
      </c>
      <c r="C16" t="str">
        <f t="shared" si="1"/>
        <v>רכוש קבוע</v>
      </c>
      <c r="D16" t="str">
        <f>"Furnishings"</f>
        <v>Furnishings</v>
      </c>
      <c r="F16" t="str">
        <f t="shared" ref="F16" si="4">"הכנסות"</f>
        <v>הכנסות</v>
      </c>
    </row>
    <row r="17" spans="1:6" x14ac:dyDescent="0.2">
      <c r="A17" t="str">
        <f>"ריהוט - פחת נצבר"</f>
        <v>ריהוט - פחת נצבר</v>
      </c>
      <c r="B17">
        <v>57</v>
      </c>
      <c r="C17" t="str">
        <f t="shared" si="1"/>
        <v>רכוש קבוע</v>
      </c>
      <c r="D17" t="str">
        <f>"Furnishings-Accumulated Deprec."</f>
        <v>Furnishings-Accumulated Deprec.</v>
      </c>
      <c r="F17" t="str">
        <f>"עלות המכירות"</f>
        <v>עלות המכירות</v>
      </c>
    </row>
    <row r="18" spans="1:6" x14ac:dyDescent="0.2">
      <c r="A18" t="str">
        <f>"ניירות ערך בלתי סחירים"</f>
        <v>ניירות ערך בלתי סחירים</v>
      </c>
      <c r="B18">
        <v>58</v>
      </c>
      <c r="C18" t="str">
        <f t="shared" si="1"/>
        <v>רכוש קבוע</v>
      </c>
      <c r="D18" t="str">
        <f>"Non-negotiable Stocks"</f>
        <v>Non-negotiable Stocks</v>
      </c>
      <c r="F18" t="str">
        <f t="shared" ref="F18" si="5">"הוצאות"</f>
        <v>הוצאות</v>
      </c>
    </row>
    <row r="19" spans="1:6" x14ac:dyDescent="0.2">
      <c r="A19" t="str">
        <f>"מקדמות מלקוחות"</f>
        <v>מקדמות מלקוחות</v>
      </c>
      <c r="B19">
        <v>1</v>
      </c>
      <c r="C19" t="str">
        <f>"התחייבויות שוטפות"</f>
        <v>התחייבויות שוטפות</v>
      </c>
      <c r="D19" t="str">
        <f>"Prepaid A/R"</f>
        <v>Prepaid A/R</v>
      </c>
    </row>
    <row r="20" spans="1:6" x14ac:dyDescent="0.2">
      <c r="A20" t="str">
        <f>"הלוואות זמן קצר"</f>
        <v>הלוואות זמן קצר</v>
      </c>
      <c r="B20">
        <v>2</v>
      </c>
      <c r="C20" t="str">
        <f>"התחייבויות שוטפות"</f>
        <v>התחייבויות שוטפות</v>
      </c>
      <c r="D20" t="str">
        <f>"Short-term Loans"</f>
        <v>Short-term Loans</v>
      </c>
    </row>
    <row r="21" spans="1:6" x14ac:dyDescent="0.2">
      <c r="A21" t="str">
        <f>"המחאות לפרעון"</f>
        <v>המחאות לפרעון</v>
      </c>
      <c r="B21">
        <v>4</v>
      </c>
      <c r="C21" t="str">
        <f>"התחייבויות שוטפות"</f>
        <v>התחייבויות שוטפות</v>
      </c>
      <c r="D21" t="str">
        <f>"Post-dated Checks Out"</f>
        <v>Post-dated Checks Out</v>
      </c>
    </row>
    <row r="22" spans="1:6" x14ac:dyDescent="0.2">
      <c r="A22" t="str">
        <f>"מע'מ חו'ז"</f>
        <v>מע'מ חו'ז</v>
      </c>
      <c r="B22">
        <v>5</v>
      </c>
      <c r="C22" t="str">
        <f>"התחייבויות שוטפות"</f>
        <v>התחייבויות שוטפות</v>
      </c>
      <c r="D22" t="str">
        <f>"VAT (Debit and Credit)"</f>
        <v>VAT (Debit and Credit)</v>
      </c>
    </row>
    <row r="23" spans="1:6" x14ac:dyDescent="0.2">
      <c r="A23" t="str">
        <f>"מוסדות"</f>
        <v>מוסדות</v>
      </c>
      <c r="B23">
        <v>6</v>
      </c>
      <c r="C23" t="str">
        <f>"התחייבויות שוטפות"</f>
        <v>התחייבויות שוטפות</v>
      </c>
      <c r="D23" t="str">
        <f>"Institutions"</f>
        <v>Institutions</v>
      </c>
    </row>
    <row r="24" spans="1:6" x14ac:dyDescent="0.2">
      <c r="A24" t="str">
        <f>"הלוואות לזמן ארוך"</f>
        <v>הלוואות לזמן ארוך</v>
      </c>
      <c r="B24">
        <v>50</v>
      </c>
      <c r="C24" t="str">
        <f>"התחייבויות לזמן ארוך"</f>
        <v>התחייבויות לזמן ארוך</v>
      </c>
      <c r="D24" t="str">
        <f>"Long-term Loans"</f>
        <v>Long-term Loans</v>
      </c>
    </row>
    <row r="25" spans="1:6" x14ac:dyDescent="0.2">
      <c r="A25" t="str">
        <f>"הפרשות לפיצויים"</f>
        <v>הפרשות לפיצויים</v>
      </c>
      <c r="B25">
        <v>51</v>
      </c>
      <c r="C25" t="str">
        <f>"התחייבויות לזמן ארוך"</f>
        <v>התחייבויות לזמן ארוך</v>
      </c>
      <c r="D25" t="str">
        <f>"Workers Comp Deductions"</f>
        <v>Workers Comp Deductions</v>
      </c>
    </row>
    <row r="26" spans="1:6" x14ac:dyDescent="0.2">
      <c r="A26" t="str">
        <f>"הון מניות"</f>
        <v>הון מניות</v>
      </c>
      <c r="B26">
        <v>0</v>
      </c>
      <c r="C26" t="str">
        <f>"הון עצמי"</f>
        <v>הון עצמי</v>
      </c>
      <c r="D26" t="str">
        <f>"Capital Stock"</f>
        <v>Capital Stock</v>
      </c>
    </row>
    <row r="27" spans="1:6" x14ac:dyDescent="0.2">
      <c r="A27" t="str">
        <f>"יתרת רווח שנים קודמות"</f>
        <v>יתרת רווח שנים קודמות</v>
      </c>
      <c r="B27">
        <v>1</v>
      </c>
      <c r="C27" t="str">
        <f>"הון עצמי"</f>
        <v>הון עצמי</v>
      </c>
      <c r="D27" t="str">
        <f>"Prior Retained Earnings"</f>
        <v>Prior Retained Earnings</v>
      </c>
    </row>
    <row r="28" spans="1:6" x14ac:dyDescent="0.2">
      <c r="A28" t="str">
        <f>"יתרות פתיחה"</f>
        <v>יתרות פתיחה</v>
      </c>
      <c r="B28">
        <v>3</v>
      </c>
      <c r="C28" t="str">
        <f>"הון עצמי"</f>
        <v>הון עצמי</v>
      </c>
      <c r="D28" t="str">
        <f>"Opening Balances"</f>
        <v>Opening Balances</v>
      </c>
    </row>
    <row r="29" spans="1:6" x14ac:dyDescent="0.2">
      <c r="A29" t="str">
        <f>"יתרת רווח"</f>
        <v>יתרת רווח</v>
      </c>
      <c r="B29">
        <v>100</v>
      </c>
      <c r="C29" t="str">
        <f>"הון עצמי"</f>
        <v>הון עצמי</v>
      </c>
      <c r="D29" t="str">
        <f>"Retained Earnings"</f>
        <v>Retained Earnings</v>
      </c>
    </row>
    <row r="30" spans="1:6" x14ac:dyDescent="0.2">
      <c r="A30" t="str">
        <f>"הכנסות ממכירות בארץ"</f>
        <v>הכנסות ממכירות בארץ</v>
      </c>
      <c r="B30">
        <v>0</v>
      </c>
      <c r="C30" t="str">
        <f t="shared" ref="C30:C35" si="6">"הכנסות"</f>
        <v>הכנסות</v>
      </c>
      <c r="D30" t="str">
        <f>"Income from Domestic Sales"</f>
        <v>Income from Domestic Sales</v>
      </c>
    </row>
    <row r="31" spans="1:6" x14ac:dyDescent="0.2">
      <c r="A31" t="str">
        <f>"הכנסות מיצוא"</f>
        <v>הכנסות מיצוא</v>
      </c>
      <c r="B31">
        <v>1</v>
      </c>
      <c r="C31" t="str">
        <f t="shared" si="6"/>
        <v>הכנסות</v>
      </c>
      <c r="D31" t="str">
        <f>"Export Income"</f>
        <v>Export Income</v>
      </c>
    </row>
    <row r="32" spans="1:6" x14ac:dyDescent="0.2">
      <c r="A32" t="str">
        <f>"הכנסות מימוש נכסים"</f>
        <v>הכנסות מימוש נכסים</v>
      </c>
      <c r="B32">
        <v>2</v>
      </c>
      <c r="C32" t="str">
        <f t="shared" si="6"/>
        <v>הכנסות</v>
      </c>
      <c r="D32" t="str">
        <f>"Income from Property Sales"</f>
        <v>Income from Property Sales</v>
      </c>
    </row>
    <row r="33" spans="1:4" x14ac:dyDescent="0.2">
      <c r="A33" t="str">
        <f>"הכנסות מעמלות"</f>
        <v>הכנסות מעמלות</v>
      </c>
      <c r="B33">
        <v>3</v>
      </c>
      <c r="C33" t="str">
        <f t="shared" si="6"/>
        <v>הכנסות</v>
      </c>
      <c r="D33" t="str">
        <f>"Income from Commissions"</f>
        <v>Income from Commissions</v>
      </c>
    </row>
    <row r="34" spans="1:4" x14ac:dyDescent="0.2">
      <c r="A34" t="str">
        <f>"ריבית לקוחות"</f>
        <v>ריבית לקוחות</v>
      </c>
      <c r="B34">
        <v>4</v>
      </c>
      <c r="C34" t="str">
        <f t="shared" si="6"/>
        <v>הכנסות</v>
      </c>
      <c r="D34" t="str">
        <f>"Income from Finance Charges"</f>
        <v>Income from Finance Charges</v>
      </c>
    </row>
    <row r="35" spans="1:4" x14ac:dyDescent="0.2">
      <c r="A35" t="str">
        <f>"הנחות מספקים"</f>
        <v>הנחות מספקים</v>
      </c>
      <c r="B35">
        <v>5</v>
      </c>
      <c r="C35" t="str">
        <f t="shared" si="6"/>
        <v>הכנסות</v>
      </c>
      <c r="D35" t="str">
        <f>"Vendor Discounts"</f>
        <v>Vendor Discounts</v>
      </c>
    </row>
    <row r="36" spans="1:4" x14ac:dyDescent="0.2">
      <c r="A36" t="str">
        <f>"עלות המכירות"</f>
        <v>עלות המכירות</v>
      </c>
      <c r="B36">
        <v>0</v>
      </c>
      <c r="C36" t="str">
        <f>"עלות המכירות"</f>
        <v>עלות המכירות</v>
      </c>
      <c r="D36" t="str">
        <f>"Cost of Goods Sold"</f>
        <v>Cost of Goods Sold</v>
      </c>
    </row>
    <row r="37" spans="1:4" x14ac:dyDescent="0.2">
      <c r="A37" t="str">
        <f>"מלאי פתיחה"</f>
        <v>מלאי פתיחה</v>
      </c>
      <c r="B37">
        <v>1</v>
      </c>
      <c r="C37" t="str">
        <f>"עלות המכירות"</f>
        <v>עלות המכירות</v>
      </c>
      <c r="D37" t="str">
        <f>"Opening Inventory"</f>
        <v>Opening Inventory</v>
      </c>
    </row>
    <row r="38" spans="1:4" x14ac:dyDescent="0.2">
      <c r="A38" t="str">
        <f>"קניות"</f>
        <v>קניות</v>
      </c>
      <c r="B38">
        <v>2</v>
      </c>
      <c r="C38" t="str">
        <f>"עלות המכירות"</f>
        <v>עלות המכירות</v>
      </c>
      <c r="D38" t="str">
        <f>"Purchases"</f>
        <v>Purchases</v>
      </c>
    </row>
    <row r="39" spans="1:4" x14ac:dyDescent="0.2">
      <c r="A39" t="str">
        <f>"מלאי סגירה"</f>
        <v>מלאי סגירה</v>
      </c>
      <c r="B39">
        <v>3</v>
      </c>
      <c r="C39" t="str">
        <f>"עלות המכירות"</f>
        <v>עלות המכירות</v>
      </c>
      <c r="D39" t="str">
        <f>"Closing Inventory"</f>
        <v>Closing Inventory</v>
      </c>
    </row>
    <row r="40" spans="1:4" x14ac:dyDescent="0.2">
      <c r="A40" t="str">
        <f>"שכר עבודה"</f>
        <v>שכר עבודה</v>
      </c>
      <c r="B40">
        <v>0</v>
      </c>
      <c r="C40" t="str">
        <f t="shared" ref="C40:C57" si="7">"הוצאות"</f>
        <v>הוצאות</v>
      </c>
      <c r="D40" t="str">
        <f>"Wages"</f>
        <v>Wages</v>
      </c>
    </row>
    <row r="41" spans="1:4" x14ac:dyDescent="0.2">
      <c r="A41" t="str">
        <f>"מיסים ואגרות"</f>
        <v>מיסים ואגרות</v>
      </c>
      <c r="B41">
        <v>1</v>
      </c>
      <c r="C41" t="str">
        <f t="shared" si="7"/>
        <v>הוצאות</v>
      </c>
      <c r="D41" t="str">
        <f>"Payroll Taxes"</f>
        <v>Payroll Taxes</v>
      </c>
    </row>
    <row r="42" spans="1:4" x14ac:dyDescent="0.2">
      <c r="A42" t="str">
        <f>"דמי שכירה וחכירה"</f>
        <v>דמי שכירה וחכירה</v>
      </c>
      <c r="B42">
        <v>2</v>
      </c>
      <c r="C42" t="str">
        <f t="shared" si="7"/>
        <v>הוצאות</v>
      </c>
      <c r="D42" t="str">
        <f>"Leasing and Rental Expenses"</f>
        <v>Leasing and Rental Expenses</v>
      </c>
    </row>
    <row r="43" spans="1:4" x14ac:dyDescent="0.2">
      <c r="A43" t="str">
        <f>"חובות אבודים"</f>
        <v>חובות אבודים</v>
      </c>
      <c r="B43">
        <v>3</v>
      </c>
      <c r="C43" t="str">
        <f t="shared" si="7"/>
        <v>הוצאות</v>
      </c>
      <c r="D43" t="str">
        <f>"Write-Offs"</f>
        <v>Write-Offs</v>
      </c>
    </row>
    <row r="44" spans="1:4" x14ac:dyDescent="0.2">
      <c r="A44" t="str">
        <f>"פחת"</f>
        <v>פחת</v>
      </c>
      <c r="B44">
        <v>4</v>
      </c>
      <c r="C44" t="str">
        <f t="shared" si="7"/>
        <v>הוצאות</v>
      </c>
      <c r="D44" t="str">
        <f>"Depreciation"</f>
        <v>Depreciation</v>
      </c>
    </row>
    <row r="45" spans="1:4" x14ac:dyDescent="0.2">
      <c r="A45" t="str">
        <f>"ביטוחים"</f>
        <v>ביטוחים</v>
      </c>
      <c r="B45">
        <v>5</v>
      </c>
      <c r="C45" t="str">
        <f t="shared" si="7"/>
        <v>הוצאות</v>
      </c>
      <c r="D45" t="str">
        <f>"Insurance"</f>
        <v>Insurance</v>
      </c>
    </row>
    <row r="46" spans="1:4" x14ac:dyDescent="0.2">
      <c r="A46" t="str">
        <f>"הוצאות כלליות"</f>
        <v>הוצאות כלליות</v>
      </c>
      <c r="B46">
        <v>6</v>
      </c>
      <c r="C46" t="str">
        <f t="shared" si="7"/>
        <v>הוצאות</v>
      </c>
      <c r="D46" t="str">
        <f>"Miscellaneous Expenses"</f>
        <v>Miscellaneous Expenses</v>
      </c>
    </row>
    <row r="47" spans="1:4" x14ac:dyDescent="0.2">
      <c r="A47" t="str">
        <f>"הוצאות משרד"</f>
        <v>הוצאות משרד</v>
      </c>
      <c r="B47">
        <v>7</v>
      </c>
      <c r="C47" t="str">
        <f t="shared" si="7"/>
        <v>הוצאות</v>
      </c>
      <c r="D47" t="str">
        <f>"Office &amp; Admin. Expenses"</f>
        <v>Office &amp; Admin. Expenses</v>
      </c>
    </row>
    <row r="48" spans="1:4" x14ac:dyDescent="0.2">
      <c r="A48" t="str">
        <f>"פרסום"</f>
        <v>פרסום</v>
      </c>
      <c r="B48">
        <v>8</v>
      </c>
      <c r="C48" t="str">
        <f t="shared" si="7"/>
        <v>הוצאות</v>
      </c>
      <c r="D48" t="str">
        <f>"Advertising"</f>
        <v>Advertising</v>
      </c>
    </row>
    <row r="49" spans="1:4" x14ac:dyDescent="0.2">
      <c r="A49" t="str">
        <f>"הוצאות יצור"</f>
        <v>הוצאות יצור</v>
      </c>
      <c r="B49">
        <v>10</v>
      </c>
      <c r="C49" t="str">
        <f t="shared" si="7"/>
        <v>הוצאות</v>
      </c>
      <c r="D49" t="str">
        <f>"Production Costs"</f>
        <v>Production Costs</v>
      </c>
    </row>
    <row r="50" spans="1:4" x14ac:dyDescent="0.2">
      <c r="A50" t="str">
        <f>"הפרשי מלאי"</f>
        <v>הפרשי מלאי</v>
      </c>
      <c r="B50">
        <v>11</v>
      </c>
      <c r="C50" t="str">
        <f t="shared" si="7"/>
        <v>הוצאות</v>
      </c>
      <c r="D50" t="str">
        <f>"Inventory Losses"</f>
        <v>Inventory Losses</v>
      </c>
    </row>
    <row r="51" spans="1:4" x14ac:dyDescent="0.2">
      <c r="A51" t="str">
        <f>"עלויות יבוא"</f>
        <v>עלויות יבוא</v>
      </c>
      <c r="B51">
        <v>12</v>
      </c>
      <c r="C51" t="str">
        <f t="shared" si="7"/>
        <v>הוצאות</v>
      </c>
      <c r="D51" t="str">
        <f>"Import Expenses"</f>
        <v>Import Expenses</v>
      </c>
    </row>
    <row r="52" spans="1:4" x14ac:dyDescent="0.2">
      <c r="A52" t="str">
        <f>"ריבית לבנקים"</f>
        <v>ריבית לבנקים</v>
      </c>
      <c r="B52">
        <v>20</v>
      </c>
      <c r="C52" t="str">
        <f t="shared" si="7"/>
        <v>הוצאות</v>
      </c>
      <c r="D52" t="str">
        <f>"Financing Expenses-Bank Interest"</f>
        <v>Financing Expenses-Bank Interest</v>
      </c>
    </row>
    <row r="53" spans="1:4" x14ac:dyDescent="0.2">
      <c r="A53" t="str">
        <f>"הפרשי שער"</f>
        <v>הפרשי שער</v>
      </c>
      <c r="B53">
        <v>21</v>
      </c>
      <c r="C53" t="str">
        <f t="shared" si="7"/>
        <v>הוצאות</v>
      </c>
      <c r="D53" t="str">
        <f>"Exchange Rate Adjustments"</f>
        <v>Exchange Rate Adjustments</v>
      </c>
    </row>
    <row r="54" spans="1:4" x14ac:dyDescent="0.2">
      <c r="A54" t="str">
        <f>"הפרשי התאמות"</f>
        <v>הפרשי התאמות</v>
      </c>
      <c r="B54">
        <v>22</v>
      </c>
      <c r="C54" t="str">
        <f t="shared" si="7"/>
        <v>הוצאות</v>
      </c>
      <c r="D54" t="str">
        <f>"Reconciliation Adjustments"</f>
        <v>Reconciliation Adjustments</v>
      </c>
    </row>
    <row r="55" spans="1:4" x14ac:dyDescent="0.2">
      <c r="A55" t="str">
        <f>"הפרשי מידוד"</f>
        <v>הפרשי מידוד</v>
      </c>
      <c r="B55">
        <v>23</v>
      </c>
      <c r="C55" t="str">
        <f t="shared" si="7"/>
        <v>הוצאות</v>
      </c>
      <c r="D55" t="str">
        <f>"Price Index Adjustments"</f>
        <v>Price Index Adjustments</v>
      </c>
    </row>
    <row r="56" spans="1:4" x14ac:dyDescent="0.2">
      <c r="A56" t="str">
        <f>"הנחות ללקוחות"</f>
        <v>הנחות ללקוחות</v>
      </c>
      <c r="B56">
        <v>24</v>
      </c>
      <c r="C56" t="str">
        <f t="shared" si="7"/>
        <v>הוצאות</v>
      </c>
      <c r="D56" t="str">
        <f>"Customer Discounts"</f>
        <v>Customer Discounts</v>
      </c>
    </row>
    <row r="57" spans="1:4" x14ac:dyDescent="0.2">
      <c r="A57" t="str">
        <f>"שונות"</f>
        <v>שונות</v>
      </c>
      <c r="B57">
        <v>30</v>
      </c>
      <c r="C57" t="str">
        <f t="shared" si="7"/>
        <v>הוצאות</v>
      </c>
      <c r="D57" t="str">
        <f>"Other Expenses"</f>
        <v>Other Expenses</v>
      </c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סעיפי מאזן בוחן</vt:lpstr>
      <vt:lpstr>סעיפי מאזן רווה"פ לכרטסת ראשית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Avital Babler</dc:creator>
  <cp:lastModifiedBy>Avital Babler</cp:lastModifiedBy>
  <dcterms:created xsi:type="dcterms:W3CDTF">2016-09-21T07:57:58Z</dcterms:created>
  <dcterms:modified xsi:type="dcterms:W3CDTF">2016-10-30T12:19:42Z</dcterms:modified>
</cp:coreProperties>
</file>