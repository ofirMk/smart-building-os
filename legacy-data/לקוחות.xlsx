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לייטמןמערכות\Dropbox\הסבות סופי\"/>
    </mc:Choice>
  </mc:AlternateContent>
  <bookViews>
    <workbookView xWindow="0" yWindow="0" windowWidth="28800" windowHeight="12240"/>
  </bookViews>
  <sheets>
    <sheet name="גיליון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1" l="1"/>
  <c r="E37" i="1"/>
  <c r="F37" i="1"/>
  <c r="BC37" i="1"/>
  <c r="CV37" i="1"/>
  <c r="CW37" i="1"/>
  <c r="CX37" i="1"/>
  <c r="B38" i="1"/>
  <c r="E38" i="1"/>
  <c r="F38" i="1"/>
  <c r="BC38" i="1"/>
  <c r="CV38" i="1"/>
  <c r="CW38" i="1"/>
  <c r="CX38" i="1"/>
  <c r="B39" i="1"/>
  <c r="E39" i="1"/>
  <c r="F39" i="1"/>
  <c r="BC39" i="1"/>
  <c r="CV39" i="1"/>
  <c r="CW39" i="1"/>
  <c r="CX39" i="1"/>
  <c r="B40" i="1"/>
  <c r="E40" i="1"/>
  <c r="F40" i="1"/>
  <c r="BC40" i="1"/>
  <c r="CV40" i="1"/>
  <c r="CW40" i="1"/>
  <c r="CX40" i="1"/>
  <c r="B41" i="1"/>
  <c r="E41" i="1"/>
  <c r="F41" i="1"/>
  <c r="BC41" i="1"/>
  <c r="CV41" i="1"/>
  <c r="CW41" i="1"/>
  <c r="CX41" i="1"/>
  <c r="B42" i="1"/>
  <c r="E42" i="1"/>
  <c r="F42" i="1"/>
  <c r="BC42" i="1"/>
  <c r="CV42" i="1"/>
  <c r="CW42" i="1"/>
  <c r="CX42" i="1"/>
  <c r="B43" i="1"/>
  <c r="E43" i="1"/>
  <c r="F43" i="1"/>
  <c r="BC43" i="1"/>
  <c r="CV43" i="1"/>
  <c r="CW43" i="1"/>
  <c r="CX43" i="1"/>
  <c r="B44" i="1"/>
  <c r="E44" i="1"/>
  <c r="F44" i="1"/>
  <c r="J44" i="1"/>
  <c r="K44" i="1"/>
  <c r="AC44" i="1"/>
  <c r="AF44" i="1"/>
  <c r="AG44" i="1"/>
  <c r="AI44" i="1"/>
  <c r="AK44" i="1"/>
  <c r="AM44" i="1"/>
  <c r="BC44" i="1"/>
  <c r="CV44" i="1"/>
  <c r="CW44" i="1"/>
  <c r="CX44" i="1"/>
  <c r="B45" i="1"/>
  <c r="E45" i="1"/>
  <c r="F45" i="1"/>
  <c r="BC45" i="1"/>
  <c r="CV45" i="1"/>
  <c r="CW45" i="1"/>
  <c r="CX45" i="1"/>
  <c r="B46" i="1"/>
  <c r="E46" i="1"/>
  <c r="F46" i="1"/>
  <c r="BC46" i="1"/>
  <c r="CV46" i="1"/>
  <c r="CW46" i="1"/>
  <c r="CX46" i="1"/>
  <c r="B47" i="1"/>
  <c r="E47" i="1"/>
  <c r="F47" i="1"/>
  <c r="BC47" i="1"/>
  <c r="CV47" i="1"/>
  <c r="CW47" i="1"/>
  <c r="CX47" i="1"/>
  <c r="B48" i="1"/>
  <c r="E48" i="1"/>
  <c r="F48" i="1"/>
  <c r="AC48" i="1"/>
  <c r="BC48" i="1"/>
  <c r="CV48" i="1"/>
  <c r="CW48" i="1"/>
  <c r="CX48" i="1"/>
  <c r="B49" i="1"/>
  <c r="E49" i="1"/>
  <c r="F49" i="1"/>
  <c r="J49" i="1"/>
  <c r="AC49" i="1"/>
  <c r="AD49" i="1"/>
  <c r="AI49" i="1"/>
  <c r="AK49" i="1"/>
  <c r="BC49" i="1"/>
  <c r="CV49" i="1"/>
  <c r="CW49" i="1"/>
  <c r="CX49" i="1"/>
  <c r="B50" i="1"/>
  <c r="E50" i="1"/>
  <c r="F50" i="1"/>
  <c r="BC50" i="1"/>
  <c r="CV50" i="1"/>
  <c r="CW50" i="1"/>
  <c r="CX50" i="1"/>
  <c r="B51" i="1"/>
  <c r="E51" i="1"/>
  <c r="F51" i="1"/>
  <c r="J51" i="1"/>
  <c r="K51" i="1"/>
  <c r="AC51" i="1"/>
  <c r="AI51" i="1"/>
  <c r="AK51" i="1"/>
  <c r="BC51" i="1"/>
  <c r="CV51" i="1"/>
  <c r="CW51" i="1"/>
  <c r="CX51" i="1"/>
  <c r="B52" i="1"/>
  <c r="C52" i="1"/>
  <c r="E52" i="1"/>
  <c r="F52" i="1"/>
  <c r="J52" i="1"/>
  <c r="AC52" i="1"/>
  <c r="AI52" i="1"/>
  <c r="AK52" i="1"/>
  <c r="BC52" i="1"/>
  <c r="CV52" i="1"/>
  <c r="CW52" i="1"/>
  <c r="CX52" i="1"/>
  <c r="B53" i="1"/>
  <c r="E53" i="1"/>
  <c r="F53" i="1"/>
  <c r="BC53" i="1"/>
  <c r="CV53" i="1"/>
  <c r="CW53" i="1"/>
  <c r="CX53" i="1"/>
  <c r="B54" i="1"/>
  <c r="E54" i="1"/>
  <c r="F54" i="1"/>
  <c r="BC54" i="1"/>
  <c r="CV54" i="1"/>
  <c r="CW54" i="1"/>
  <c r="CX54" i="1"/>
  <c r="B55" i="1"/>
  <c r="E55" i="1"/>
  <c r="F55" i="1"/>
  <c r="AC55" i="1"/>
  <c r="AD55" i="1"/>
  <c r="AI55" i="1"/>
  <c r="AK55" i="1"/>
  <c r="BC55" i="1"/>
  <c r="CV55" i="1"/>
  <c r="CW55" i="1"/>
  <c r="CX55" i="1"/>
  <c r="B56" i="1"/>
  <c r="E56" i="1"/>
  <c r="F56" i="1"/>
  <c r="J56" i="1"/>
  <c r="K56" i="1"/>
  <c r="AC56" i="1"/>
  <c r="AF56" i="1"/>
  <c r="AG56" i="1"/>
  <c r="AI56" i="1"/>
  <c r="AK56" i="1"/>
  <c r="BC56" i="1"/>
  <c r="CV56" i="1"/>
  <c r="CW56" i="1"/>
  <c r="CX56" i="1"/>
  <c r="B57" i="1"/>
  <c r="E57" i="1"/>
  <c r="F57" i="1"/>
  <c r="AC57" i="1"/>
  <c r="AF57" i="1"/>
  <c r="AG57" i="1"/>
  <c r="AI57" i="1"/>
  <c r="AK57" i="1"/>
  <c r="AM57" i="1"/>
  <c r="BC57" i="1"/>
  <c r="CV57" i="1"/>
  <c r="CW57" i="1"/>
  <c r="CX57" i="1"/>
  <c r="B58" i="1"/>
  <c r="E58" i="1"/>
  <c r="F58" i="1"/>
  <c r="AC58" i="1"/>
  <c r="AF58" i="1"/>
  <c r="AG58" i="1"/>
  <c r="AI58" i="1"/>
  <c r="AK58" i="1"/>
  <c r="AM58" i="1"/>
  <c r="BC58" i="1"/>
  <c r="CV58" i="1"/>
  <c r="CW58" i="1"/>
  <c r="CX58" i="1"/>
  <c r="B59" i="1"/>
  <c r="C59" i="1"/>
  <c r="E59" i="1"/>
  <c r="F59" i="1"/>
  <c r="J59" i="1"/>
  <c r="K59" i="1"/>
  <c r="AC59" i="1"/>
  <c r="AI59" i="1"/>
  <c r="AK59" i="1"/>
  <c r="AM59" i="1"/>
  <c r="BC59" i="1"/>
  <c r="BP59" i="1"/>
  <c r="CV59" i="1"/>
  <c r="CW59" i="1"/>
  <c r="CX59" i="1"/>
  <c r="B60" i="1"/>
  <c r="C60" i="1"/>
  <c r="E60" i="1"/>
  <c r="F60" i="1"/>
  <c r="AC60" i="1"/>
  <c r="AF60" i="1"/>
  <c r="AG60" i="1"/>
  <c r="AK60" i="1"/>
  <c r="BC60" i="1"/>
  <c r="CV60" i="1"/>
  <c r="CW60" i="1"/>
  <c r="CX60" i="1"/>
  <c r="B61" i="1"/>
  <c r="E61" i="1"/>
  <c r="F61" i="1"/>
  <c r="J61" i="1"/>
  <c r="K61" i="1"/>
  <c r="AC61" i="1"/>
  <c r="AI61" i="1"/>
  <c r="BC61" i="1"/>
  <c r="CV61" i="1"/>
  <c r="CW61" i="1"/>
  <c r="CX61" i="1"/>
  <c r="B62" i="1"/>
  <c r="E62" i="1"/>
  <c r="F62" i="1"/>
  <c r="J62" i="1"/>
  <c r="K62" i="1"/>
  <c r="AC62" i="1"/>
  <c r="AI62" i="1"/>
  <c r="AK62" i="1"/>
  <c r="BC62" i="1"/>
  <c r="CV62" i="1"/>
  <c r="CW62" i="1"/>
  <c r="CX62" i="1"/>
  <c r="B63" i="1"/>
  <c r="E63" i="1"/>
  <c r="F63" i="1"/>
  <c r="J63" i="1"/>
  <c r="K63" i="1"/>
  <c r="AC63" i="1"/>
  <c r="AD63" i="1"/>
  <c r="AE63" i="1"/>
  <c r="AK63" i="1"/>
  <c r="BC63" i="1"/>
  <c r="CV63" i="1"/>
  <c r="CW63" i="1"/>
  <c r="CX63" i="1"/>
  <c r="B1" i="1"/>
  <c r="E1" i="1"/>
  <c r="F1" i="1"/>
  <c r="J1" i="1"/>
  <c r="AC1" i="1"/>
  <c r="BC1" i="1"/>
  <c r="CV1" i="1"/>
  <c r="CW1" i="1"/>
  <c r="CX1" i="1"/>
  <c r="B2" i="1"/>
  <c r="E2" i="1"/>
  <c r="F2" i="1"/>
  <c r="J2" i="1"/>
  <c r="K2" i="1"/>
  <c r="AC2" i="1"/>
  <c r="AK2" i="1"/>
  <c r="BC2" i="1"/>
  <c r="CV2" i="1"/>
  <c r="CW2" i="1"/>
  <c r="CX2" i="1"/>
  <c r="B3" i="1"/>
  <c r="E3" i="1"/>
  <c r="F3" i="1"/>
  <c r="J3" i="1"/>
  <c r="K3" i="1"/>
  <c r="L3" i="1"/>
  <c r="AC3" i="1"/>
  <c r="AD3" i="1"/>
  <c r="BC3" i="1"/>
  <c r="CV3" i="1"/>
  <c r="CW3" i="1"/>
  <c r="CX3" i="1"/>
  <c r="B4" i="1"/>
  <c r="E4" i="1"/>
  <c r="F4" i="1"/>
  <c r="BC4" i="1"/>
  <c r="CV4" i="1"/>
  <c r="CW4" i="1"/>
  <c r="CX4" i="1"/>
  <c r="B5" i="1"/>
  <c r="E5" i="1"/>
  <c r="F5" i="1"/>
  <c r="BC5" i="1"/>
  <c r="CV5" i="1"/>
  <c r="CW5" i="1"/>
  <c r="CX5" i="1"/>
  <c r="B6" i="1"/>
  <c r="E6" i="1"/>
  <c r="F6" i="1"/>
  <c r="J6" i="1"/>
  <c r="K6" i="1"/>
  <c r="L6" i="1"/>
  <c r="AC6" i="1"/>
  <c r="AI6" i="1"/>
  <c r="AK6" i="1"/>
  <c r="BC6" i="1"/>
  <c r="CV6" i="1"/>
  <c r="CW6" i="1"/>
  <c r="CX6" i="1"/>
  <c r="B7" i="1"/>
  <c r="C7" i="1"/>
  <c r="E7" i="1"/>
  <c r="F7" i="1"/>
  <c r="J7" i="1"/>
  <c r="L7" i="1"/>
  <c r="AC7" i="1"/>
  <c r="AF7" i="1"/>
  <c r="AI7" i="1"/>
  <c r="AJ7" i="1"/>
  <c r="AK7" i="1"/>
  <c r="AY7" i="1"/>
  <c r="AZ7" i="1"/>
  <c r="BC7" i="1"/>
  <c r="CV7" i="1"/>
  <c r="CW7" i="1"/>
  <c r="CX7" i="1"/>
  <c r="B8" i="1"/>
  <c r="E8" i="1"/>
  <c r="F8" i="1"/>
  <c r="J8" i="1"/>
  <c r="AC8" i="1"/>
  <c r="AF8" i="1"/>
  <c r="AG8" i="1"/>
  <c r="AK8" i="1"/>
  <c r="BC8" i="1"/>
  <c r="CV8" i="1"/>
  <c r="CW8" i="1"/>
  <c r="CX8" i="1"/>
  <c r="B9" i="1"/>
  <c r="E9" i="1"/>
  <c r="F9" i="1"/>
  <c r="J9" i="1"/>
  <c r="AC9" i="1"/>
  <c r="AD9" i="1"/>
  <c r="AI9" i="1"/>
  <c r="AK9" i="1"/>
  <c r="BC9" i="1"/>
  <c r="CV9" i="1"/>
  <c r="CW9" i="1"/>
  <c r="CX9" i="1"/>
  <c r="B10" i="1"/>
  <c r="E10" i="1"/>
  <c r="F10" i="1"/>
  <c r="BC10" i="1"/>
  <c r="CV10" i="1"/>
  <c r="CW10" i="1"/>
  <c r="CX10" i="1"/>
  <c r="B11" i="1"/>
  <c r="E11" i="1"/>
  <c r="F11" i="1"/>
  <c r="BC11" i="1"/>
  <c r="CV11" i="1"/>
  <c r="CW11" i="1"/>
  <c r="CX11" i="1"/>
  <c r="B12" i="1"/>
  <c r="E12" i="1"/>
  <c r="F12" i="1"/>
  <c r="BC12" i="1"/>
  <c r="CV12" i="1"/>
  <c r="CW12" i="1"/>
  <c r="CX12" i="1"/>
  <c r="B13" i="1"/>
  <c r="E13" i="1"/>
  <c r="F13" i="1"/>
  <c r="BC13" i="1"/>
  <c r="CV13" i="1"/>
  <c r="CW13" i="1"/>
  <c r="CX13" i="1"/>
  <c r="B14" i="1"/>
  <c r="E14" i="1"/>
  <c r="F14" i="1"/>
  <c r="BC14" i="1"/>
  <c r="CV14" i="1"/>
  <c r="CW14" i="1"/>
  <c r="CX14" i="1"/>
  <c r="B15" i="1"/>
  <c r="E15" i="1"/>
  <c r="F15" i="1"/>
  <c r="BC15" i="1"/>
  <c r="CV15" i="1"/>
  <c r="CW15" i="1"/>
  <c r="CX15" i="1"/>
  <c r="B16" i="1"/>
  <c r="E16" i="1"/>
  <c r="F16" i="1"/>
  <c r="BC16" i="1"/>
  <c r="CV16" i="1"/>
  <c r="CW16" i="1"/>
  <c r="CX16" i="1"/>
  <c r="B17" i="1"/>
  <c r="E17" i="1"/>
  <c r="F17" i="1"/>
  <c r="BC17" i="1"/>
  <c r="CV17" i="1"/>
  <c r="CW17" i="1"/>
  <c r="CX17" i="1"/>
  <c r="B18" i="1"/>
  <c r="E18" i="1"/>
  <c r="F18" i="1"/>
  <c r="BC18" i="1"/>
  <c r="CV18" i="1"/>
  <c r="CW18" i="1"/>
  <c r="CX18" i="1"/>
  <c r="B19" i="1"/>
  <c r="E19" i="1"/>
  <c r="F19" i="1"/>
  <c r="BC19" i="1"/>
  <c r="CV19" i="1"/>
  <c r="CW19" i="1"/>
  <c r="CX19" i="1"/>
  <c r="B20" i="1"/>
  <c r="E20" i="1"/>
  <c r="F20" i="1"/>
  <c r="BC20" i="1"/>
  <c r="CV20" i="1"/>
  <c r="CW20" i="1"/>
  <c r="CX20" i="1"/>
  <c r="B21" i="1"/>
  <c r="E21" i="1"/>
  <c r="F21" i="1"/>
  <c r="BC21" i="1"/>
  <c r="CV21" i="1"/>
  <c r="CW21" i="1"/>
  <c r="CX21" i="1"/>
  <c r="B22" i="1"/>
  <c r="E22" i="1"/>
  <c r="F22" i="1"/>
  <c r="BC22" i="1"/>
  <c r="CV22" i="1"/>
  <c r="CW22" i="1"/>
  <c r="CX22" i="1"/>
  <c r="B23" i="1"/>
  <c r="E23" i="1"/>
  <c r="F23" i="1"/>
  <c r="J23" i="1"/>
  <c r="AC23" i="1"/>
  <c r="AF23" i="1"/>
  <c r="AG23" i="1"/>
  <c r="BC23" i="1"/>
  <c r="CV23" i="1"/>
  <c r="CW23" i="1"/>
  <c r="CX23" i="1"/>
  <c r="B24" i="1"/>
  <c r="E24" i="1"/>
  <c r="F24" i="1"/>
  <c r="BC24" i="1"/>
  <c r="CV24" i="1"/>
  <c r="CW24" i="1"/>
  <c r="CX24" i="1"/>
  <c r="B25" i="1"/>
  <c r="E25" i="1"/>
  <c r="F25" i="1"/>
  <c r="BC25" i="1"/>
  <c r="CV25" i="1"/>
  <c r="CW25" i="1"/>
  <c r="CX25" i="1"/>
  <c r="B26" i="1"/>
  <c r="E26" i="1"/>
  <c r="F26" i="1"/>
  <c r="BC26" i="1"/>
  <c r="CV26" i="1"/>
  <c r="CW26" i="1"/>
  <c r="CX26" i="1"/>
  <c r="B27" i="1"/>
  <c r="E27" i="1"/>
  <c r="F27" i="1"/>
  <c r="AK27" i="1"/>
  <c r="AM27" i="1"/>
  <c r="BC27" i="1"/>
  <c r="CV27" i="1"/>
  <c r="CW27" i="1"/>
  <c r="CX27" i="1"/>
  <c r="B28" i="1"/>
  <c r="E28" i="1"/>
  <c r="F28" i="1"/>
  <c r="BC28" i="1"/>
  <c r="CV28" i="1"/>
  <c r="CW28" i="1"/>
  <c r="CX28" i="1"/>
  <c r="B29" i="1"/>
  <c r="E29" i="1"/>
  <c r="F29" i="1"/>
  <c r="BC29" i="1"/>
  <c r="CV29" i="1"/>
  <c r="CW29" i="1"/>
  <c r="CX29" i="1"/>
  <c r="B30" i="1"/>
  <c r="E30" i="1"/>
  <c r="F30" i="1"/>
  <c r="BC30" i="1"/>
  <c r="CV30" i="1"/>
  <c r="CW30" i="1"/>
  <c r="CX30" i="1"/>
  <c r="B31" i="1"/>
  <c r="E31" i="1"/>
  <c r="F31" i="1"/>
  <c r="BC31" i="1"/>
  <c r="CV31" i="1"/>
  <c r="CW31" i="1"/>
  <c r="CX31" i="1"/>
  <c r="B32" i="1"/>
  <c r="E32" i="1"/>
  <c r="F32" i="1"/>
  <c r="BC32" i="1"/>
  <c r="CV32" i="1"/>
  <c r="CW32" i="1"/>
  <c r="CX32" i="1"/>
  <c r="B33" i="1"/>
  <c r="E33" i="1"/>
  <c r="F33" i="1"/>
  <c r="BC33" i="1"/>
  <c r="CV33" i="1"/>
  <c r="CW33" i="1"/>
  <c r="CX33" i="1"/>
  <c r="B34" i="1"/>
  <c r="E34" i="1"/>
  <c r="F34" i="1"/>
  <c r="BC34" i="1"/>
  <c r="CV34" i="1"/>
  <c r="CW34" i="1"/>
  <c r="CX34" i="1"/>
  <c r="B35" i="1"/>
  <c r="E35" i="1"/>
  <c r="F35" i="1"/>
  <c r="BC35" i="1"/>
  <c r="CV35" i="1"/>
  <c r="CW35" i="1"/>
  <c r="CX35" i="1"/>
  <c r="B36" i="1"/>
  <c r="E36" i="1"/>
  <c r="F36" i="1"/>
  <c r="BC36" i="1"/>
  <c r="CV36" i="1"/>
  <c r="CW36" i="1"/>
  <c r="CX36" i="1"/>
</calcChain>
</file>

<file path=xl/sharedStrings.xml><?xml version="1.0" encoding="utf-8"?>
<sst xmlns="http://schemas.openxmlformats.org/spreadsheetml/2006/main" count="1" uniqueCount="1">
  <si>
    <t>office@sbi.co.il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</si>
</sst>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63"/>
  <sheetViews>
    <sheetView rightToLeft="1" tabSelected="1" topLeftCell="BJ69" workbookViewId="0">
      <selection activeCell="BP1" sqref="BP1:BP75"/>
    </sheetView>
  </sheetViews>
  <sheetFormatPr defaultRowHeight="14.25" x14ac:dyDescent="0.2"/>
  <cols>
    <col min="1" max="1" width="8.125" bestFit="1" customWidth="1"/>
    <col min="2" max="2" width="33.875" bestFit="1" customWidth="1"/>
    <col min="3" max="3" width="24" bestFit="1" customWidth="1"/>
    <col min="4" max="4" width="20.25" bestFit="1" customWidth="1"/>
    <col min="5" max="6" width="5.75" bestFit="1" customWidth="1"/>
    <col min="7" max="7" width="6.5" bestFit="1" customWidth="1"/>
    <col min="8" max="8" width="10.875" bestFit="1" customWidth="1"/>
    <col min="9" max="9" width="15.125" bestFit="1" customWidth="1"/>
    <col min="10" max="10" width="13.25" bestFit="1" customWidth="1"/>
    <col min="11" max="11" width="14.875" bestFit="1" customWidth="1"/>
    <col min="12" max="12" width="20.5" bestFit="1" customWidth="1"/>
    <col min="13" max="13" width="9.125" bestFit="1" customWidth="1"/>
    <col min="14" max="14" width="11.625" bestFit="1" customWidth="1"/>
    <col min="15" max="15" width="11.375" bestFit="1" customWidth="1"/>
    <col min="16" max="16" width="9.875" bestFit="1" customWidth="1"/>
    <col min="17" max="17" width="11.125" bestFit="1" customWidth="1"/>
    <col min="18" max="18" width="7.875" bestFit="1" customWidth="1"/>
    <col min="19" max="19" width="12" bestFit="1" customWidth="1"/>
    <col min="20" max="20" width="10.75" bestFit="1" customWidth="1"/>
    <col min="21" max="21" width="16.25" bestFit="1" customWidth="1"/>
    <col min="22" max="22" width="16" bestFit="1" customWidth="1"/>
    <col min="23" max="23" width="7.75" bestFit="1" customWidth="1"/>
    <col min="24" max="24" width="8.5" bestFit="1" customWidth="1"/>
    <col min="25" max="25" width="9.75" bestFit="1" customWidth="1"/>
    <col min="26" max="26" width="7.25" bestFit="1" customWidth="1"/>
    <col min="27" max="27" width="8.5" bestFit="1" customWidth="1"/>
    <col min="28" max="28" width="9.625" bestFit="1" customWidth="1"/>
    <col min="29" max="29" width="26.5" bestFit="1" customWidth="1"/>
    <col min="30" max="30" width="27" bestFit="1" customWidth="1"/>
    <col min="31" max="31" width="12.5" bestFit="1" customWidth="1"/>
    <col min="32" max="33" width="15.625" bestFit="1" customWidth="1"/>
    <col min="34" max="34" width="5.125" bestFit="1" customWidth="1"/>
    <col min="35" max="35" width="12.375" customWidth="1"/>
    <col min="36" max="36" width="5.25" bestFit="1" customWidth="1"/>
    <col min="37" max="37" width="9.875" bestFit="1" customWidth="1"/>
    <col min="38" max="38" width="16.625" bestFit="1" customWidth="1"/>
    <col min="39" max="39" width="13.75" bestFit="1" customWidth="1"/>
    <col min="40" max="40" width="6.75" bestFit="1" customWidth="1"/>
    <col min="41" max="41" width="6.5" bestFit="1" customWidth="1"/>
    <col min="42" max="42" width="7.375" bestFit="1" customWidth="1"/>
    <col min="43" max="45" width="10.25" bestFit="1" customWidth="1"/>
    <col min="46" max="46" width="12.375" bestFit="1" customWidth="1"/>
    <col min="47" max="47" width="8.875" bestFit="1" customWidth="1"/>
    <col min="48" max="48" width="10.5" bestFit="1" customWidth="1"/>
    <col min="49" max="49" width="4.125" bestFit="1" customWidth="1"/>
    <col min="50" max="50" width="9.375" bestFit="1" customWidth="1"/>
    <col min="51" max="51" width="12.375" bestFit="1" customWidth="1"/>
    <col min="52" max="52" width="9.5" bestFit="1" customWidth="1"/>
    <col min="53" max="53" width="10.875" bestFit="1" customWidth="1"/>
    <col min="54" max="54" width="11" bestFit="1" customWidth="1"/>
    <col min="55" max="55" width="10.25" bestFit="1" customWidth="1"/>
    <col min="56" max="56" width="10.125" bestFit="1" customWidth="1"/>
    <col min="57" max="57" width="11.375" bestFit="1" customWidth="1"/>
    <col min="58" max="58" width="13.875" bestFit="1" customWidth="1"/>
    <col min="59" max="59" width="8.625" bestFit="1" customWidth="1"/>
    <col min="60" max="60" width="14" bestFit="1" customWidth="1"/>
    <col min="61" max="61" width="8" bestFit="1" customWidth="1"/>
    <col min="62" max="62" width="15.125" bestFit="1" customWidth="1"/>
    <col min="63" max="63" width="10.625" bestFit="1" customWidth="1"/>
    <col min="64" max="64" width="8.125" bestFit="1" customWidth="1"/>
    <col min="65" max="65" width="12.25" bestFit="1" customWidth="1"/>
    <col min="66" max="66" width="14.25" bestFit="1" customWidth="1"/>
    <col min="67" max="67" width="8.75" bestFit="1" customWidth="1"/>
    <col min="68" max="68" width="16.625" bestFit="1" customWidth="1"/>
    <col min="69" max="77" width="12.375" bestFit="1" customWidth="1"/>
    <col min="78" max="88" width="13.5" bestFit="1" customWidth="1"/>
    <col min="89" max="89" width="7.25" bestFit="1" customWidth="1"/>
    <col min="90" max="90" width="13.75" bestFit="1" customWidth="1"/>
    <col min="91" max="91" width="8.5" bestFit="1" customWidth="1"/>
    <col min="92" max="92" width="16.25" bestFit="1" customWidth="1"/>
    <col min="93" max="93" width="12.625" bestFit="1" customWidth="1"/>
    <col min="94" max="94" width="16.375" bestFit="1" customWidth="1"/>
    <col min="95" max="95" width="6.25" bestFit="1" customWidth="1"/>
    <col min="96" max="96" width="6.125" bestFit="1" customWidth="1"/>
    <col min="97" max="97" width="12.125" bestFit="1" customWidth="1"/>
    <col min="98" max="98" width="13.5" bestFit="1" customWidth="1"/>
    <col min="99" max="99" width="14.125" bestFit="1" customWidth="1"/>
    <col min="100" max="100" width="10.125" bestFit="1" customWidth="1"/>
    <col min="101" max="101" width="7.625" bestFit="1" customWidth="1"/>
    <col min="102" max="102" width="10.75" bestFit="1" customWidth="1"/>
    <col min="103" max="103" width="9.5" bestFit="1" customWidth="1"/>
    <col min="104" max="104" width="8.25" bestFit="1" customWidth="1"/>
    <col min="105" max="105" width="12.625" bestFit="1" customWidth="1"/>
  </cols>
  <sheetData>
    <row r="1" spans="1:105" x14ac:dyDescent="0.2">
      <c r="A1">
        <v>3063</v>
      </c>
      <c r="B1" t="str">
        <f>"אקו סיטי בע""מ"</f>
        <v>אקו סיטי בע"מ</v>
      </c>
      <c r="E1" t="str">
        <f t="shared" ref="E1:E32" si="0">"פעיל"</f>
        <v>פעיל</v>
      </c>
      <c r="F1" t="str">
        <f t="shared" ref="F1:F9" si="1">"אופיר"</f>
        <v>אופיר</v>
      </c>
      <c r="H1" s="1">
        <v>42449</v>
      </c>
      <c r="I1" s="1">
        <v>42449</v>
      </c>
      <c r="J1" t="str">
        <f>"03-629714"</f>
        <v>03-629714</v>
      </c>
      <c r="AC1" t="str">
        <f>"רחוב האומנים 7"</f>
        <v>רחוב האומנים 7</v>
      </c>
      <c r="AT1">
        <v>0</v>
      </c>
      <c r="AV1">
        <v>0</v>
      </c>
      <c r="BA1">
        <v>0</v>
      </c>
      <c r="BB1">
        <v>0</v>
      </c>
      <c r="BC1" t="str">
        <f t="shared" ref="BC1:BC32" si="2">"ש""ח"</f>
        <v>ש"ח</v>
      </c>
      <c r="BF1" s="2">
        <v>0</v>
      </c>
      <c r="BG1">
        <v>0</v>
      </c>
      <c r="CU1">
        <v>0</v>
      </c>
      <c r="CV1" t="str">
        <f t="shared" ref="CV1:CV32" si="3">"ש""ח"</f>
        <v>ש"ח</v>
      </c>
      <c r="CW1" t="str">
        <f t="shared" ref="CW1:CW32" si="4">"001"</f>
        <v>001</v>
      </c>
      <c r="CX1" t="str">
        <f t="shared" ref="CX1:CX32" si="5">"מע'מ עסקאות"</f>
        <v>מע'מ עסקאות</v>
      </c>
      <c r="CZ1">
        <v>0</v>
      </c>
      <c r="DA1">
        <v>0</v>
      </c>
    </row>
    <row r="2" spans="1:105" x14ac:dyDescent="0.2">
      <c r="A2">
        <v>3062</v>
      </c>
      <c r="B2" t="str">
        <f>"שגראוי ליבוביץ בניה בע""מ"</f>
        <v>שגראוי ליבוביץ בניה בע"מ</v>
      </c>
      <c r="E2" t="str">
        <f t="shared" si="0"/>
        <v>פעיל</v>
      </c>
      <c r="F2" t="str">
        <f t="shared" si="1"/>
        <v>אופיר</v>
      </c>
      <c r="H2" s="1">
        <v>42459</v>
      </c>
      <c r="I2" s="1">
        <v>42459</v>
      </c>
      <c r="J2" t="str">
        <f>"036868555"</f>
        <v>036868555</v>
      </c>
      <c r="K2" t="str">
        <f>"036868444"</f>
        <v>036868444</v>
      </c>
      <c r="AC2" t="str">
        <f>"רחוב האומנים 7 תל אביב"</f>
        <v>רחוב האומנים 7 תל אביב</v>
      </c>
      <c r="AK2" t="str">
        <f>"513653220"</f>
        <v>513653220</v>
      </c>
      <c r="AT2">
        <v>0</v>
      </c>
      <c r="AV2">
        <v>0</v>
      </c>
      <c r="BA2">
        <v>0</v>
      </c>
      <c r="BB2">
        <v>0</v>
      </c>
      <c r="BC2" t="str">
        <f t="shared" si="2"/>
        <v>ש"ח</v>
      </c>
      <c r="BF2" s="2">
        <v>0</v>
      </c>
      <c r="BG2">
        <v>0</v>
      </c>
      <c r="CU2">
        <v>0</v>
      </c>
      <c r="CV2" t="str">
        <f t="shared" si="3"/>
        <v>ש"ח</v>
      </c>
      <c r="CW2" t="str">
        <f t="shared" si="4"/>
        <v>001</v>
      </c>
      <c r="CX2" t="str">
        <f t="shared" si="5"/>
        <v>מע'מ עסקאות</v>
      </c>
      <c r="CZ2">
        <v>0</v>
      </c>
      <c r="DA2">
        <v>0</v>
      </c>
    </row>
    <row r="3" spans="1:105" x14ac:dyDescent="0.2">
      <c r="A3">
        <v>3061</v>
      </c>
      <c r="B3" t="str">
        <f>"חברת אחים שגראוי (1989) בע″מ"</f>
        <v>חברת אחים שגראוי (1989) בע″מ</v>
      </c>
      <c r="E3" t="str">
        <f t="shared" si="0"/>
        <v>פעיל</v>
      </c>
      <c r="F3" t="str">
        <f t="shared" si="1"/>
        <v>אופיר</v>
      </c>
      <c r="H3" s="1">
        <v>42563</v>
      </c>
      <c r="I3" s="1">
        <v>42563</v>
      </c>
      <c r="J3" t="str">
        <f>"0732199199"</f>
        <v>0732199199</v>
      </c>
      <c r="K3" t="str">
        <f>"0732199198"</f>
        <v>0732199198</v>
      </c>
      <c r="L3" t="str">
        <f>"office@sbi.co.il"</f>
        <v>office@sbi.co.il</v>
      </c>
      <c r="AC3" t="str">
        <f>"המפלסים 10, קרית אריה"</f>
        <v>המפלסים 10, קרית אריה</v>
      </c>
      <c r="AD3" t="str">
        <f>"פתח תיקווה"</f>
        <v>פתח תיקווה</v>
      </c>
      <c r="AT3">
        <v>0</v>
      </c>
      <c r="AV3">
        <v>0</v>
      </c>
      <c r="BA3">
        <v>0</v>
      </c>
      <c r="BB3">
        <v>0</v>
      </c>
      <c r="BC3" t="str">
        <f t="shared" si="2"/>
        <v>ש"ח</v>
      </c>
      <c r="BF3" s="2">
        <v>0</v>
      </c>
      <c r="BG3">
        <v>0</v>
      </c>
      <c r="BP3" s="3" t="s">
        <v>0</v>
      </c>
      <c r="CU3">
        <v>0</v>
      </c>
      <c r="CV3" t="str">
        <f t="shared" si="3"/>
        <v>ש"ח</v>
      </c>
      <c r="CW3" t="str">
        <f t="shared" si="4"/>
        <v>001</v>
      </c>
      <c r="CX3" t="str">
        <f t="shared" si="5"/>
        <v>מע'מ עסקאות</v>
      </c>
      <c r="CZ3">
        <v>0</v>
      </c>
      <c r="DA3">
        <v>0</v>
      </c>
    </row>
    <row r="4" spans="1:105" x14ac:dyDescent="0.2">
      <c r="A4">
        <v>3060</v>
      </c>
      <c r="B4" t="str">
        <f>"רון יערובזון"</f>
        <v>רון יערובזון</v>
      </c>
      <c r="E4" t="str">
        <f t="shared" si="0"/>
        <v>פעיל</v>
      </c>
      <c r="F4" t="str">
        <f t="shared" si="1"/>
        <v>אופיר</v>
      </c>
      <c r="H4" s="1">
        <v>42334</v>
      </c>
      <c r="I4" s="1">
        <v>42335</v>
      </c>
      <c r="AT4">
        <v>0</v>
      </c>
      <c r="AV4">
        <v>0</v>
      </c>
      <c r="BA4">
        <v>0</v>
      </c>
      <c r="BB4">
        <v>0</v>
      </c>
      <c r="BC4" t="str">
        <f t="shared" si="2"/>
        <v>ש"ח</v>
      </c>
      <c r="BF4" s="2">
        <v>0</v>
      </c>
      <c r="BG4">
        <v>0</v>
      </c>
      <c r="CU4">
        <v>0</v>
      </c>
      <c r="CV4" t="str">
        <f t="shared" si="3"/>
        <v>ש"ח</v>
      </c>
      <c r="CW4" t="str">
        <f t="shared" si="4"/>
        <v>001</v>
      </c>
      <c r="CX4" t="str">
        <f t="shared" si="5"/>
        <v>מע'מ עסקאות</v>
      </c>
      <c r="CZ4">
        <v>0</v>
      </c>
      <c r="DA4">
        <v>0</v>
      </c>
    </row>
    <row r="5" spans="1:105" x14ac:dyDescent="0.2">
      <c r="A5">
        <v>3059</v>
      </c>
      <c r="B5" t="str">
        <f>"נילי אריאל רבל"</f>
        <v>נילי אריאל רבל</v>
      </c>
      <c r="E5" t="str">
        <f t="shared" si="0"/>
        <v>פעיל</v>
      </c>
      <c r="F5" t="str">
        <f t="shared" si="1"/>
        <v>אופיר</v>
      </c>
      <c r="H5" s="1">
        <v>42335</v>
      </c>
      <c r="I5" s="1">
        <v>42335</v>
      </c>
      <c r="AT5">
        <v>0</v>
      </c>
      <c r="AV5">
        <v>0</v>
      </c>
      <c r="BA5">
        <v>0</v>
      </c>
      <c r="BB5">
        <v>0</v>
      </c>
      <c r="BC5" t="str">
        <f t="shared" si="2"/>
        <v>ש"ח</v>
      </c>
      <c r="BF5" s="2">
        <v>0</v>
      </c>
      <c r="BG5">
        <v>0</v>
      </c>
      <c r="CU5">
        <v>0</v>
      </c>
      <c r="CV5" t="str">
        <f t="shared" si="3"/>
        <v>ש"ח</v>
      </c>
      <c r="CW5" t="str">
        <f t="shared" si="4"/>
        <v>001</v>
      </c>
      <c r="CX5" t="str">
        <f t="shared" si="5"/>
        <v>מע'מ עסקאות</v>
      </c>
      <c r="CZ5">
        <v>0</v>
      </c>
      <c r="DA5">
        <v>0</v>
      </c>
    </row>
    <row r="6" spans="1:105" x14ac:dyDescent="0.2">
      <c r="A6">
        <v>3058</v>
      </c>
      <c r="B6" t="str">
        <f>"איי.וי.סי.אס בע""מ"</f>
        <v>איי.וי.סי.אס בע"מ</v>
      </c>
      <c r="E6" t="str">
        <f t="shared" si="0"/>
        <v>פעיל</v>
      </c>
      <c r="F6" t="str">
        <f t="shared" si="1"/>
        <v>אופיר</v>
      </c>
      <c r="H6" s="1">
        <v>42369</v>
      </c>
      <c r="I6" s="1">
        <v>42369</v>
      </c>
      <c r="J6" t="str">
        <f>"0722201000"</f>
        <v>0722201000</v>
      </c>
      <c r="K6" t="str">
        <f>"03-7608007"</f>
        <v>03-7608007</v>
      </c>
      <c r="L6" t="str">
        <f>"info@avcs.co.il"</f>
        <v>info@avcs.co.il</v>
      </c>
      <c r="AC6" t="str">
        <f>"קיבוץ גבעת השלושה"</f>
        <v>קיבוץ גבעת השלושה</v>
      </c>
      <c r="AI6" t="str">
        <f>"48800"</f>
        <v>48800</v>
      </c>
      <c r="AK6" t="str">
        <f>"513858886"</f>
        <v>513858886</v>
      </c>
      <c r="AT6">
        <v>0</v>
      </c>
      <c r="AV6">
        <v>0</v>
      </c>
      <c r="BA6">
        <v>0</v>
      </c>
      <c r="BB6">
        <v>0</v>
      </c>
      <c r="BC6" t="str">
        <f t="shared" si="2"/>
        <v>ש"ח</v>
      </c>
      <c r="BF6" s="2">
        <v>0</v>
      </c>
      <c r="BG6">
        <v>0</v>
      </c>
      <c r="CU6">
        <v>0</v>
      </c>
      <c r="CV6" t="str">
        <f t="shared" si="3"/>
        <v>ש"ח</v>
      </c>
      <c r="CW6" t="str">
        <f t="shared" si="4"/>
        <v>001</v>
      </c>
      <c r="CX6" t="str">
        <f t="shared" si="5"/>
        <v>מע'מ עסקאות</v>
      </c>
      <c r="CZ6">
        <v>0</v>
      </c>
      <c r="DA6">
        <v>0</v>
      </c>
    </row>
    <row r="7" spans="1:105" x14ac:dyDescent="0.2">
      <c r="A7">
        <v>3001</v>
      </c>
      <c r="B7" t="str">
        <f>"רום גבס"</f>
        <v>רום גבס</v>
      </c>
      <c r="C7" t="str">
        <f>"רום גבס חיפוי וקירוי 1997 בע""מ"</f>
        <v>רום גבס חיפוי וקירוי 1997 בע"מ</v>
      </c>
      <c r="E7" t="str">
        <f t="shared" si="0"/>
        <v>פעיל</v>
      </c>
      <c r="F7" t="str">
        <f t="shared" si="1"/>
        <v>אופיר</v>
      </c>
      <c r="H7" s="1">
        <v>42268</v>
      </c>
      <c r="I7" s="1">
        <v>42268</v>
      </c>
      <c r="J7" t="str">
        <f>"099705757"</f>
        <v>099705757</v>
      </c>
      <c r="L7" t="str">
        <f>"bracha@romgeves.co.il"</f>
        <v>bracha@romgeves.co.il</v>
      </c>
      <c r="AC7" t="str">
        <f>"ירושלים 34"</f>
        <v>ירושלים 34</v>
      </c>
      <c r="AF7" t="str">
        <f>"רעננה"</f>
        <v>רעננה</v>
      </c>
      <c r="AI7" t="str">
        <f>"43501"</f>
        <v>43501</v>
      </c>
      <c r="AJ7" t="str">
        <f>"Israel"</f>
        <v>Israel</v>
      </c>
      <c r="AK7" t="str">
        <f>"512476938"</f>
        <v>512476938</v>
      </c>
      <c r="AT7">
        <v>0</v>
      </c>
      <c r="AV7">
        <v>0</v>
      </c>
      <c r="AY7" t="str">
        <f>"03"</f>
        <v>03</v>
      </c>
      <c r="AZ7" t="str">
        <f>"ש30"</f>
        <v>ש30</v>
      </c>
      <c r="BA7">
        <v>0</v>
      </c>
      <c r="BB7">
        <v>0</v>
      </c>
      <c r="BC7" t="str">
        <f t="shared" si="2"/>
        <v>ש"ח</v>
      </c>
      <c r="BF7" s="2">
        <v>0</v>
      </c>
      <c r="BG7">
        <v>0</v>
      </c>
      <c r="CU7">
        <v>0</v>
      </c>
      <c r="CV7" t="str">
        <f t="shared" si="3"/>
        <v>ש"ח</v>
      </c>
      <c r="CW7" t="str">
        <f t="shared" si="4"/>
        <v>001</v>
      </c>
      <c r="CX7" t="str">
        <f t="shared" si="5"/>
        <v>מע'מ עסקאות</v>
      </c>
      <c r="CZ7">
        <v>0</v>
      </c>
      <c r="DA7">
        <v>0</v>
      </c>
    </row>
    <row r="8" spans="1:105" x14ac:dyDescent="0.2">
      <c r="A8">
        <v>3002</v>
      </c>
      <c r="B8" t="str">
        <f>"בלו מרבל בע""מ"</f>
        <v>בלו מרבל בע"מ</v>
      </c>
      <c r="E8" t="str">
        <f t="shared" si="0"/>
        <v>פעיל</v>
      </c>
      <c r="F8" t="str">
        <f t="shared" si="1"/>
        <v>אופיר</v>
      </c>
      <c r="H8" s="1">
        <v>42292</v>
      </c>
      <c r="I8" s="1">
        <v>42292</v>
      </c>
      <c r="J8" t="str">
        <f>"035757018"</f>
        <v>035757018</v>
      </c>
      <c r="AC8" t="str">
        <f>"דיזינגוף 94"</f>
        <v>דיזינגוף 94</v>
      </c>
      <c r="AF8" t="str">
        <f>"תל אביב"</f>
        <v>תל אביב</v>
      </c>
      <c r="AG8" t="str">
        <f>"תל אביב"</f>
        <v>תל אביב</v>
      </c>
      <c r="AK8" t="str">
        <f>"512540931"</f>
        <v>512540931</v>
      </c>
      <c r="AT8">
        <v>0</v>
      </c>
      <c r="AV8">
        <v>0</v>
      </c>
      <c r="BA8">
        <v>0</v>
      </c>
      <c r="BB8">
        <v>0</v>
      </c>
      <c r="BC8" t="str">
        <f t="shared" si="2"/>
        <v>ש"ח</v>
      </c>
      <c r="BF8" s="2">
        <v>0</v>
      </c>
      <c r="BG8">
        <v>0</v>
      </c>
      <c r="CU8">
        <v>0</v>
      </c>
      <c r="CV8" t="str">
        <f t="shared" si="3"/>
        <v>ש"ח</v>
      </c>
      <c r="CW8" t="str">
        <f t="shared" si="4"/>
        <v>001</v>
      </c>
      <c r="CX8" t="str">
        <f t="shared" si="5"/>
        <v>מע'מ עסקאות</v>
      </c>
      <c r="CZ8">
        <v>0</v>
      </c>
      <c r="DA8">
        <v>0</v>
      </c>
    </row>
    <row r="9" spans="1:105" x14ac:dyDescent="0.2">
      <c r="A9">
        <v>3003</v>
      </c>
      <c r="B9" t="str">
        <f>"הנקו בניה בע""מ"</f>
        <v>הנקו בניה בע"מ</v>
      </c>
      <c r="E9" t="str">
        <f t="shared" si="0"/>
        <v>פעיל</v>
      </c>
      <c r="F9" t="str">
        <f t="shared" si="1"/>
        <v>אופיר</v>
      </c>
      <c r="H9" s="1">
        <v>42383</v>
      </c>
      <c r="I9" s="1">
        <v>42383</v>
      </c>
      <c r="J9" t="str">
        <f>"039190400"</f>
        <v>039190400</v>
      </c>
      <c r="AC9" t="str">
        <f>"האודם 14 קריית מטלון"</f>
        <v>האודם 14 קריית מטלון</v>
      </c>
      <c r="AD9" t="str">
        <f>"פתח תקווה"</f>
        <v>פתח תקווה</v>
      </c>
      <c r="AI9" t="str">
        <f>"7124"</f>
        <v>7124</v>
      </c>
      <c r="AK9" t="str">
        <f>"513404772"</f>
        <v>513404772</v>
      </c>
      <c r="AT9">
        <v>0</v>
      </c>
      <c r="AV9">
        <v>0</v>
      </c>
      <c r="BA9">
        <v>0</v>
      </c>
      <c r="BB9">
        <v>0</v>
      </c>
      <c r="BC9" t="str">
        <f t="shared" si="2"/>
        <v>ש"ח</v>
      </c>
      <c r="BF9" s="2">
        <v>0</v>
      </c>
      <c r="BG9">
        <v>0</v>
      </c>
      <c r="CU9">
        <v>0</v>
      </c>
      <c r="CV9" t="str">
        <f t="shared" si="3"/>
        <v>ש"ח</v>
      </c>
      <c r="CW9" t="str">
        <f t="shared" si="4"/>
        <v>001</v>
      </c>
      <c r="CX9" t="str">
        <f t="shared" si="5"/>
        <v>מע'מ עסקאות</v>
      </c>
      <c r="CZ9">
        <v>0</v>
      </c>
      <c r="DA9">
        <v>0</v>
      </c>
    </row>
    <row r="10" spans="1:105" x14ac:dyDescent="0.2">
      <c r="A10">
        <v>3004</v>
      </c>
      <c r="B10" t="str">
        <f>"אבני גילעד ורבקה"</f>
        <v>אבני גילעד ורבקה</v>
      </c>
      <c r="E10" t="str">
        <f t="shared" si="0"/>
        <v>פעיל</v>
      </c>
      <c r="F10" t="str">
        <f t="shared" ref="F10:F22" si="6">"ורדית"</f>
        <v>ורדית</v>
      </c>
      <c r="H10" s="1">
        <v>42576</v>
      </c>
      <c r="I10" s="1">
        <v>42576</v>
      </c>
      <c r="AT10">
        <v>0</v>
      </c>
      <c r="AV10">
        <v>0</v>
      </c>
      <c r="BA10">
        <v>0</v>
      </c>
      <c r="BB10">
        <v>0</v>
      </c>
      <c r="BC10" t="str">
        <f t="shared" si="2"/>
        <v>ש"ח</v>
      </c>
      <c r="BF10" s="2">
        <v>0</v>
      </c>
      <c r="BG10">
        <v>0</v>
      </c>
      <c r="CU10">
        <v>0</v>
      </c>
      <c r="CV10" t="str">
        <f t="shared" si="3"/>
        <v>ש"ח</v>
      </c>
      <c r="CW10" t="str">
        <f t="shared" si="4"/>
        <v>001</v>
      </c>
      <c r="CX10" t="str">
        <f t="shared" si="5"/>
        <v>מע'מ עסקאות</v>
      </c>
      <c r="CZ10">
        <v>0</v>
      </c>
      <c r="DA10">
        <v>0</v>
      </c>
    </row>
    <row r="11" spans="1:105" x14ac:dyDescent="0.2">
      <c r="A11">
        <v>3005</v>
      </c>
      <c r="B11" t="str">
        <f>"המלך ג'ורג' 26 בע""מ"</f>
        <v>המלך ג'ורג' 26 בע"מ</v>
      </c>
      <c r="E11" t="str">
        <f t="shared" si="0"/>
        <v>פעיל</v>
      </c>
      <c r="F11" t="str">
        <f t="shared" si="6"/>
        <v>ורדית</v>
      </c>
      <c r="H11" s="1">
        <v>42576</v>
      </c>
      <c r="I11" s="1">
        <v>42576</v>
      </c>
      <c r="AT11">
        <v>0</v>
      </c>
      <c r="AV11">
        <v>0</v>
      </c>
      <c r="BA11">
        <v>0</v>
      </c>
      <c r="BB11">
        <v>0</v>
      </c>
      <c r="BC11" t="str">
        <f t="shared" si="2"/>
        <v>ש"ח</v>
      </c>
      <c r="BF11" s="2">
        <v>0</v>
      </c>
      <c r="BG11">
        <v>0</v>
      </c>
      <c r="CU11">
        <v>0</v>
      </c>
      <c r="CV11" t="str">
        <f t="shared" si="3"/>
        <v>ש"ח</v>
      </c>
      <c r="CW11" t="str">
        <f t="shared" si="4"/>
        <v>001</v>
      </c>
      <c r="CX11" t="str">
        <f t="shared" si="5"/>
        <v>מע'מ עסקאות</v>
      </c>
      <c r="CZ11">
        <v>0</v>
      </c>
      <c r="DA11">
        <v>0</v>
      </c>
    </row>
    <row r="12" spans="1:105" x14ac:dyDescent="0.2">
      <c r="A12">
        <v>3006</v>
      </c>
      <c r="B12" t="str">
        <f>"גמליאל שוהם"</f>
        <v>גמליאל שוהם</v>
      </c>
      <c r="E12" t="str">
        <f t="shared" si="0"/>
        <v>פעיל</v>
      </c>
      <c r="F12" t="str">
        <f t="shared" si="6"/>
        <v>ורדית</v>
      </c>
      <c r="H12" s="1">
        <v>42576</v>
      </c>
      <c r="I12" s="1">
        <v>42576</v>
      </c>
      <c r="AT12">
        <v>0</v>
      </c>
      <c r="AV12">
        <v>0</v>
      </c>
      <c r="BA12">
        <v>0</v>
      </c>
      <c r="BB12">
        <v>0</v>
      </c>
      <c r="BC12" t="str">
        <f t="shared" si="2"/>
        <v>ש"ח</v>
      </c>
      <c r="BF12" s="2">
        <v>0</v>
      </c>
      <c r="BG12">
        <v>0</v>
      </c>
      <c r="CU12">
        <v>0</v>
      </c>
      <c r="CV12" t="str">
        <f t="shared" si="3"/>
        <v>ש"ח</v>
      </c>
      <c r="CW12" t="str">
        <f t="shared" si="4"/>
        <v>001</v>
      </c>
      <c r="CX12" t="str">
        <f t="shared" si="5"/>
        <v>מע'מ עסקאות</v>
      </c>
      <c r="CZ12">
        <v>0</v>
      </c>
      <c r="DA12">
        <v>0</v>
      </c>
    </row>
    <row r="13" spans="1:105" x14ac:dyDescent="0.2">
      <c r="A13">
        <v>3007</v>
      </c>
      <c r="B13" t="str">
        <f>"שמאע יוסף"</f>
        <v>שמאע יוסף</v>
      </c>
      <c r="E13" t="str">
        <f t="shared" si="0"/>
        <v>פעיל</v>
      </c>
      <c r="F13" t="str">
        <f t="shared" si="6"/>
        <v>ורדית</v>
      </c>
      <c r="H13" s="1">
        <v>42576</v>
      </c>
      <c r="I13" s="1">
        <v>42576</v>
      </c>
      <c r="AT13">
        <v>0</v>
      </c>
      <c r="AV13">
        <v>0</v>
      </c>
      <c r="BA13">
        <v>0</v>
      </c>
      <c r="BB13">
        <v>0</v>
      </c>
      <c r="BC13" t="str">
        <f t="shared" si="2"/>
        <v>ש"ח</v>
      </c>
      <c r="BF13" s="2">
        <v>0</v>
      </c>
      <c r="BG13">
        <v>0</v>
      </c>
      <c r="CU13">
        <v>0</v>
      </c>
      <c r="CV13" t="str">
        <f t="shared" si="3"/>
        <v>ש"ח</v>
      </c>
      <c r="CW13" t="str">
        <f t="shared" si="4"/>
        <v>001</v>
      </c>
      <c r="CX13" t="str">
        <f t="shared" si="5"/>
        <v>מע'מ עסקאות</v>
      </c>
      <c r="CZ13">
        <v>0</v>
      </c>
      <c r="DA13">
        <v>0</v>
      </c>
    </row>
    <row r="14" spans="1:105" x14ac:dyDescent="0.2">
      <c r="A14">
        <v>3008</v>
      </c>
      <c r="B14" t="str">
        <f>"סגל אריאל"</f>
        <v>סגל אריאל</v>
      </c>
      <c r="E14" t="str">
        <f t="shared" si="0"/>
        <v>פעיל</v>
      </c>
      <c r="F14" t="str">
        <f t="shared" si="6"/>
        <v>ורדית</v>
      </c>
      <c r="H14" s="1">
        <v>42576</v>
      </c>
      <c r="I14" s="1">
        <v>42576</v>
      </c>
      <c r="AT14">
        <v>0</v>
      </c>
      <c r="AV14">
        <v>0</v>
      </c>
      <c r="BA14">
        <v>0</v>
      </c>
      <c r="BB14">
        <v>0</v>
      </c>
      <c r="BC14" t="str">
        <f t="shared" si="2"/>
        <v>ש"ח</v>
      </c>
      <c r="BF14" s="2">
        <v>0</v>
      </c>
      <c r="BG14">
        <v>0</v>
      </c>
      <c r="CU14">
        <v>0</v>
      </c>
      <c r="CV14" t="str">
        <f t="shared" si="3"/>
        <v>ש"ח</v>
      </c>
      <c r="CW14" t="str">
        <f t="shared" si="4"/>
        <v>001</v>
      </c>
      <c r="CX14" t="str">
        <f t="shared" si="5"/>
        <v>מע'מ עסקאות</v>
      </c>
      <c r="CZ14">
        <v>0</v>
      </c>
      <c r="DA14">
        <v>0</v>
      </c>
    </row>
    <row r="15" spans="1:105" x14ac:dyDescent="0.2">
      <c r="A15">
        <v>3009</v>
      </c>
      <c r="B15" t="str">
        <f>"אלי בן עזרא"</f>
        <v>אלי בן עזרא</v>
      </c>
      <c r="E15" t="str">
        <f t="shared" si="0"/>
        <v>פעיל</v>
      </c>
      <c r="F15" t="str">
        <f t="shared" si="6"/>
        <v>ורדית</v>
      </c>
      <c r="H15" s="1">
        <v>42576</v>
      </c>
      <c r="I15" s="1">
        <v>42576</v>
      </c>
      <c r="AT15">
        <v>0</v>
      </c>
      <c r="AV15">
        <v>0</v>
      </c>
      <c r="BA15">
        <v>0</v>
      </c>
      <c r="BB15">
        <v>0</v>
      </c>
      <c r="BC15" t="str">
        <f t="shared" si="2"/>
        <v>ש"ח</v>
      </c>
      <c r="BF15" s="2">
        <v>0</v>
      </c>
      <c r="BG15">
        <v>0</v>
      </c>
      <c r="CU15">
        <v>0</v>
      </c>
      <c r="CV15" t="str">
        <f t="shared" si="3"/>
        <v>ש"ח</v>
      </c>
      <c r="CW15" t="str">
        <f t="shared" si="4"/>
        <v>001</v>
      </c>
      <c r="CX15" t="str">
        <f t="shared" si="5"/>
        <v>מע'מ עסקאות</v>
      </c>
      <c r="CZ15">
        <v>0</v>
      </c>
      <c r="DA15">
        <v>0</v>
      </c>
    </row>
    <row r="16" spans="1:105" x14ac:dyDescent="0.2">
      <c r="A16">
        <v>3010</v>
      </c>
      <c r="B16" t="str">
        <f>"אלישע יצחק"</f>
        <v>אלישע יצחק</v>
      </c>
      <c r="E16" t="str">
        <f t="shared" si="0"/>
        <v>פעיל</v>
      </c>
      <c r="F16" t="str">
        <f t="shared" si="6"/>
        <v>ורדית</v>
      </c>
      <c r="H16" s="1">
        <v>42576</v>
      </c>
      <c r="I16" s="1">
        <v>42576</v>
      </c>
      <c r="AT16">
        <v>0</v>
      </c>
      <c r="AV16">
        <v>0</v>
      </c>
      <c r="BA16">
        <v>0</v>
      </c>
      <c r="BB16">
        <v>0</v>
      </c>
      <c r="BC16" t="str">
        <f t="shared" si="2"/>
        <v>ש"ח</v>
      </c>
      <c r="BF16" s="2">
        <v>0</v>
      </c>
      <c r="BG16">
        <v>0</v>
      </c>
      <c r="CU16">
        <v>0</v>
      </c>
      <c r="CV16" t="str">
        <f t="shared" si="3"/>
        <v>ש"ח</v>
      </c>
      <c r="CW16" t="str">
        <f t="shared" si="4"/>
        <v>001</v>
      </c>
      <c r="CX16" t="str">
        <f t="shared" si="5"/>
        <v>מע'מ עסקאות</v>
      </c>
      <c r="CZ16">
        <v>0</v>
      </c>
      <c r="DA16">
        <v>0</v>
      </c>
    </row>
    <row r="17" spans="1:105" x14ac:dyDescent="0.2">
      <c r="A17">
        <v>3011</v>
      </c>
      <c r="B17" t="str">
        <f>"עו""ד אבולוף ניסים"</f>
        <v>עו"ד אבולוף ניסים</v>
      </c>
      <c r="E17" t="str">
        <f t="shared" si="0"/>
        <v>פעיל</v>
      </c>
      <c r="F17" t="str">
        <f t="shared" si="6"/>
        <v>ורדית</v>
      </c>
      <c r="H17" s="1">
        <v>42576</v>
      </c>
      <c r="I17" s="1">
        <v>42576</v>
      </c>
      <c r="AT17">
        <v>0</v>
      </c>
      <c r="AV17">
        <v>0</v>
      </c>
      <c r="BA17">
        <v>0</v>
      </c>
      <c r="BB17">
        <v>0</v>
      </c>
      <c r="BC17" t="str">
        <f t="shared" si="2"/>
        <v>ש"ח</v>
      </c>
      <c r="BF17" s="2">
        <v>0</v>
      </c>
      <c r="BG17">
        <v>0</v>
      </c>
      <c r="CU17">
        <v>0</v>
      </c>
      <c r="CV17" t="str">
        <f t="shared" si="3"/>
        <v>ש"ח</v>
      </c>
      <c r="CW17" t="str">
        <f t="shared" si="4"/>
        <v>001</v>
      </c>
      <c r="CX17" t="str">
        <f t="shared" si="5"/>
        <v>מע'מ עסקאות</v>
      </c>
      <c r="CZ17">
        <v>0</v>
      </c>
      <c r="DA17">
        <v>0</v>
      </c>
    </row>
    <row r="18" spans="1:105" x14ac:dyDescent="0.2">
      <c r="A18">
        <v>3012</v>
      </c>
      <c r="B18" t="str">
        <f>"רבקה כץ"</f>
        <v>רבקה כץ</v>
      </c>
      <c r="E18" t="str">
        <f t="shared" si="0"/>
        <v>פעיל</v>
      </c>
      <c r="F18" t="str">
        <f t="shared" si="6"/>
        <v>ורדית</v>
      </c>
      <c r="H18" s="1">
        <v>42576</v>
      </c>
      <c r="I18" s="1">
        <v>42576</v>
      </c>
      <c r="AT18">
        <v>0</v>
      </c>
      <c r="AV18">
        <v>0</v>
      </c>
      <c r="BA18">
        <v>0</v>
      </c>
      <c r="BB18">
        <v>0</v>
      </c>
      <c r="BC18" t="str">
        <f t="shared" si="2"/>
        <v>ש"ח</v>
      </c>
      <c r="BF18" s="2">
        <v>0</v>
      </c>
      <c r="BG18">
        <v>0</v>
      </c>
      <c r="CU18">
        <v>0</v>
      </c>
      <c r="CV18" t="str">
        <f t="shared" si="3"/>
        <v>ש"ח</v>
      </c>
      <c r="CW18" t="str">
        <f t="shared" si="4"/>
        <v>001</v>
      </c>
      <c r="CX18" t="str">
        <f t="shared" si="5"/>
        <v>מע'מ עסקאות</v>
      </c>
      <c r="CZ18">
        <v>0</v>
      </c>
      <c r="DA18">
        <v>0</v>
      </c>
    </row>
    <row r="19" spans="1:105" x14ac:dyDescent="0.2">
      <c r="A19">
        <v>3013</v>
      </c>
      <c r="B19" t="str">
        <f>"רייזין אתי ומוטי"</f>
        <v>רייזין אתי ומוטי</v>
      </c>
      <c r="E19" t="str">
        <f t="shared" si="0"/>
        <v>פעיל</v>
      </c>
      <c r="F19" t="str">
        <f t="shared" si="6"/>
        <v>ורדית</v>
      </c>
      <c r="H19" s="1">
        <v>42576</v>
      </c>
      <c r="I19" s="1">
        <v>42576</v>
      </c>
      <c r="AT19">
        <v>0</v>
      </c>
      <c r="AV19">
        <v>0</v>
      </c>
      <c r="BA19">
        <v>0</v>
      </c>
      <c r="BB19">
        <v>0</v>
      </c>
      <c r="BC19" t="str">
        <f t="shared" si="2"/>
        <v>ש"ח</v>
      </c>
      <c r="BF19" s="2">
        <v>0</v>
      </c>
      <c r="BG19">
        <v>0</v>
      </c>
      <c r="CU19">
        <v>0</v>
      </c>
      <c r="CV19" t="str">
        <f t="shared" si="3"/>
        <v>ש"ח</v>
      </c>
      <c r="CW19" t="str">
        <f t="shared" si="4"/>
        <v>001</v>
      </c>
      <c r="CX19" t="str">
        <f t="shared" si="5"/>
        <v>מע'מ עסקאות</v>
      </c>
      <c r="CZ19">
        <v>0</v>
      </c>
      <c r="DA19">
        <v>0</v>
      </c>
    </row>
    <row r="20" spans="1:105" x14ac:dyDescent="0.2">
      <c r="A20">
        <v>3014</v>
      </c>
      <c r="B20" t="str">
        <f>"שם טוב שמואל"</f>
        <v>שם טוב שמואל</v>
      </c>
      <c r="E20" t="str">
        <f t="shared" si="0"/>
        <v>פעיל</v>
      </c>
      <c r="F20" t="str">
        <f t="shared" si="6"/>
        <v>ורדית</v>
      </c>
      <c r="H20" s="1">
        <v>42576</v>
      </c>
      <c r="I20" s="1">
        <v>42576</v>
      </c>
      <c r="AT20">
        <v>0</v>
      </c>
      <c r="AV20">
        <v>0</v>
      </c>
      <c r="BA20">
        <v>0</v>
      </c>
      <c r="BB20">
        <v>0</v>
      </c>
      <c r="BC20" t="str">
        <f t="shared" si="2"/>
        <v>ש"ח</v>
      </c>
      <c r="BF20" s="2">
        <v>0</v>
      </c>
      <c r="BG20">
        <v>0</v>
      </c>
      <c r="CU20">
        <v>0</v>
      </c>
      <c r="CV20" t="str">
        <f t="shared" si="3"/>
        <v>ש"ח</v>
      </c>
      <c r="CW20" t="str">
        <f t="shared" si="4"/>
        <v>001</v>
      </c>
      <c r="CX20" t="str">
        <f t="shared" si="5"/>
        <v>מע'מ עסקאות</v>
      </c>
      <c r="CZ20">
        <v>0</v>
      </c>
      <c r="DA20">
        <v>0</v>
      </c>
    </row>
    <row r="21" spans="1:105" x14ac:dyDescent="0.2">
      <c r="A21">
        <v>3015</v>
      </c>
      <c r="B21" t="str">
        <f>"דורין פרנקפורט"</f>
        <v>דורין פרנקפורט</v>
      </c>
      <c r="E21" t="str">
        <f t="shared" si="0"/>
        <v>פעיל</v>
      </c>
      <c r="F21" t="str">
        <f t="shared" si="6"/>
        <v>ורדית</v>
      </c>
      <c r="H21" s="1">
        <v>42576</v>
      </c>
      <c r="I21" s="1">
        <v>42576</v>
      </c>
      <c r="AT21">
        <v>0</v>
      </c>
      <c r="AV21">
        <v>0</v>
      </c>
      <c r="BA21">
        <v>0</v>
      </c>
      <c r="BB21">
        <v>0</v>
      </c>
      <c r="BC21" t="str">
        <f t="shared" si="2"/>
        <v>ש"ח</v>
      </c>
      <c r="BF21" s="2">
        <v>0</v>
      </c>
      <c r="BG21">
        <v>0</v>
      </c>
      <c r="CU21">
        <v>0</v>
      </c>
      <c r="CV21" t="str">
        <f t="shared" si="3"/>
        <v>ש"ח</v>
      </c>
      <c r="CW21" t="str">
        <f t="shared" si="4"/>
        <v>001</v>
      </c>
      <c r="CX21" t="str">
        <f t="shared" si="5"/>
        <v>מע'מ עסקאות</v>
      </c>
      <c r="CZ21">
        <v>0</v>
      </c>
      <c r="DA21">
        <v>0</v>
      </c>
    </row>
    <row r="22" spans="1:105" x14ac:dyDescent="0.2">
      <c r="A22">
        <v>3016</v>
      </c>
      <c r="B22" t="str">
        <f>"שכרון נדודים בע""מ"</f>
        <v>שכרון נדודים בע"מ</v>
      </c>
      <c r="E22" t="str">
        <f t="shared" si="0"/>
        <v>פעיל</v>
      </c>
      <c r="F22" t="str">
        <f t="shared" si="6"/>
        <v>ורדית</v>
      </c>
      <c r="H22" s="1">
        <v>42576</v>
      </c>
      <c r="I22" s="1">
        <v>42576</v>
      </c>
      <c r="AT22">
        <v>0</v>
      </c>
      <c r="AV22">
        <v>0</v>
      </c>
      <c r="BA22">
        <v>0</v>
      </c>
      <c r="BB22">
        <v>0</v>
      </c>
      <c r="BC22" t="str">
        <f t="shared" si="2"/>
        <v>ש"ח</v>
      </c>
      <c r="BF22" s="2">
        <v>0</v>
      </c>
      <c r="BG22">
        <v>0</v>
      </c>
      <c r="CU22">
        <v>0</v>
      </c>
      <c r="CV22" t="str">
        <f t="shared" si="3"/>
        <v>ש"ח</v>
      </c>
      <c r="CW22" t="str">
        <f t="shared" si="4"/>
        <v>001</v>
      </c>
      <c r="CX22" t="str">
        <f t="shared" si="5"/>
        <v>מע'מ עסקאות</v>
      </c>
      <c r="CZ22">
        <v>0</v>
      </c>
      <c r="DA22">
        <v>0</v>
      </c>
    </row>
    <row r="23" spans="1:105" x14ac:dyDescent="0.2">
      <c r="A23">
        <v>3017</v>
      </c>
      <c r="B23" t="str">
        <f>"ניר סירוטה"</f>
        <v>ניר סירוטה</v>
      </c>
      <c r="E23" t="str">
        <f t="shared" si="0"/>
        <v>פעיל</v>
      </c>
      <c r="F23" t="str">
        <f>"אופיר"</f>
        <v>אופיר</v>
      </c>
      <c r="H23" s="1">
        <v>42394</v>
      </c>
      <c r="I23" s="1">
        <v>42394</v>
      </c>
      <c r="J23" t="str">
        <f>"0529404060"</f>
        <v>0529404060</v>
      </c>
      <c r="AC23" t="str">
        <f>"רש""י 7 קרית אונו"</f>
        <v>רש"י 7 קרית אונו</v>
      </c>
      <c r="AF23" t="str">
        <f>"קרית אונו"</f>
        <v>קרית אונו</v>
      </c>
      <c r="AG23" t="str">
        <f>"קרית אונו"</f>
        <v>קרית אונו</v>
      </c>
      <c r="AT23">
        <v>0</v>
      </c>
      <c r="AV23">
        <v>0</v>
      </c>
      <c r="BA23">
        <v>0</v>
      </c>
      <c r="BB23">
        <v>0</v>
      </c>
      <c r="BC23" t="str">
        <f t="shared" si="2"/>
        <v>ש"ח</v>
      </c>
      <c r="BF23" s="2">
        <v>0</v>
      </c>
      <c r="BG23">
        <v>0</v>
      </c>
      <c r="CU23">
        <v>0</v>
      </c>
      <c r="CV23" t="str">
        <f t="shared" si="3"/>
        <v>ש"ח</v>
      </c>
      <c r="CW23" t="str">
        <f t="shared" si="4"/>
        <v>001</v>
      </c>
      <c r="CX23" t="str">
        <f t="shared" si="5"/>
        <v>מע'מ עסקאות</v>
      </c>
      <c r="CZ23">
        <v>0</v>
      </c>
      <c r="DA23">
        <v>0</v>
      </c>
    </row>
    <row r="24" spans="1:105" x14ac:dyDescent="0.2">
      <c r="A24">
        <v>3018</v>
      </c>
      <c r="B24" t="str">
        <f>"דפנה לוסטיג"</f>
        <v>דפנה לוסטיג</v>
      </c>
      <c r="E24" t="str">
        <f t="shared" si="0"/>
        <v>פעיל</v>
      </c>
      <c r="F24" t="str">
        <f>"ורדית"</f>
        <v>ורדית</v>
      </c>
      <c r="H24" s="1">
        <v>42576</v>
      </c>
      <c r="I24" s="1">
        <v>42576</v>
      </c>
      <c r="AT24">
        <v>0</v>
      </c>
      <c r="AV24">
        <v>0</v>
      </c>
      <c r="BA24">
        <v>0</v>
      </c>
      <c r="BB24">
        <v>0</v>
      </c>
      <c r="BC24" t="str">
        <f t="shared" si="2"/>
        <v>ש"ח</v>
      </c>
      <c r="BF24" s="2">
        <v>0</v>
      </c>
      <c r="BG24">
        <v>0</v>
      </c>
      <c r="CU24">
        <v>0</v>
      </c>
      <c r="CV24" t="str">
        <f t="shared" si="3"/>
        <v>ש"ח</v>
      </c>
      <c r="CW24" t="str">
        <f t="shared" si="4"/>
        <v>001</v>
      </c>
      <c r="CX24" t="str">
        <f t="shared" si="5"/>
        <v>מע'מ עסקאות</v>
      </c>
      <c r="CZ24">
        <v>0</v>
      </c>
      <c r="DA24">
        <v>0</v>
      </c>
    </row>
    <row r="25" spans="1:105" x14ac:dyDescent="0.2">
      <c r="A25">
        <v>3019</v>
      </c>
      <c r="B25" t="str">
        <f>"מגר איציק"</f>
        <v>מגר איציק</v>
      </c>
      <c r="E25" t="str">
        <f t="shared" si="0"/>
        <v>פעיל</v>
      </c>
      <c r="F25" t="str">
        <f>"ורדית"</f>
        <v>ורדית</v>
      </c>
      <c r="H25" s="1">
        <v>42576</v>
      </c>
      <c r="I25" s="1">
        <v>42576</v>
      </c>
      <c r="AT25">
        <v>0</v>
      </c>
      <c r="AV25">
        <v>0</v>
      </c>
      <c r="BA25">
        <v>0</v>
      </c>
      <c r="BB25">
        <v>0</v>
      </c>
      <c r="BC25" t="str">
        <f t="shared" si="2"/>
        <v>ש"ח</v>
      </c>
      <c r="BF25" s="2">
        <v>0</v>
      </c>
      <c r="BG25">
        <v>0</v>
      </c>
      <c r="CU25">
        <v>0</v>
      </c>
      <c r="CV25" t="str">
        <f t="shared" si="3"/>
        <v>ש"ח</v>
      </c>
      <c r="CW25" t="str">
        <f t="shared" si="4"/>
        <v>001</v>
      </c>
      <c r="CX25" t="str">
        <f t="shared" si="5"/>
        <v>מע'מ עסקאות</v>
      </c>
      <c r="CZ25">
        <v>0</v>
      </c>
      <c r="DA25">
        <v>0</v>
      </c>
    </row>
    <row r="26" spans="1:105" x14ac:dyDescent="0.2">
      <c r="A26">
        <v>3020</v>
      </c>
      <c r="B26" t="str">
        <f>"ארזי-בר שדה בע""מ"</f>
        <v>ארזי-בר שדה בע"מ</v>
      </c>
      <c r="E26" t="str">
        <f t="shared" si="0"/>
        <v>פעיל</v>
      </c>
      <c r="F26" t="str">
        <f>"ורדית"</f>
        <v>ורדית</v>
      </c>
      <c r="H26" s="1">
        <v>42576</v>
      </c>
      <c r="I26" s="1">
        <v>42576</v>
      </c>
      <c r="AT26">
        <v>0</v>
      </c>
      <c r="AV26">
        <v>0</v>
      </c>
      <c r="BA26">
        <v>0</v>
      </c>
      <c r="BB26">
        <v>0</v>
      </c>
      <c r="BC26" t="str">
        <f t="shared" si="2"/>
        <v>ש"ח</v>
      </c>
      <c r="BF26" s="2">
        <v>0</v>
      </c>
      <c r="BG26">
        <v>0</v>
      </c>
      <c r="CU26">
        <v>0</v>
      </c>
      <c r="CV26" t="str">
        <f t="shared" si="3"/>
        <v>ש"ח</v>
      </c>
      <c r="CW26" t="str">
        <f t="shared" si="4"/>
        <v>001</v>
      </c>
      <c r="CX26" t="str">
        <f t="shared" si="5"/>
        <v>מע'מ עסקאות</v>
      </c>
      <c r="CZ26">
        <v>0</v>
      </c>
      <c r="DA26">
        <v>0</v>
      </c>
    </row>
    <row r="27" spans="1:105" x14ac:dyDescent="0.2">
      <c r="A27">
        <v>3021</v>
      </c>
      <c r="B27" t="str">
        <f>"נפטון פונדק את איילון בע""מ"</f>
        <v>נפטון פונדק את איילון בע"מ</v>
      </c>
      <c r="E27" t="str">
        <f t="shared" si="0"/>
        <v>פעיל</v>
      </c>
      <c r="F27" t="str">
        <f>"טל"</f>
        <v>טל</v>
      </c>
      <c r="H27" s="1">
        <v>42467</v>
      </c>
      <c r="I27" s="1">
        <v>42467</v>
      </c>
      <c r="AK27" t="str">
        <f>"510684178"</f>
        <v>510684178</v>
      </c>
      <c r="AM27" t="str">
        <f>"510684178"</f>
        <v>510684178</v>
      </c>
      <c r="AT27">
        <v>0</v>
      </c>
      <c r="AV27">
        <v>0</v>
      </c>
      <c r="BA27">
        <v>0</v>
      </c>
      <c r="BB27">
        <v>0</v>
      </c>
      <c r="BC27" t="str">
        <f t="shared" si="2"/>
        <v>ש"ח</v>
      </c>
      <c r="BF27" s="2">
        <v>0</v>
      </c>
      <c r="BG27">
        <v>0</v>
      </c>
      <c r="CU27">
        <v>0</v>
      </c>
      <c r="CV27" t="str">
        <f t="shared" si="3"/>
        <v>ש"ח</v>
      </c>
      <c r="CW27" t="str">
        <f t="shared" si="4"/>
        <v>001</v>
      </c>
      <c r="CX27" t="str">
        <f t="shared" si="5"/>
        <v>מע'מ עסקאות</v>
      </c>
      <c r="CZ27">
        <v>0</v>
      </c>
      <c r="DA27">
        <v>0</v>
      </c>
    </row>
    <row r="28" spans="1:105" x14ac:dyDescent="0.2">
      <c r="A28">
        <v>3022</v>
      </c>
      <c r="B28" t="str">
        <f>"גינת אופיר"</f>
        <v>גינת אופיר</v>
      </c>
      <c r="E28" t="str">
        <f t="shared" si="0"/>
        <v>פעיל</v>
      </c>
      <c r="F28" t="str">
        <f t="shared" ref="F28:F43" si="7">"ורדית"</f>
        <v>ורדית</v>
      </c>
      <c r="H28" s="1">
        <v>42576</v>
      </c>
      <c r="I28" s="1">
        <v>42576</v>
      </c>
      <c r="AT28">
        <v>0</v>
      </c>
      <c r="AV28">
        <v>0</v>
      </c>
      <c r="BA28">
        <v>0</v>
      </c>
      <c r="BB28">
        <v>0</v>
      </c>
      <c r="BC28" t="str">
        <f t="shared" si="2"/>
        <v>ש"ח</v>
      </c>
      <c r="BF28" s="2">
        <v>0</v>
      </c>
      <c r="BG28">
        <v>0</v>
      </c>
      <c r="CU28">
        <v>0</v>
      </c>
      <c r="CV28" t="str">
        <f t="shared" si="3"/>
        <v>ש"ח</v>
      </c>
      <c r="CW28" t="str">
        <f t="shared" si="4"/>
        <v>001</v>
      </c>
      <c r="CX28" t="str">
        <f t="shared" si="5"/>
        <v>מע'מ עסקאות</v>
      </c>
      <c r="CZ28">
        <v>0</v>
      </c>
      <c r="DA28">
        <v>0</v>
      </c>
    </row>
    <row r="29" spans="1:105" x14ac:dyDescent="0.2">
      <c r="A29">
        <v>3023</v>
      </c>
      <c r="B29" t="str">
        <f>"א.ח 2003 בניה ניהול והשקעות"</f>
        <v>א.ח 2003 בניה ניהול והשקעות</v>
      </c>
      <c r="E29" t="str">
        <f t="shared" si="0"/>
        <v>פעיל</v>
      </c>
      <c r="F29" t="str">
        <f t="shared" si="7"/>
        <v>ורדית</v>
      </c>
      <c r="H29" s="1">
        <v>42576</v>
      </c>
      <c r="I29" s="1">
        <v>42576</v>
      </c>
      <c r="AT29">
        <v>0</v>
      </c>
      <c r="AV29">
        <v>0</v>
      </c>
      <c r="BA29">
        <v>0</v>
      </c>
      <c r="BB29">
        <v>0</v>
      </c>
      <c r="BC29" t="str">
        <f t="shared" si="2"/>
        <v>ש"ח</v>
      </c>
      <c r="BF29" s="2">
        <v>0</v>
      </c>
      <c r="BG29">
        <v>0</v>
      </c>
      <c r="CU29">
        <v>0</v>
      </c>
      <c r="CV29" t="str">
        <f t="shared" si="3"/>
        <v>ש"ח</v>
      </c>
      <c r="CW29" t="str">
        <f t="shared" si="4"/>
        <v>001</v>
      </c>
      <c r="CX29" t="str">
        <f t="shared" si="5"/>
        <v>מע'מ עסקאות</v>
      </c>
      <c r="CZ29">
        <v>0</v>
      </c>
      <c r="DA29">
        <v>0</v>
      </c>
    </row>
    <row r="30" spans="1:105" x14ac:dyDescent="0.2">
      <c r="A30">
        <v>3024</v>
      </c>
      <c r="B30" t="str">
        <f>"סולארי בע""מ"</f>
        <v>סולארי בע"מ</v>
      </c>
      <c r="E30" t="str">
        <f t="shared" si="0"/>
        <v>פעיל</v>
      </c>
      <c r="F30" t="str">
        <f t="shared" si="7"/>
        <v>ורדית</v>
      </c>
      <c r="H30" s="1">
        <v>42576</v>
      </c>
      <c r="I30" s="1">
        <v>42576</v>
      </c>
      <c r="AT30">
        <v>0</v>
      </c>
      <c r="AV30">
        <v>0</v>
      </c>
      <c r="BA30">
        <v>0</v>
      </c>
      <c r="BB30">
        <v>0</v>
      </c>
      <c r="BC30" t="str">
        <f t="shared" si="2"/>
        <v>ש"ח</v>
      </c>
      <c r="BF30" s="2">
        <v>0</v>
      </c>
      <c r="BG30">
        <v>0</v>
      </c>
      <c r="CU30">
        <v>0</v>
      </c>
      <c r="CV30" t="str">
        <f t="shared" si="3"/>
        <v>ש"ח</v>
      </c>
      <c r="CW30" t="str">
        <f t="shared" si="4"/>
        <v>001</v>
      </c>
      <c r="CX30" t="str">
        <f t="shared" si="5"/>
        <v>מע'מ עסקאות</v>
      </c>
      <c r="CZ30">
        <v>0</v>
      </c>
      <c r="DA30">
        <v>0</v>
      </c>
    </row>
    <row r="31" spans="1:105" x14ac:dyDescent="0.2">
      <c r="A31">
        <v>3025</v>
      </c>
      <c r="B31" t="str">
        <f>"גבעתי שלומי ושרית"</f>
        <v>גבעתי שלומי ושרית</v>
      </c>
      <c r="E31" t="str">
        <f t="shared" si="0"/>
        <v>פעיל</v>
      </c>
      <c r="F31" t="str">
        <f t="shared" si="7"/>
        <v>ורדית</v>
      </c>
      <c r="H31" s="1">
        <v>42576</v>
      </c>
      <c r="I31" s="1">
        <v>42576</v>
      </c>
      <c r="AT31">
        <v>0</v>
      </c>
      <c r="AV31">
        <v>0</v>
      </c>
      <c r="BA31">
        <v>0</v>
      </c>
      <c r="BB31">
        <v>0</v>
      </c>
      <c r="BC31" t="str">
        <f t="shared" si="2"/>
        <v>ש"ח</v>
      </c>
      <c r="BF31" s="2">
        <v>0</v>
      </c>
      <c r="BG31">
        <v>0</v>
      </c>
      <c r="CU31">
        <v>0</v>
      </c>
      <c r="CV31" t="str">
        <f t="shared" si="3"/>
        <v>ש"ח</v>
      </c>
      <c r="CW31" t="str">
        <f t="shared" si="4"/>
        <v>001</v>
      </c>
      <c r="CX31" t="str">
        <f t="shared" si="5"/>
        <v>מע'מ עסקאות</v>
      </c>
      <c r="CZ31">
        <v>0</v>
      </c>
      <c r="DA31">
        <v>0</v>
      </c>
    </row>
    <row r="32" spans="1:105" x14ac:dyDescent="0.2">
      <c r="A32">
        <v>3026</v>
      </c>
      <c r="B32" t="str">
        <f>"מיכאל מרכז הקרמיקה ועיצוב הבית"</f>
        <v>מיכאל מרכז הקרמיקה ועיצוב הבית</v>
      </c>
      <c r="E32" t="str">
        <f t="shared" si="0"/>
        <v>פעיל</v>
      </c>
      <c r="F32" t="str">
        <f t="shared" si="7"/>
        <v>ורדית</v>
      </c>
      <c r="H32" s="1">
        <v>42576</v>
      </c>
      <c r="I32" s="1">
        <v>42576</v>
      </c>
      <c r="AT32">
        <v>0</v>
      </c>
      <c r="AV32">
        <v>0</v>
      </c>
      <c r="BA32">
        <v>0</v>
      </c>
      <c r="BB32">
        <v>0</v>
      </c>
      <c r="BC32" t="str">
        <f t="shared" si="2"/>
        <v>ש"ח</v>
      </c>
      <c r="BF32" s="2">
        <v>0</v>
      </c>
      <c r="BG32">
        <v>0</v>
      </c>
      <c r="CU32">
        <v>0</v>
      </c>
      <c r="CV32" t="str">
        <f t="shared" si="3"/>
        <v>ש"ח</v>
      </c>
      <c r="CW32" t="str">
        <f t="shared" si="4"/>
        <v>001</v>
      </c>
      <c r="CX32" t="str">
        <f t="shared" si="5"/>
        <v>מע'מ עסקאות</v>
      </c>
      <c r="CZ32">
        <v>0</v>
      </c>
      <c r="DA32">
        <v>0</v>
      </c>
    </row>
    <row r="33" spans="1:105" x14ac:dyDescent="0.2">
      <c r="A33">
        <v>3027</v>
      </c>
      <c r="B33" t="str">
        <f>"מוסך הראל"</f>
        <v>מוסך הראל</v>
      </c>
      <c r="E33" t="str">
        <f t="shared" ref="E33:E63" si="8">"פעיל"</f>
        <v>פעיל</v>
      </c>
      <c r="F33" t="str">
        <f t="shared" si="7"/>
        <v>ורדית</v>
      </c>
      <c r="H33" s="1">
        <v>42576</v>
      </c>
      <c r="I33" s="1">
        <v>42576</v>
      </c>
      <c r="AT33">
        <v>0</v>
      </c>
      <c r="AV33">
        <v>0</v>
      </c>
      <c r="BA33">
        <v>0</v>
      </c>
      <c r="BB33">
        <v>0</v>
      </c>
      <c r="BC33" t="str">
        <f t="shared" ref="BC33:BC63" si="9">"ש""ח"</f>
        <v>ש"ח</v>
      </c>
      <c r="BF33" s="2">
        <v>0</v>
      </c>
      <c r="BG33">
        <v>0</v>
      </c>
      <c r="CU33">
        <v>0</v>
      </c>
      <c r="CV33" t="str">
        <f t="shared" ref="CV33:CV63" si="10">"ש""ח"</f>
        <v>ש"ח</v>
      </c>
      <c r="CW33" t="str">
        <f t="shared" ref="CW33:CW63" si="11">"001"</f>
        <v>001</v>
      </c>
      <c r="CX33" t="str">
        <f t="shared" ref="CX33:CX63" si="12">"מע'מ עסקאות"</f>
        <v>מע'מ עסקאות</v>
      </c>
      <c r="CZ33">
        <v>0</v>
      </c>
      <c r="DA33">
        <v>0</v>
      </c>
    </row>
    <row r="34" spans="1:105" x14ac:dyDescent="0.2">
      <c r="A34">
        <v>3028</v>
      </c>
      <c r="B34" t="str">
        <f>"נועה קידן עריכה ועיצוב"</f>
        <v>נועה קידן עריכה ועיצוב</v>
      </c>
      <c r="E34" t="str">
        <f t="shared" si="8"/>
        <v>פעיל</v>
      </c>
      <c r="F34" t="str">
        <f t="shared" si="7"/>
        <v>ורדית</v>
      </c>
      <c r="H34" s="1">
        <v>42576</v>
      </c>
      <c r="I34" s="1">
        <v>42576</v>
      </c>
      <c r="AT34">
        <v>0</v>
      </c>
      <c r="AV34">
        <v>0</v>
      </c>
      <c r="BA34">
        <v>0</v>
      </c>
      <c r="BB34">
        <v>0</v>
      </c>
      <c r="BC34" t="str">
        <f t="shared" si="9"/>
        <v>ש"ח</v>
      </c>
      <c r="BF34" s="2">
        <v>0</v>
      </c>
      <c r="BG34">
        <v>0</v>
      </c>
      <c r="CU34">
        <v>0</v>
      </c>
      <c r="CV34" t="str">
        <f t="shared" si="10"/>
        <v>ש"ח</v>
      </c>
      <c r="CW34" t="str">
        <f t="shared" si="11"/>
        <v>001</v>
      </c>
      <c r="CX34" t="str">
        <f t="shared" si="12"/>
        <v>מע'מ עסקאות</v>
      </c>
      <c r="CZ34">
        <v>0</v>
      </c>
      <c r="DA34">
        <v>0</v>
      </c>
    </row>
    <row r="35" spans="1:105" x14ac:dyDescent="0.2">
      <c r="A35">
        <v>3029</v>
      </c>
      <c r="B35" t="str">
        <f>"ק.ר פתרונות באינסטלציה"</f>
        <v>ק.ר פתרונות באינסטלציה</v>
      </c>
      <c r="E35" t="str">
        <f t="shared" si="8"/>
        <v>פעיל</v>
      </c>
      <c r="F35" t="str">
        <f t="shared" si="7"/>
        <v>ורדית</v>
      </c>
      <c r="H35" s="1">
        <v>42576</v>
      </c>
      <c r="I35" s="1">
        <v>42576</v>
      </c>
      <c r="AT35">
        <v>0</v>
      </c>
      <c r="AV35">
        <v>0</v>
      </c>
      <c r="BA35">
        <v>0</v>
      </c>
      <c r="BB35">
        <v>0</v>
      </c>
      <c r="BC35" t="str">
        <f t="shared" si="9"/>
        <v>ש"ח</v>
      </c>
      <c r="BF35" s="2">
        <v>0</v>
      </c>
      <c r="BG35">
        <v>0</v>
      </c>
      <c r="CU35">
        <v>0</v>
      </c>
      <c r="CV35" t="str">
        <f t="shared" si="10"/>
        <v>ש"ח</v>
      </c>
      <c r="CW35" t="str">
        <f t="shared" si="11"/>
        <v>001</v>
      </c>
      <c r="CX35" t="str">
        <f t="shared" si="12"/>
        <v>מע'מ עסקאות</v>
      </c>
      <c r="CZ35">
        <v>0</v>
      </c>
      <c r="DA35">
        <v>0</v>
      </c>
    </row>
    <row r="36" spans="1:105" x14ac:dyDescent="0.2">
      <c r="A36">
        <v>3030</v>
      </c>
      <c r="B36" t="str">
        <f>"מחסני גבעת שאול בע""מ מוצרי חשמל"</f>
        <v>מחסני גבעת שאול בע"מ מוצרי חשמל</v>
      </c>
      <c r="E36" t="str">
        <f t="shared" si="8"/>
        <v>פעיל</v>
      </c>
      <c r="F36" t="str">
        <f t="shared" si="7"/>
        <v>ורדית</v>
      </c>
      <c r="H36" s="1">
        <v>42576</v>
      </c>
      <c r="I36" s="1">
        <v>42576</v>
      </c>
      <c r="AT36">
        <v>0</v>
      </c>
      <c r="AV36">
        <v>0</v>
      </c>
      <c r="BA36">
        <v>0</v>
      </c>
      <c r="BB36">
        <v>0</v>
      </c>
      <c r="BC36" t="str">
        <f t="shared" si="9"/>
        <v>ש"ח</v>
      </c>
      <c r="BF36" s="2">
        <v>0</v>
      </c>
      <c r="BG36">
        <v>0</v>
      </c>
      <c r="CU36">
        <v>0</v>
      </c>
      <c r="CV36" t="str">
        <f t="shared" si="10"/>
        <v>ש"ח</v>
      </c>
      <c r="CW36" t="str">
        <f t="shared" si="11"/>
        <v>001</v>
      </c>
      <c r="CX36" t="str">
        <f t="shared" si="12"/>
        <v>מע'מ עסקאות</v>
      </c>
      <c r="CZ36">
        <v>0</v>
      </c>
      <c r="DA36">
        <v>0</v>
      </c>
    </row>
    <row r="37" spans="1:105" x14ac:dyDescent="0.2">
      <c r="A37">
        <v>3031</v>
      </c>
      <c r="B37" t="str">
        <f>"דקור סטאר בע""מ"</f>
        <v>דקור סטאר בע"מ</v>
      </c>
      <c r="E37" t="str">
        <f t="shared" si="8"/>
        <v>פעיל</v>
      </c>
      <c r="F37" t="str">
        <f t="shared" si="7"/>
        <v>ורדית</v>
      </c>
      <c r="H37" s="1">
        <v>42576</v>
      </c>
      <c r="I37" s="1">
        <v>42576</v>
      </c>
      <c r="AT37">
        <v>0</v>
      </c>
      <c r="AV37">
        <v>0</v>
      </c>
      <c r="BA37">
        <v>0</v>
      </c>
      <c r="BB37">
        <v>0</v>
      </c>
      <c r="BC37" t="str">
        <f t="shared" si="9"/>
        <v>ש"ח</v>
      </c>
      <c r="BF37" s="2">
        <v>0</v>
      </c>
      <c r="BG37">
        <v>0</v>
      </c>
      <c r="CU37">
        <v>0</v>
      </c>
      <c r="CV37" t="str">
        <f t="shared" si="10"/>
        <v>ש"ח</v>
      </c>
      <c r="CW37" t="str">
        <f t="shared" si="11"/>
        <v>001</v>
      </c>
      <c r="CX37" t="str">
        <f t="shared" si="12"/>
        <v>מע'מ עסקאות</v>
      </c>
      <c r="CZ37">
        <v>0</v>
      </c>
      <c r="DA37">
        <v>0</v>
      </c>
    </row>
    <row r="38" spans="1:105" x14ac:dyDescent="0.2">
      <c r="A38">
        <v>3032</v>
      </c>
      <c r="B38" t="str">
        <f>"אליק הראל"</f>
        <v>אליק הראל</v>
      </c>
      <c r="E38" t="str">
        <f t="shared" si="8"/>
        <v>פעיל</v>
      </c>
      <c r="F38" t="str">
        <f t="shared" si="7"/>
        <v>ורדית</v>
      </c>
      <c r="H38" s="1">
        <v>42576</v>
      </c>
      <c r="I38" s="1">
        <v>42576</v>
      </c>
      <c r="AT38">
        <v>0</v>
      </c>
      <c r="AV38">
        <v>0</v>
      </c>
      <c r="BA38">
        <v>0</v>
      </c>
      <c r="BB38">
        <v>0</v>
      </c>
      <c r="BC38" t="str">
        <f t="shared" si="9"/>
        <v>ש"ח</v>
      </c>
      <c r="BF38" s="2">
        <v>0</v>
      </c>
      <c r="BG38">
        <v>0</v>
      </c>
      <c r="CU38">
        <v>0</v>
      </c>
      <c r="CV38" t="str">
        <f t="shared" si="10"/>
        <v>ש"ח</v>
      </c>
      <c r="CW38" t="str">
        <f t="shared" si="11"/>
        <v>001</v>
      </c>
      <c r="CX38" t="str">
        <f t="shared" si="12"/>
        <v>מע'מ עסקאות</v>
      </c>
      <c r="CZ38">
        <v>0</v>
      </c>
      <c r="DA38">
        <v>0</v>
      </c>
    </row>
    <row r="39" spans="1:105" x14ac:dyDescent="0.2">
      <c r="A39">
        <v>3033</v>
      </c>
      <c r="B39" t="str">
        <f>"תור"</f>
        <v>תור</v>
      </c>
      <c r="E39" t="str">
        <f t="shared" si="8"/>
        <v>פעיל</v>
      </c>
      <c r="F39" t="str">
        <f t="shared" si="7"/>
        <v>ורדית</v>
      </c>
      <c r="H39" s="1">
        <v>42576</v>
      </c>
      <c r="I39" s="1">
        <v>42576</v>
      </c>
      <c r="AT39">
        <v>0</v>
      </c>
      <c r="AV39">
        <v>0</v>
      </c>
      <c r="BA39">
        <v>0</v>
      </c>
      <c r="BB39">
        <v>0</v>
      </c>
      <c r="BC39" t="str">
        <f t="shared" si="9"/>
        <v>ש"ח</v>
      </c>
      <c r="BF39" s="2">
        <v>0</v>
      </c>
      <c r="BG39">
        <v>0</v>
      </c>
      <c r="CU39">
        <v>0</v>
      </c>
      <c r="CV39" t="str">
        <f t="shared" si="10"/>
        <v>ש"ח</v>
      </c>
      <c r="CW39" t="str">
        <f t="shared" si="11"/>
        <v>001</v>
      </c>
      <c r="CX39" t="str">
        <f t="shared" si="12"/>
        <v>מע'מ עסקאות</v>
      </c>
      <c r="CZ39">
        <v>0</v>
      </c>
      <c r="DA39">
        <v>0</v>
      </c>
    </row>
    <row r="40" spans="1:105" x14ac:dyDescent="0.2">
      <c r="A40">
        <v>3034</v>
      </c>
      <c r="B40" t="str">
        <f>"אמבר חב' לבניה ולעבודות פנים בע""מ"</f>
        <v>אמבר חב' לבניה ולעבודות פנים בע"מ</v>
      </c>
      <c r="E40" t="str">
        <f t="shared" si="8"/>
        <v>פעיל</v>
      </c>
      <c r="F40" t="str">
        <f t="shared" si="7"/>
        <v>ורדית</v>
      </c>
      <c r="H40" s="1">
        <v>42576</v>
      </c>
      <c r="I40" s="1">
        <v>42576</v>
      </c>
      <c r="AT40">
        <v>0</v>
      </c>
      <c r="AV40">
        <v>0</v>
      </c>
      <c r="BA40">
        <v>0</v>
      </c>
      <c r="BB40">
        <v>0</v>
      </c>
      <c r="BC40" t="str">
        <f t="shared" si="9"/>
        <v>ש"ח</v>
      </c>
      <c r="BF40" s="2">
        <v>0</v>
      </c>
      <c r="BG40">
        <v>0</v>
      </c>
      <c r="CU40">
        <v>0</v>
      </c>
      <c r="CV40" t="str">
        <f t="shared" si="10"/>
        <v>ש"ח</v>
      </c>
      <c r="CW40" t="str">
        <f t="shared" si="11"/>
        <v>001</v>
      </c>
      <c r="CX40" t="str">
        <f t="shared" si="12"/>
        <v>מע'מ עסקאות</v>
      </c>
      <c r="CZ40">
        <v>0</v>
      </c>
      <c r="DA40">
        <v>0</v>
      </c>
    </row>
    <row r="41" spans="1:105" x14ac:dyDescent="0.2">
      <c r="A41">
        <v>3035</v>
      </c>
      <c r="B41" t="str">
        <f>"לינדה סימון"</f>
        <v>לינדה סימון</v>
      </c>
      <c r="E41" t="str">
        <f t="shared" si="8"/>
        <v>פעיל</v>
      </c>
      <c r="F41" t="str">
        <f t="shared" si="7"/>
        <v>ורדית</v>
      </c>
      <c r="H41" s="1">
        <v>42576</v>
      </c>
      <c r="I41" s="1">
        <v>42576</v>
      </c>
      <c r="AT41">
        <v>0</v>
      </c>
      <c r="AV41">
        <v>0</v>
      </c>
      <c r="BA41">
        <v>0</v>
      </c>
      <c r="BB41">
        <v>0</v>
      </c>
      <c r="BC41" t="str">
        <f t="shared" si="9"/>
        <v>ש"ח</v>
      </c>
      <c r="BF41" s="2">
        <v>0</v>
      </c>
      <c r="BG41">
        <v>0</v>
      </c>
      <c r="CU41">
        <v>0</v>
      </c>
      <c r="CV41" t="str">
        <f t="shared" si="10"/>
        <v>ש"ח</v>
      </c>
      <c r="CW41" t="str">
        <f t="shared" si="11"/>
        <v>001</v>
      </c>
      <c r="CX41" t="str">
        <f t="shared" si="12"/>
        <v>מע'מ עסקאות</v>
      </c>
      <c r="CZ41">
        <v>0</v>
      </c>
      <c r="DA41">
        <v>0</v>
      </c>
    </row>
    <row r="42" spans="1:105" x14ac:dyDescent="0.2">
      <c r="A42">
        <v>3036</v>
      </c>
      <c r="B42" t="str">
        <f>"סטלה ולורי"</f>
        <v>סטלה ולורי</v>
      </c>
      <c r="E42" t="str">
        <f t="shared" si="8"/>
        <v>פעיל</v>
      </c>
      <c r="F42" t="str">
        <f t="shared" si="7"/>
        <v>ורדית</v>
      </c>
      <c r="H42" s="1">
        <v>42576</v>
      </c>
      <c r="I42" s="1">
        <v>42576</v>
      </c>
      <c r="AT42">
        <v>0</v>
      </c>
      <c r="AV42">
        <v>0</v>
      </c>
      <c r="BA42">
        <v>0</v>
      </c>
      <c r="BB42">
        <v>0</v>
      </c>
      <c r="BC42" t="str">
        <f t="shared" si="9"/>
        <v>ש"ח</v>
      </c>
      <c r="BF42" s="2">
        <v>0</v>
      </c>
      <c r="BG42">
        <v>0</v>
      </c>
      <c r="CU42">
        <v>0</v>
      </c>
      <c r="CV42" t="str">
        <f t="shared" si="10"/>
        <v>ש"ח</v>
      </c>
      <c r="CW42" t="str">
        <f t="shared" si="11"/>
        <v>001</v>
      </c>
      <c r="CX42" t="str">
        <f t="shared" si="12"/>
        <v>מע'מ עסקאות</v>
      </c>
      <c r="CZ42">
        <v>0</v>
      </c>
      <c r="DA42">
        <v>0</v>
      </c>
    </row>
    <row r="43" spans="1:105" x14ac:dyDescent="0.2">
      <c r="A43">
        <v>3037</v>
      </c>
      <c r="B43" t="str">
        <f>"רפאלי הראל"</f>
        <v>רפאלי הראל</v>
      </c>
      <c r="E43" t="str">
        <f t="shared" si="8"/>
        <v>פעיל</v>
      </c>
      <c r="F43" t="str">
        <f t="shared" si="7"/>
        <v>ורדית</v>
      </c>
      <c r="H43" s="1">
        <v>42576</v>
      </c>
      <c r="I43" s="1">
        <v>42576</v>
      </c>
      <c r="AT43">
        <v>0</v>
      </c>
      <c r="AV43">
        <v>0</v>
      </c>
      <c r="BA43">
        <v>0</v>
      </c>
      <c r="BB43">
        <v>0</v>
      </c>
      <c r="BC43" t="str">
        <f t="shared" si="9"/>
        <v>ש"ח</v>
      </c>
      <c r="BF43" s="2">
        <v>0</v>
      </c>
      <c r="BG43">
        <v>0</v>
      </c>
      <c r="CU43">
        <v>0</v>
      </c>
      <c r="CV43" t="str">
        <f t="shared" si="10"/>
        <v>ש"ח</v>
      </c>
      <c r="CW43" t="str">
        <f t="shared" si="11"/>
        <v>001</v>
      </c>
      <c r="CX43" t="str">
        <f t="shared" si="12"/>
        <v>מע'מ עסקאות</v>
      </c>
      <c r="CZ43">
        <v>0</v>
      </c>
      <c r="DA43">
        <v>0</v>
      </c>
    </row>
    <row r="44" spans="1:105" x14ac:dyDescent="0.2">
      <c r="A44">
        <v>3038</v>
      </c>
      <c r="B44" t="str">
        <f>"פורמה פרוייקטים בע""מ"</f>
        <v>פורמה פרוייקטים בע"מ</v>
      </c>
      <c r="E44" t="str">
        <f t="shared" si="8"/>
        <v>פעיל</v>
      </c>
      <c r="F44" t="str">
        <f>"אופיר"</f>
        <v>אופיר</v>
      </c>
      <c r="H44" s="1">
        <v>42285</v>
      </c>
      <c r="I44" s="1">
        <v>42285</v>
      </c>
      <c r="J44" t="str">
        <f>"035383838"</f>
        <v>035383838</v>
      </c>
      <c r="K44" t="str">
        <f>"036340340"</f>
        <v>036340340</v>
      </c>
      <c r="AC44" t="str">
        <f>"יוני נתניהו 1"</f>
        <v>יוני נתניהו 1</v>
      </c>
      <c r="AF44" t="str">
        <f>"אור יהודה"</f>
        <v>אור יהודה</v>
      </c>
      <c r="AG44" t="str">
        <f>"אור יהודה"</f>
        <v>אור יהודה</v>
      </c>
      <c r="AI44" t="str">
        <f>"60250"</f>
        <v>60250</v>
      </c>
      <c r="AK44" t="str">
        <f>"513403964"</f>
        <v>513403964</v>
      </c>
      <c r="AM44" t="str">
        <f>"557877842"</f>
        <v>557877842</v>
      </c>
      <c r="AT44">
        <v>0</v>
      </c>
      <c r="AV44">
        <v>0</v>
      </c>
      <c r="BA44">
        <v>0</v>
      </c>
      <c r="BB44">
        <v>0</v>
      </c>
      <c r="BC44" t="str">
        <f t="shared" si="9"/>
        <v>ש"ח</v>
      </c>
      <c r="BF44" s="2">
        <v>0</v>
      </c>
      <c r="BG44">
        <v>0</v>
      </c>
      <c r="CU44">
        <v>0</v>
      </c>
      <c r="CV44" t="str">
        <f t="shared" si="10"/>
        <v>ש"ח</v>
      </c>
      <c r="CW44" t="str">
        <f t="shared" si="11"/>
        <v>001</v>
      </c>
      <c r="CX44" t="str">
        <f t="shared" si="12"/>
        <v>מע'מ עסקאות</v>
      </c>
      <c r="CZ44">
        <v>0</v>
      </c>
      <c r="DA44">
        <v>0</v>
      </c>
    </row>
    <row r="45" spans="1:105" x14ac:dyDescent="0.2">
      <c r="A45">
        <v>3039</v>
      </c>
      <c r="B45" t="str">
        <f>"ריקרדו ריצ'"</f>
        <v>ריקרדו ריצ'</v>
      </c>
      <c r="E45" t="str">
        <f t="shared" si="8"/>
        <v>פעיל</v>
      </c>
      <c r="F45" t="str">
        <f>"ורדית"</f>
        <v>ורדית</v>
      </c>
      <c r="H45" s="1">
        <v>42576</v>
      </c>
      <c r="I45" s="1">
        <v>42576</v>
      </c>
      <c r="AT45">
        <v>0</v>
      </c>
      <c r="AV45">
        <v>0</v>
      </c>
      <c r="BA45">
        <v>0</v>
      </c>
      <c r="BB45">
        <v>0</v>
      </c>
      <c r="BC45" t="str">
        <f t="shared" si="9"/>
        <v>ש"ח</v>
      </c>
      <c r="BF45" s="2">
        <v>0</v>
      </c>
      <c r="BG45">
        <v>0</v>
      </c>
      <c r="CU45">
        <v>0</v>
      </c>
      <c r="CV45" t="str">
        <f t="shared" si="10"/>
        <v>ש"ח</v>
      </c>
      <c r="CW45" t="str">
        <f t="shared" si="11"/>
        <v>001</v>
      </c>
      <c r="CX45" t="str">
        <f t="shared" si="12"/>
        <v>מע'מ עסקאות</v>
      </c>
      <c r="CZ45">
        <v>0</v>
      </c>
      <c r="DA45">
        <v>0</v>
      </c>
    </row>
    <row r="46" spans="1:105" x14ac:dyDescent="0.2">
      <c r="A46">
        <v>3040</v>
      </c>
      <c r="B46" t="str">
        <f>"פרי שחר"</f>
        <v>פרי שחר</v>
      </c>
      <c r="E46" t="str">
        <f t="shared" si="8"/>
        <v>פעיל</v>
      </c>
      <c r="F46" t="str">
        <f>"ורדית"</f>
        <v>ורדית</v>
      </c>
      <c r="H46" s="1">
        <v>42576</v>
      </c>
      <c r="I46" s="1">
        <v>42576</v>
      </c>
      <c r="AT46">
        <v>0</v>
      </c>
      <c r="AV46">
        <v>0</v>
      </c>
      <c r="BA46">
        <v>0</v>
      </c>
      <c r="BB46">
        <v>0</v>
      </c>
      <c r="BC46" t="str">
        <f t="shared" si="9"/>
        <v>ש"ח</v>
      </c>
      <c r="BF46" s="2">
        <v>0</v>
      </c>
      <c r="BG46">
        <v>0</v>
      </c>
      <c r="CU46">
        <v>0</v>
      </c>
      <c r="CV46" t="str">
        <f t="shared" si="10"/>
        <v>ש"ח</v>
      </c>
      <c r="CW46" t="str">
        <f t="shared" si="11"/>
        <v>001</v>
      </c>
      <c r="CX46" t="str">
        <f t="shared" si="12"/>
        <v>מע'מ עסקאות</v>
      </c>
      <c r="CZ46">
        <v>0</v>
      </c>
      <c r="DA46">
        <v>0</v>
      </c>
    </row>
    <row r="47" spans="1:105" x14ac:dyDescent="0.2">
      <c r="A47">
        <v>3041</v>
      </c>
      <c r="B47" t="str">
        <f>"צבי זכיה"</f>
        <v>צבי זכיה</v>
      </c>
      <c r="E47" t="str">
        <f t="shared" si="8"/>
        <v>פעיל</v>
      </c>
      <c r="F47" t="str">
        <f>"ורדית"</f>
        <v>ורדית</v>
      </c>
      <c r="H47" s="1">
        <v>42576</v>
      </c>
      <c r="I47" s="1">
        <v>42576</v>
      </c>
      <c r="AT47">
        <v>0</v>
      </c>
      <c r="AV47">
        <v>0</v>
      </c>
      <c r="BA47">
        <v>0</v>
      </c>
      <c r="BB47">
        <v>0</v>
      </c>
      <c r="BC47" t="str">
        <f t="shared" si="9"/>
        <v>ש"ח</v>
      </c>
      <c r="BF47" s="2">
        <v>0</v>
      </c>
      <c r="BG47">
        <v>0</v>
      </c>
      <c r="CU47">
        <v>0</v>
      </c>
      <c r="CV47" t="str">
        <f t="shared" si="10"/>
        <v>ש"ח</v>
      </c>
      <c r="CW47" t="str">
        <f t="shared" si="11"/>
        <v>001</v>
      </c>
      <c r="CX47" t="str">
        <f t="shared" si="12"/>
        <v>מע'מ עסקאות</v>
      </c>
      <c r="CZ47">
        <v>0</v>
      </c>
      <c r="DA47">
        <v>0</v>
      </c>
    </row>
    <row r="48" spans="1:105" x14ac:dyDescent="0.2">
      <c r="A48">
        <v>3042</v>
      </c>
      <c r="B48" t="str">
        <f>"איזיקסון  מייק"</f>
        <v>איזיקסון  מייק</v>
      </c>
      <c r="E48" t="str">
        <f t="shared" si="8"/>
        <v>פעיל</v>
      </c>
      <c r="F48" t="str">
        <f>"אופיר"</f>
        <v>אופיר</v>
      </c>
      <c r="H48" s="1">
        <v>42292</v>
      </c>
      <c r="I48" s="1">
        <v>42292</v>
      </c>
      <c r="AC48" t="str">
        <f>"יהודה הלוי 2 תל אביב"</f>
        <v>יהודה הלוי 2 תל אביב</v>
      </c>
      <c r="AT48">
        <v>0</v>
      </c>
      <c r="AV48">
        <v>0</v>
      </c>
      <c r="BA48">
        <v>0</v>
      </c>
      <c r="BB48">
        <v>0</v>
      </c>
      <c r="BC48" t="str">
        <f t="shared" si="9"/>
        <v>ש"ח</v>
      </c>
      <c r="BF48" s="2">
        <v>0</v>
      </c>
      <c r="BG48">
        <v>0</v>
      </c>
      <c r="CU48">
        <v>0</v>
      </c>
      <c r="CV48" t="str">
        <f t="shared" si="10"/>
        <v>ש"ח</v>
      </c>
      <c r="CW48" t="str">
        <f t="shared" si="11"/>
        <v>001</v>
      </c>
      <c r="CX48" t="str">
        <f t="shared" si="12"/>
        <v>מע'מ עסקאות</v>
      </c>
      <c r="CZ48">
        <v>0</v>
      </c>
      <c r="DA48">
        <v>0</v>
      </c>
    </row>
    <row r="49" spans="1:105" x14ac:dyDescent="0.2">
      <c r="A49">
        <v>3043</v>
      </c>
      <c r="B49" t="str">
        <f>"דניה סיבוס בע""מ"</f>
        <v>דניה סיבוס בע"מ</v>
      </c>
      <c r="E49" t="str">
        <f t="shared" si="8"/>
        <v>פעיל</v>
      </c>
      <c r="F49" t="str">
        <f>"אופיר"</f>
        <v>אופיר</v>
      </c>
      <c r="H49" s="1">
        <v>42369</v>
      </c>
      <c r="I49" s="1">
        <v>42369</v>
      </c>
      <c r="J49" t="str">
        <f>"035383838"</f>
        <v>035383838</v>
      </c>
      <c r="AC49" t="str">
        <f>"יוני נתניהו 1"</f>
        <v>יוני נתניהו 1</v>
      </c>
      <c r="AD49" t="str">
        <f>"אור יהודה"</f>
        <v>אור יהודה</v>
      </c>
      <c r="AI49" t="str">
        <f>"60250"</f>
        <v>60250</v>
      </c>
      <c r="AK49" t="str">
        <f>"512569237"</f>
        <v>512569237</v>
      </c>
      <c r="AT49">
        <v>0</v>
      </c>
      <c r="AV49">
        <v>0</v>
      </c>
      <c r="BA49">
        <v>0</v>
      </c>
      <c r="BB49">
        <v>0</v>
      </c>
      <c r="BC49" t="str">
        <f t="shared" si="9"/>
        <v>ש"ח</v>
      </c>
      <c r="BF49" s="2">
        <v>0</v>
      </c>
      <c r="BG49">
        <v>0</v>
      </c>
      <c r="CU49">
        <v>0</v>
      </c>
      <c r="CV49" t="str">
        <f t="shared" si="10"/>
        <v>ש"ח</v>
      </c>
      <c r="CW49" t="str">
        <f t="shared" si="11"/>
        <v>001</v>
      </c>
      <c r="CX49" t="str">
        <f t="shared" si="12"/>
        <v>מע'מ עסקאות</v>
      </c>
      <c r="CZ49">
        <v>0</v>
      </c>
      <c r="DA49">
        <v>0</v>
      </c>
    </row>
    <row r="50" spans="1:105" x14ac:dyDescent="0.2">
      <c r="A50">
        <v>3044</v>
      </c>
      <c r="B50" t="str">
        <f>"פילאטיס הגר ורחלי"</f>
        <v>פילאטיס הגר ורחלי</v>
      </c>
      <c r="E50" t="str">
        <f t="shared" si="8"/>
        <v>פעיל</v>
      </c>
      <c r="F50" t="str">
        <f>"ורדית"</f>
        <v>ורדית</v>
      </c>
      <c r="H50" s="1">
        <v>42576</v>
      </c>
      <c r="I50" s="1">
        <v>42576</v>
      </c>
      <c r="AT50">
        <v>0</v>
      </c>
      <c r="AV50">
        <v>0</v>
      </c>
      <c r="BA50">
        <v>0</v>
      </c>
      <c r="BB50">
        <v>0</v>
      </c>
      <c r="BC50" t="str">
        <f t="shared" si="9"/>
        <v>ש"ח</v>
      </c>
      <c r="BF50" s="2">
        <v>0</v>
      </c>
      <c r="BG50">
        <v>0</v>
      </c>
      <c r="CU50">
        <v>0</v>
      </c>
      <c r="CV50" t="str">
        <f t="shared" si="10"/>
        <v>ש"ח</v>
      </c>
      <c r="CW50" t="str">
        <f t="shared" si="11"/>
        <v>001</v>
      </c>
      <c r="CX50" t="str">
        <f t="shared" si="12"/>
        <v>מע'מ עסקאות</v>
      </c>
      <c r="CZ50">
        <v>0</v>
      </c>
      <c r="DA50">
        <v>0</v>
      </c>
    </row>
    <row r="51" spans="1:105" x14ac:dyDescent="0.2">
      <c r="A51">
        <v>3045</v>
      </c>
      <c r="B51" t="str">
        <f>"אל-מור חשמל התקנות ושרותים (1986) בע""מ"</f>
        <v>אל-מור חשמל התקנות ושרותים (1986) בע"מ</v>
      </c>
      <c r="E51" t="str">
        <f t="shared" si="8"/>
        <v>פעיל</v>
      </c>
      <c r="F51" t="str">
        <f>"אופיר"</f>
        <v>אופיר</v>
      </c>
      <c r="H51" s="1">
        <v>42304</v>
      </c>
      <c r="I51" s="1">
        <v>42304</v>
      </c>
      <c r="J51" t="str">
        <f>"086789999"</f>
        <v>086789999</v>
      </c>
      <c r="K51" t="str">
        <f>"086521899"</f>
        <v>086521899</v>
      </c>
      <c r="AC51" t="str">
        <f>"רחוב חוצות היוצר 22 אשקלון ישראל"</f>
        <v>רחוב חוצות היוצר 22 אשקלון ישראל</v>
      </c>
      <c r="AI51" t="str">
        <f>"7815002"</f>
        <v>7815002</v>
      </c>
      <c r="AK51" t="str">
        <f>"511164907"</f>
        <v>511164907</v>
      </c>
      <c r="AT51">
        <v>0</v>
      </c>
      <c r="AV51">
        <v>0</v>
      </c>
      <c r="BA51">
        <v>0</v>
      </c>
      <c r="BB51">
        <v>0</v>
      </c>
      <c r="BC51" t="str">
        <f t="shared" si="9"/>
        <v>ש"ח</v>
      </c>
      <c r="BF51" s="2">
        <v>0</v>
      </c>
      <c r="BG51">
        <v>0</v>
      </c>
      <c r="CU51">
        <v>0</v>
      </c>
      <c r="CV51" t="str">
        <f t="shared" si="10"/>
        <v>ש"ח</v>
      </c>
      <c r="CW51" t="str">
        <f t="shared" si="11"/>
        <v>001</v>
      </c>
      <c r="CX51" t="str">
        <f t="shared" si="12"/>
        <v>מע'מ עסקאות</v>
      </c>
      <c r="CZ51">
        <v>0</v>
      </c>
      <c r="DA51">
        <v>0</v>
      </c>
    </row>
    <row r="52" spans="1:105" x14ac:dyDescent="0.2">
      <c r="A52">
        <v>3046</v>
      </c>
      <c r="B52" t="str">
        <f>"אגמים גרוס אינטרנשיונל בע""מ"</f>
        <v>אגמים גרוס אינטרנשיונל בע"מ</v>
      </c>
      <c r="C52" t="str">
        <f>"אגמים גרוס אינטרנשיונל בע""מ"</f>
        <v>אגמים גרוס אינטרנשיונל בע"מ</v>
      </c>
      <c r="E52" t="str">
        <f t="shared" si="8"/>
        <v>פעיל</v>
      </c>
      <c r="F52" t="str">
        <f>"אופיר"</f>
        <v>אופיר</v>
      </c>
      <c r="H52" s="1">
        <v>42311</v>
      </c>
      <c r="I52" s="1">
        <v>42311</v>
      </c>
      <c r="J52" t="str">
        <f>"0544898278"</f>
        <v>0544898278</v>
      </c>
      <c r="AC52" t="str">
        <f>"אזור המציגה 3 ישראל"</f>
        <v>אזור המציגה 3 ישראל</v>
      </c>
      <c r="AI52" t="str">
        <f>"58001"</f>
        <v>58001</v>
      </c>
      <c r="AK52" t="str">
        <f>"514049196"</f>
        <v>514049196</v>
      </c>
      <c r="AT52">
        <v>0</v>
      </c>
      <c r="AV52">
        <v>0</v>
      </c>
      <c r="BA52">
        <v>0</v>
      </c>
      <c r="BB52">
        <v>0</v>
      </c>
      <c r="BC52" t="str">
        <f t="shared" si="9"/>
        <v>ש"ח</v>
      </c>
      <c r="BF52" s="2">
        <v>0</v>
      </c>
      <c r="BG52">
        <v>0</v>
      </c>
      <c r="CU52">
        <v>0</v>
      </c>
      <c r="CV52" t="str">
        <f t="shared" si="10"/>
        <v>ש"ח</v>
      </c>
      <c r="CW52" t="str">
        <f t="shared" si="11"/>
        <v>001</v>
      </c>
      <c r="CX52" t="str">
        <f t="shared" si="12"/>
        <v>מע'מ עסקאות</v>
      </c>
      <c r="CZ52">
        <v>0</v>
      </c>
      <c r="DA52">
        <v>0</v>
      </c>
    </row>
    <row r="53" spans="1:105" x14ac:dyDescent="0.2">
      <c r="A53">
        <v>3047</v>
      </c>
      <c r="B53" t="str">
        <f>"אייזקסון מיכאל"</f>
        <v>אייזקסון מיכאל</v>
      </c>
      <c r="E53" t="str">
        <f t="shared" si="8"/>
        <v>פעיל</v>
      </c>
      <c r="F53" t="str">
        <f>"ורדית"</f>
        <v>ורדית</v>
      </c>
      <c r="H53" s="1">
        <v>42576</v>
      </c>
      <c r="I53" s="1">
        <v>42576</v>
      </c>
      <c r="AT53">
        <v>0</v>
      </c>
      <c r="AV53">
        <v>0</v>
      </c>
      <c r="BA53">
        <v>0</v>
      </c>
      <c r="BB53">
        <v>0</v>
      </c>
      <c r="BC53" t="str">
        <f t="shared" si="9"/>
        <v>ש"ח</v>
      </c>
      <c r="BF53" s="2">
        <v>0</v>
      </c>
      <c r="BG53">
        <v>0</v>
      </c>
      <c r="CU53">
        <v>0</v>
      </c>
      <c r="CV53" t="str">
        <f t="shared" si="10"/>
        <v>ש"ח</v>
      </c>
      <c r="CW53" t="str">
        <f t="shared" si="11"/>
        <v>001</v>
      </c>
      <c r="CX53" t="str">
        <f t="shared" si="12"/>
        <v>מע'מ עסקאות</v>
      </c>
      <c r="CZ53">
        <v>0</v>
      </c>
      <c r="DA53">
        <v>0</v>
      </c>
    </row>
    <row r="54" spans="1:105" x14ac:dyDescent="0.2">
      <c r="A54">
        <v>3048</v>
      </c>
      <c r="B54" t="str">
        <f>"מסמון מגד יזמות ופיתוח בע""מ"</f>
        <v>מסמון מגד יזמות ופיתוח בע"מ</v>
      </c>
      <c r="E54" t="str">
        <f t="shared" si="8"/>
        <v>פעיל</v>
      </c>
      <c r="F54" t="str">
        <f>"ורדית"</f>
        <v>ורדית</v>
      </c>
      <c r="H54" s="1">
        <v>42576</v>
      </c>
      <c r="I54" s="1">
        <v>42576</v>
      </c>
      <c r="AT54">
        <v>0</v>
      </c>
      <c r="AV54">
        <v>0</v>
      </c>
      <c r="BA54">
        <v>0</v>
      </c>
      <c r="BB54">
        <v>0</v>
      </c>
      <c r="BC54" t="str">
        <f t="shared" si="9"/>
        <v>ש"ח</v>
      </c>
      <c r="BF54" s="2">
        <v>0</v>
      </c>
      <c r="BG54">
        <v>0</v>
      </c>
      <c r="CU54">
        <v>0</v>
      </c>
      <c r="CV54" t="str">
        <f t="shared" si="10"/>
        <v>ש"ח</v>
      </c>
      <c r="CW54" t="str">
        <f t="shared" si="11"/>
        <v>001</v>
      </c>
      <c r="CX54" t="str">
        <f t="shared" si="12"/>
        <v>מע'מ עסקאות</v>
      </c>
      <c r="CZ54">
        <v>0</v>
      </c>
      <c r="DA54">
        <v>0</v>
      </c>
    </row>
    <row r="55" spans="1:105" x14ac:dyDescent="0.2">
      <c r="A55">
        <v>3049</v>
      </c>
      <c r="B55" t="str">
        <f>"מטמון מ.ג.ש יזמות ופיתוח בע""מ"</f>
        <v>מטמון מ.ג.ש יזמות ופיתוח בע"מ</v>
      </c>
      <c r="E55" t="str">
        <f t="shared" si="8"/>
        <v>פעיל</v>
      </c>
      <c r="F55" t="str">
        <f>"אופיר"</f>
        <v>אופיר</v>
      </c>
      <c r="H55" s="1">
        <v>42369</v>
      </c>
      <c r="I55" s="1">
        <v>42369</v>
      </c>
      <c r="AC55" t="str">
        <f>"מרחוב מוטה גור 47  תל-אביב"</f>
        <v>מרחוב מוטה גור 47  תל-אביב</v>
      </c>
      <c r="AD55" t="str">
        <f>"תל-אביב"</f>
        <v>תל-אביב</v>
      </c>
      <c r="AI55" t="str">
        <f>"6969447"</f>
        <v>6969447</v>
      </c>
      <c r="AK55" t="str">
        <f>"514750132"</f>
        <v>514750132</v>
      </c>
      <c r="AT55">
        <v>0</v>
      </c>
      <c r="AV55">
        <v>0</v>
      </c>
      <c r="BA55">
        <v>0</v>
      </c>
      <c r="BB55">
        <v>0</v>
      </c>
      <c r="BC55" t="str">
        <f t="shared" si="9"/>
        <v>ש"ח</v>
      </c>
      <c r="BF55" s="2">
        <v>0</v>
      </c>
      <c r="BG55">
        <v>0</v>
      </c>
      <c r="CU55">
        <v>0</v>
      </c>
      <c r="CV55" t="str">
        <f t="shared" si="10"/>
        <v>ש"ח</v>
      </c>
      <c r="CW55" t="str">
        <f t="shared" si="11"/>
        <v>001</v>
      </c>
      <c r="CX55" t="str">
        <f t="shared" si="12"/>
        <v>מע'מ עסקאות</v>
      </c>
      <c r="CZ55">
        <v>0</v>
      </c>
      <c r="DA55">
        <v>0</v>
      </c>
    </row>
    <row r="56" spans="1:105" ht="13.5" customHeight="1" x14ac:dyDescent="0.2">
      <c r="A56">
        <v>3050</v>
      </c>
      <c r="B56" t="str">
        <f>"אל הר הנדסה ובניין בע""מ"</f>
        <v>אל הר הנדסה ובניין בע"מ</v>
      </c>
      <c r="E56" t="str">
        <f t="shared" si="8"/>
        <v>פעיל</v>
      </c>
      <c r="F56" t="str">
        <f>"טל"</f>
        <v>טל</v>
      </c>
      <c r="H56" s="1">
        <v>42442</v>
      </c>
      <c r="I56" s="1">
        <v>42442</v>
      </c>
      <c r="J56" t="str">
        <f>"03-5623881"</f>
        <v>03-5623881</v>
      </c>
      <c r="K56" t="str">
        <f>"03-5626646"</f>
        <v>03-5626646</v>
      </c>
      <c r="AC56" t="str">
        <f>"קרמיניצקי 2"</f>
        <v>קרמיניצקי 2</v>
      </c>
      <c r="AF56" t="str">
        <f>"תל אביב"</f>
        <v>תל אביב</v>
      </c>
      <c r="AG56" t="str">
        <f>"תל אביב"</f>
        <v>תל אביב</v>
      </c>
      <c r="AI56" t="str">
        <f>"67899"</f>
        <v>67899</v>
      </c>
      <c r="AK56" t="str">
        <f>"511584559"</f>
        <v>511584559</v>
      </c>
      <c r="AT56">
        <v>0</v>
      </c>
      <c r="AV56">
        <v>0</v>
      </c>
      <c r="BA56">
        <v>0</v>
      </c>
      <c r="BB56">
        <v>0</v>
      </c>
      <c r="BC56" t="str">
        <f t="shared" si="9"/>
        <v>ש"ח</v>
      </c>
      <c r="BF56" s="2">
        <v>0</v>
      </c>
      <c r="BG56">
        <v>0</v>
      </c>
      <c r="CU56">
        <v>0</v>
      </c>
      <c r="CV56" t="str">
        <f t="shared" si="10"/>
        <v>ש"ח</v>
      </c>
      <c r="CW56" t="str">
        <f t="shared" si="11"/>
        <v>001</v>
      </c>
      <c r="CX56" t="str">
        <f t="shared" si="12"/>
        <v>מע'מ עסקאות</v>
      </c>
      <c r="CZ56">
        <v>0</v>
      </c>
      <c r="DA56">
        <v>0</v>
      </c>
    </row>
    <row r="57" spans="1:105" x14ac:dyDescent="0.2">
      <c r="A57">
        <v>3051</v>
      </c>
      <c r="B57" t="str">
        <f>"עסקה משותפת אלעד אמתש"</f>
        <v>עסקה משותפת אלעד אמתש</v>
      </c>
      <c r="E57" t="str">
        <f t="shared" si="8"/>
        <v>פעיל</v>
      </c>
      <c r="F57" t="str">
        <f>"טל"</f>
        <v>טל</v>
      </c>
      <c r="H57" s="1">
        <v>42508</v>
      </c>
      <c r="I57" s="1">
        <v>42508</v>
      </c>
      <c r="AC57" t="str">
        <f>"גיבורי ישראל 7"</f>
        <v>גיבורי ישראל 7</v>
      </c>
      <c r="AF57" t="str">
        <f>"נתניה"</f>
        <v>נתניה</v>
      </c>
      <c r="AG57" t="str">
        <f>"נתניה"</f>
        <v>נתניה</v>
      </c>
      <c r="AI57" t="str">
        <f>"4250407"</f>
        <v>4250407</v>
      </c>
      <c r="AK57" t="str">
        <f>"557344231"</f>
        <v>557344231</v>
      </c>
      <c r="AM57" t="str">
        <f>"557344231"</f>
        <v>557344231</v>
      </c>
      <c r="AT57">
        <v>0</v>
      </c>
      <c r="AV57">
        <v>0</v>
      </c>
      <c r="BA57">
        <v>0</v>
      </c>
      <c r="BB57">
        <v>0</v>
      </c>
      <c r="BC57" t="str">
        <f t="shared" si="9"/>
        <v>ש"ח</v>
      </c>
      <c r="BF57" s="2">
        <v>0</v>
      </c>
      <c r="BG57">
        <v>0</v>
      </c>
      <c r="CU57">
        <v>0</v>
      </c>
      <c r="CV57" t="str">
        <f t="shared" si="10"/>
        <v>ש"ח</v>
      </c>
      <c r="CW57" t="str">
        <f t="shared" si="11"/>
        <v>001</v>
      </c>
      <c r="CX57" t="str">
        <f t="shared" si="12"/>
        <v>מע'מ עסקאות</v>
      </c>
      <c r="CZ57">
        <v>0</v>
      </c>
      <c r="DA57">
        <v>0</v>
      </c>
    </row>
    <row r="58" spans="1:105" x14ac:dyDescent="0.2">
      <c r="A58">
        <v>3052</v>
      </c>
      <c r="B58" t="str">
        <f>"ריבולב בע""מ"</f>
        <v>ריבולב בע"מ</v>
      </c>
      <c r="E58" t="str">
        <f t="shared" si="8"/>
        <v>פעיל</v>
      </c>
      <c r="F58" t="str">
        <f>"טל"</f>
        <v>טל</v>
      </c>
      <c r="H58" s="1">
        <v>42479</v>
      </c>
      <c r="I58" s="1">
        <v>42479</v>
      </c>
      <c r="AC58" t="str">
        <f>"ת.ד. 380"</f>
        <v>ת.ד. 380</v>
      </c>
      <c r="AF58" t="str">
        <f>"קיבוץ גבעת השלושה"</f>
        <v>קיבוץ גבעת השלושה</v>
      </c>
      <c r="AG58" t="str">
        <f>"קיבוץ גבעת השלושה"</f>
        <v>קיבוץ גבעת השלושה</v>
      </c>
      <c r="AI58" t="str">
        <f>"4880000"</f>
        <v>4880000</v>
      </c>
      <c r="AK58" t="str">
        <f>"514417203"</f>
        <v>514417203</v>
      </c>
      <c r="AM58" t="str">
        <f>"514417203"</f>
        <v>514417203</v>
      </c>
      <c r="AT58">
        <v>0</v>
      </c>
      <c r="AV58">
        <v>0</v>
      </c>
      <c r="BA58">
        <v>0</v>
      </c>
      <c r="BB58">
        <v>0</v>
      </c>
      <c r="BC58" t="str">
        <f t="shared" si="9"/>
        <v>ש"ח</v>
      </c>
      <c r="BF58" s="2">
        <v>0</v>
      </c>
      <c r="BG58">
        <v>0</v>
      </c>
      <c r="CU58">
        <v>0</v>
      </c>
      <c r="CV58" t="str">
        <f t="shared" si="10"/>
        <v>ש"ח</v>
      </c>
      <c r="CW58" t="str">
        <f t="shared" si="11"/>
        <v>001</v>
      </c>
      <c r="CX58" t="str">
        <f t="shared" si="12"/>
        <v>מע'מ עסקאות</v>
      </c>
      <c r="CZ58">
        <v>0</v>
      </c>
      <c r="DA58">
        <v>0</v>
      </c>
    </row>
    <row r="59" spans="1:105" x14ac:dyDescent="0.2">
      <c r="A59">
        <v>3053</v>
      </c>
      <c r="B59" t="str">
        <f>"ש. כהנא ובניו בע""מ"</f>
        <v>ש. כהנא ובניו בע"מ</v>
      </c>
      <c r="C59" t="str">
        <f>"שלמה כהנא ובניו ( 2002 ) בע""מ"</f>
        <v>שלמה כהנא ובניו ( 2002 ) בע"מ</v>
      </c>
      <c r="E59" t="str">
        <f t="shared" si="8"/>
        <v>פעיל</v>
      </c>
      <c r="F59" t="str">
        <f>"אופיר"</f>
        <v>אופיר</v>
      </c>
      <c r="H59" s="1">
        <v>42302</v>
      </c>
      <c r="I59" s="1">
        <v>42302</v>
      </c>
      <c r="J59" t="str">
        <f>"09-863-3072"</f>
        <v>09-863-3072</v>
      </c>
      <c r="K59" t="str">
        <f>"פקס 09-885-1240"</f>
        <v>פקס 09-885-1240</v>
      </c>
      <c r="AC59" t="str">
        <f>"האומנויות 9, אזה""ת פולג, נתניה"</f>
        <v>האומנויות 9, אזה"ת פולג, נתניה</v>
      </c>
      <c r="AI59" t="str">
        <f>"4216102"</f>
        <v>4216102</v>
      </c>
      <c r="AK59" t="str">
        <f>"513344721"</f>
        <v>513344721</v>
      </c>
      <c r="AM59" t="str">
        <f>"557724440"</f>
        <v>557724440</v>
      </c>
      <c r="AT59">
        <v>0</v>
      </c>
      <c r="AV59">
        <v>0</v>
      </c>
      <c r="BA59">
        <v>0</v>
      </c>
      <c r="BB59">
        <v>0</v>
      </c>
      <c r="BC59" t="str">
        <f t="shared" si="9"/>
        <v>ש"ח</v>
      </c>
      <c r="BF59" s="2">
        <v>0</v>
      </c>
      <c r="BG59">
        <v>0</v>
      </c>
      <c r="BP59" t="str">
        <f>"www.abb-isys.com"</f>
        <v>www.abb-isys.com</v>
      </c>
      <c r="CU59">
        <v>0</v>
      </c>
      <c r="CV59" t="str">
        <f t="shared" si="10"/>
        <v>ש"ח</v>
      </c>
      <c r="CW59" t="str">
        <f t="shared" si="11"/>
        <v>001</v>
      </c>
      <c r="CX59" t="str">
        <f t="shared" si="12"/>
        <v>מע'מ עסקאות</v>
      </c>
      <c r="CZ59">
        <v>0</v>
      </c>
      <c r="DA59">
        <v>0</v>
      </c>
    </row>
    <row r="60" spans="1:105" x14ac:dyDescent="0.2">
      <c r="A60">
        <v>3054</v>
      </c>
      <c r="B60" t="str">
        <f>"א. פאר בינוי ושימור בע""מ"</f>
        <v>א. פאר בינוי ושימור בע"מ</v>
      </c>
      <c r="C60" t="str">
        <f>"א. פאר בינוי ושימור בע""מ"</f>
        <v>א. פאר בינוי ושימור בע"מ</v>
      </c>
      <c r="E60" t="str">
        <f t="shared" si="8"/>
        <v>פעיל</v>
      </c>
      <c r="F60" t="str">
        <f>"אופיר"</f>
        <v>אופיר</v>
      </c>
      <c r="H60" s="1">
        <v>42393</v>
      </c>
      <c r="I60" s="1">
        <v>42429</v>
      </c>
      <c r="AC60" t="str">
        <f>"ברגנר אליזבת 12"</f>
        <v>ברגנר אליזבת 12</v>
      </c>
      <c r="AF60" t="str">
        <f>"תל אביב"</f>
        <v>תל אביב</v>
      </c>
      <c r="AG60" t="str">
        <f>"תל אביב"</f>
        <v>תל אביב</v>
      </c>
      <c r="AK60" t="str">
        <f>"514021005"</f>
        <v>514021005</v>
      </c>
      <c r="AT60">
        <v>0</v>
      </c>
      <c r="AV60">
        <v>0</v>
      </c>
      <c r="BA60">
        <v>0</v>
      </c>
      <c r="BB60">
        <v>0</v>
      </c>
      <c r="BC60" t="str">
        <f t="shared" si="9"/>
        <v>ש"ח</v>
      </c>
      <c r="BF60" s="2">
        <v>0</v>
      </c>
      <c r="BG60">
        <v>0</v>
      </c>
      <c r="CU60">
        <v>0</v>
      </c>
      <c r="CV60" t="str">
        <f t="shared" si="10"/>
        <v>ש"ח</v>
      </c>
      <c r="CW60" t="str">
        <f t="shared" si="11"/>
        <v>001</v>
      </c>
      <c r="CX60" t="str">
        <f t="shared" si="12"/>
        <v>מע'מ עסקאות</v>
      </c>
      <c r="CZ60">
        <v>0</v>
      </c>
      <c r="DA60">
        <v>0</v>
      </c>
    </row>
    <row r="61" spans="1:105" x14ac:dyDescent="0.2">
      <c r="A61">
        <v>3055</v>
      </c>
      <c r="B61" t="str">
        <f>"דורות עבודות הנדסיות בע""מ"</f>
        <v>דורות עבודות הנדסיות בע"מ</v>
      </c>
      <c r="E61" t="str">
        <f t="shared" si="8"/>
        <v>פעיל</v>
      </c>
      <c r="F61" t="str">
        <f>"אופיר"</f>
        <v>אופיר</v>
      </c>
      <c r="H61" s="1">
        <v>42624</v>
      </c>
      <c r="I61" s="1">
        <v>42624</v>
      </c>
      <c r="J61" t="str">
        <f>"08-8594115"</f>
        <v>08-8594115</v>
      </c>
      <c r="K61" t="str">
        <f>"08-8534447"</f>
        <v>08-8534447</v>
      </c>
      <c r="AC61" t="str">
        <f>"ז'בוטינסקי 12, גדרה"</f>
        <v>ז'בוטינסקי 12, גדרה</v>
      </c>
      <c r="AI61" t="str">
        <f>"7070000"</f>
        <v>7070000</v>
      </c>
      <c r="AT61">
        <v>0</v>
      </c>
      <c r="AV61">
        <v>0</v>
      </c>
      <c r="BA61">
        <v>0</v>
      </c>
      <c r="BB61">
        <v>0</v>
      </c>
      <c r="BC61" t="str">
        <f t="shared" si="9"/>
        <v>ש"ח</v>
      </c>
      <c r="BF61" s="2">
        <v>0</v>
      </c>
      <c r="BG61">
        <v>0</v>
      </c>
      <c r="CU61">
        <v>0</v>
      </c>
      <c r="CV61" t="str">
        <f t="shared" si="10"/>
        <v>ש"ח</v>
      </c>
      <c r="CW61" t="str">
        <f t="shared" si="11"/>
        <v>001</v>
      </c>
      <c r="CX61" t="str">
        <f t="shared" si="12"/>
        <v>מע'מ עסקאות</v>
      </c>
      <c r="CZ61">
        <v>0</v>
      </c>
      <c r="DA61">
        <v>0</v>
      </c>
    </row>
    <row r="62" spans="1:105" x14ac:dyDescent="0.2">
      <c r="A62">
        <v>3056</v>
      </c>
      <c r="B62" t="str">
        <f>"חיים מיכאלוביץ ניהול ביצוע ויזמות בע""מ"</f>
        <v>חיים מיכאלוביץ ניהול ביצוע ויזמות בע"מ</v>
      </c>
      <c r="E62" t="str">
        <f t="shared" si="8"/>
        <v>פעיל</v>
      </c>
      <c r="F62" t="str">
        <f>"אופיר"</f>
        <v>אופיר</v>
      </c>
      <c r="H62" s="1">
        <v>42673</v>
      </c>
      <c r="I62" s="1">
        <v>42673</v>
      </c>
      <c r="J62" t="str">
        <f>"09-7717311"</f>
        <v>09-7717311</v>
      </c>
      <c r="K62" t="str">
        <f>"09-7717113"</f>
        <v>09-7717113</v>
      </c>
      <c r="AC62" t="str">
        <f>"לגל הפלדה 6, הרצליה"</f>
        <v>לגל הפלדה 6, הרצליה</v>
      </c>
      <c r="AI62" t="str">
        <f>"4672206"</f>
        <v>4672206</v>
      </c>
      <c r="AK62" t="str">
        <f>"514748755"</f>
        <v>514748755</v>
      </c>
      <c r="AT62">
        <v>0</v>
      </c>
      <c r="AV62">
        <v>0</v>
      </c>
      <c r="BA62">
        <v>0</v>
      </c>
      <c r="BB62">
        <v>0</v>
      </c>
      <c r="BC62" t="str">
        <f t="shared" si="9"/>
        <v>ש"ח</v>
      </c>
      <c r="BF62" s="2">
        <v>0</v>
      </c>
      <c r="BG62">
        <v>0</v>
      </c>
      <c r="CU62">
        <v>0</v>
      </c>
      <c r="CV62" t="str">
        <f t="shared" si="10"/>
        <v>ש"ח</v>
      </c>
      <c r="CW62" t="str">
        <f t="shared" si="11"/>
        <v>001</v>
      </c>
      <c r="CX62" t="str">
        <f t="shared" si="12"/>
        <v>מע'מ עסקאות</v>
      </c>
      <c r="CZ62">
        <v>0</v>
      </c>
      <c r="DA62">
        <v>0</v>
      </c>
    </row>
    <row r="63" spans="1:105" x14ac:dyDescent="0.2">
      <c r="A63">
        <v>3057</v>
      </c>
      <c r="B63" t="str">
        <f>"שיכון ובינוי נדל""ן בע""מ"</f>
        <v>שיכון ובינוי נדל"ן בע"מ</v>
      </c>
      <c r="E63" t="str">
        <f t="shared" si="8"/>
        <v>פעיל</v>
      </c>
      <c r="F63" t="str">
        <f>"אופיר"</f>
        <v>אופיר</v>
      </c>
      <c r="H63" s="1">
        <v>42694</v>
      </c>
      <c r="I63" s="1">
        <v>42694</v>
      </c>
      <c r="J63" t="str">
        <f>"972-3-6301111"</f>
        <v>972-3-6301111</v>
      </c>
      <c r="K63" t="str">
        <f>"972-3-6301595"</f>
        <v>972-3-6301595</v>
      </c>
      <c r="AC63" t="str">
        <f>"רח' הירדן 1א',"</f>
        <v>רח' הירדן 1א',</v>
      </c>
      <c r="AD63" t="str">
        <f>"אייר פורט סיטי (קריית שדה התעופה"</f>
        <v>אייר פורט סיטי (קריית שדה התעופה</v>
      </c>
      <c r="AE63" t="str">
        <f>"ישראל"</f>
        <v>ישראל</v>
      </c>
      <c r="AK63" t="str">
        <f>"520021171"</f>
        <v>520021171</v>
      </c>
      <c r="AT63">
        <v>0</v>
      </c>
      <c r="AV63">
        <v>0</v>
      </c>
      <c r="BA63">
        <v>0</v>
      </c>
      <c r="BB63">
        <v>0</v>
      </c>
      <c r="BC63" t="str">
        <f t="shared" si="9"/>
        <v>ש"ח</v>
      </c>
      <c r="BF63" s="2">
        <v>0</v>
      </c>
      <c r="BG63">
        <v>0</v>
      </c>
      <c r="CU63">
        <v>0</v>
      </c>
      <c r="CV63" t="str">
        <f t="shared" si="10"/>
        <v>ש"ח</v>
      </c>
      <c r="CW63" t="str">
        <f t="shared" si="11"/>
        <v>001</v>
      </c>
      <c r="CX63" t="str">
        <f t="shared" si="12"/>
        <v>מע'מ עסקאות</v>
      </c>
      <c r="CZ63">
        <v>0</v>
      </c>
      <c r="DA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לייטמן מערכות</dc:creator>
  <cp:lastModifiedBy>לייטמן מערכות</cp:lastModifiedBy>
  <dcterms:created xsi:type="dcterms:W3CDTF">2016-12-10T20:38:18Z</dcterms:created>
  <dcterms:modified xsi:type="dcterms:W3CDTF">2016-12-10T21:49:25Z</dcterms:modified>
</cp:coreProperties>
</file>