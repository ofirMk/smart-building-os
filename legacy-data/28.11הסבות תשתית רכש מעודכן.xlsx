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305465\Desktop\הסבות סופי\"/>
    </mc:Choice>
  </mc:AlternateContent>
  <bookViews>
    <workbookView minimized="1" xWindow="0" yWindow="0" windowWidth="28800" windowHeight="14040" tabRatio="825" firstSheet="5" activeTab="5"/>
  </bookViews>
  <sheets>
    <sheet name="טיפוס משפחה" sheetId="2" r:id="rId1"/>
    <sheet name="משפחות מוצר" sheetId="3" r:id="rId2"/>
    <sheet name="מוצרים - פריטים" sheetId="4" r:id="rId3"/>
    <sheet name="סוגי ספקים" sheetId="5" r:id="rId4"/>
    <sheet name="תנאי תשלום" sheetId="6" r:id="rId5"/>
    <sheet name="ספקים וקבלנים" sheetId="7" r:id="rId6"/>
    <sheet name="מק&quot;ט ספק" sheetId="8" r:id="rId7"/>
    <sheet name="טבלת יחידות מידה" sheetId="10" r:id="rId8"/>
    <sheet name="מטבעות" sheetId="11" r:id="rId9"/>
    <sheet name="מחירוני ספק-שלב 2" sheetId="9" r:id="rId10"/>
  </sheets>
  <definedNames>
    <definedName name="_xlnm._FilterDatabase" localSheetId="2" hidden="1">'מוצרים - פריטים'!$AN$1:$AN$38</definedName>
    <definedName name="_xlnm._FilterDatabase" localSheetId="6" hidden="1">'מק"ט ספק'!$C$8:$D$408</definedName>
  </definedNames>
  <calcPr calcId="171027"/>
</workbook>
</file>

<file path=xl/calcChain.xml><?xml version="1.0" encoding="utf-8"?>
<calcChain xmlns="http://schemas.openxmlformats.org/spreadsheetml/2006/main">
  <c r="B38" i="4" l="1"/>
  <c r="C41" i="3" l="1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B28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B15" i="3"/>
  <c r="C14" i="3"/>
  <c r="B14" i="3"/>
  <c r="C13" i="3"/>
  <c r="B13" i="3"/>
  <c r="C12" i="3"/>
  <c r="B12" i="3"/>
  <c r="C11" i="3"/>
  <c r="B11" i="3"/>
  <c r="B37" i="4" l="1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C32" i="4" l="1"/>
  <c r="C33" i="4" l="1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C38" i="4"/>
  <c r="C37" i="4"/>
  <c r="C36" i="4"/>
  <c r="C35" i="4"/>
  <c r="C34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B119" i="11" l="1"/>
  <c r="A119" i="11"/>
  <c r="B118" i="11"/>
  <c r="A118" i="11"/>
  <c r="B117" i="11"/>
  <c r="A117" i="11"/>
  <c r="B116" i="11"/>
  <c r="A116" i="11"/>
  <c r="B115" i="11"/>
  <c r="A115" i="11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9" i="11"/>
  <c r="A89" i="11"/>
  <c r="B88" i="11"/>
  <c r="A88" i="11"/>
  <c r="B87" i="11"/>
  <c r="A87" i="11"/>
  <c r="B86" i="11"/>
  <c r="A86" i="11"/>
  <c r="B85" i="11"/>
  <c r="A85" i="11"/>
  <c r="B84" i="11"/>
  <c r="A84" i="11"/>
  <c r="B83" i="11"/>
  <c r="A83" i="11"/>
  <c r="B82" i="11"/>
  <c r="A82" i="11"/>
  <c r="B81" i="11"/>
  <c r="A81" i="11"/>
  <c r="B80" i="11"/>
  <c r="A80" i="11"/>
  <c r="B79" i="11"/>
  <c r="A79" i="11"/>
  <c r="B78" i="11"/>
  <c r="A78" i="11"/>
  <c r="B77" i="11"/>
  <c r="A77" i="11"/>
  <c r="B76" i="11"/>
  <c r="A76" i="11"/>
  <c r="B75" i="11"/>
  <c r="A75" i="11"/>
  <c r="B74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B49" i="11"/>
  <c r="A49" i="11"/>
  <c r="B48" i="11"/>
  <c r="A48" i="11"/>
  <c r="B47" i="11"/>
  <c r="A47" i="11"/>
  <c r="B46" i="11"/>
  <c r="A46" i="11"/>
  <c r="B45" i="11"/>
  <c r="A45" i="11"/>
  <c r="B44" i="11"/>
  <c r="A44" i="11"/>
  <c r="B43" i="11"/>
  <c r="A43" i="11"/>
  <c r="B42" i="11"/>
  <c r="A42" i="11"/>
  <c r="B41" i="11"/>
  <c r="A41" i="11"/>
  <c r="B40" i="11"/>
  <c r="A40" i="11"/>
  <c r="B39" i="11"/>
  <c r="A39" i="1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B1" i="11"/>
  <c r="C23" i="10" l="1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B18" i="10"/>
  <c r="A18" i="10"/>
  <c r="C17" i="10"/>
  <c r="B17" i="10"/>
  <c r="A17" i="10"/>
  <c r="B16" i="10"/>
  <c r="A16" i="10"/>
  <c r="C15" i="10"/>
  <c r="B15" i="10"/>
  <c r="A15" i="10"/>
  <c r="C14" i="10"/>
  <c r="B14" i="10"/>
  <c r="A14" i="10"/>
  <c r="C13" i="10"/>
  <c r="B13" i="10"/>
  <c r="A13" i="10"/>
  <c r="C12" i="10"/>
  <c r="B12" i="10"/>
  <c r="A12" i="10"/>
  <c r="C11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B2" i="10"/>
  <c r="A2" i="10"/>
  <c r="C1" i="10"/>
  <c r="B1" i="10"/>
  <c r="A1" i="10"/>
  <c r="E18" i="6"/>
  <c r="C18" i="6"/>
  <c r="B18" i="6"/>
  <c r="E17" i="6"/>
  <c r="C17" i="6"/>
  <c r="B17" i="6"/>
  <c r="E16" i="6"/>
  <c r="C16" i="6"/>
  <c r="B16" i="6"/>
  <c r="E15" i="6"/>
  <c r="C15" i="6"/>
  <c r="B15" i="6"/>
  <c r="E14" i="6"/>
  <c r="C14" i="6"/>
  <c r="B14" i="6"/>
  <c r="E13" i="6"/>
  <c r="C13" i="6"/>
  <c r="B13" i="6"/>
  <c r="E12" i="6"/>
  <c r="C12" i="6"/>
  <c r="B12" i="6"/>
  <c r="E11" i="6"/>
  <c r="C11" i="6"/>
  <c r="B11" i="6"/>
  <c r="E10" i="6"/>
  <c r="C10" i="6"/>
  <c r="B10" i="6"/>
  <c r="BO12" i="4" l="1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A11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A9" i="4"/>
  <c r="A8" i="4"/>
  <c r="BM7" i="4"/>
  <c r="BL7" i="4"/>
  <c r="BG7" i="4"/>
  <c r="BF7" i="4"/>
  <c r="BE7" i="4"/>
  <c r="BD7" i="4"/>
  <c r="BC7" i="4"/>
  <c r="BB7" i="4"/>
  <c r="BA7" i="4"/>
  <c r="AZ7" i="4"/>
  <c r="AX7" i="4"/>
  <c r="AN7" i="4"/>
  <c r="X7" i="4"/>
  <c r="V7" i="4"/>
  <c r="M7" i="4"/>
  <c r="L7" i="4"/>
  <c r="K7" i="4"/>
  <c r="J7" i="4"/>
  <c r="I7" i="4"/>
  <c r="H7" i="4"/>
  <c r="D7" i="4"/>
  <c r="C7" i="4"/>
  <c r="A7" i="4"/>
  <c r="A6" i="4"/>
  <c r="A5" i="4"/>
  <c r="A4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A11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A9" i="7"/>
  <c r="A8" i="7"/>
  <c r="AD7" i="7"/>
  <c r="AC7" i="7"/>
  <c r="O7" i="7"/>
  <c r="N7" i="7"/>
  <c r="K7" i="7"/>
  <c r="J7" i="7"/>
  <c r="H7" i="7"/>
  <c r="D7" i="7"/>
  <c r="C7" i="7"/>
  <c r="A7" i="7"/>
  <c r="A6" i="7"/>
  <c r="A5" i="7"/>
  <c r="A4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E9" i="6"/>
  <c r="A9" i="6"/>
  <c r="B8" i="6"/>
  <c r="A8" i="6"/>
  <c r="L7" i="6"/>
  <c r="K7" i="6"/>
  <c r="H7" i="6"/>
  <c r="G7" i="6"/>
  <c r="F7" i="6"/>
  <c r="A7" i="6"/>
  <c r="A6" i="6"/>
  <c r="M5" i="6"/>
  <c r="L5" i="6"/>
  <c r="K5" i="6"/>
  <c r="J5" i="6"/>
  <c r="I5" i="6"/>
  <c r="H5" i="6"/>
  <c r="G5" i="6"/>
  <c r="F5" i="6"/>
  <c r="E5" i="6"/>
  <c r="D5" i="6"/>
  <c r="C5" i="6"/>
  <c r="B5" i="6"/>
  <c r="A5" i="6"/>
  <c r="A4" i="6"/>
  <c r="M3" i="6"/>
  <c r="L3" i="6"/>
  <c r="K3" i="6"/>
  <c r="J3" i="6"/>
  <c r="I3" i="6"/>
  <c r="H3" i="6"/>
  <c r="G3" i="6"/>
  <c r="F3" i="6"/>
  <c r="E3" i="6"/>
  <c r="D3" i="6"/>
  <c r="C3" i="6"/>
  <c r="B3" i="6"/>
  <c r="A3" i="6"/>
  <c r="A9" i="5"/>
  <c r="B8" i="5"/>
  <c r="A8" i="5"/>
  <c r="A7" i="5"/>
  <c r="A6" i="5"/>
  <c r="D5" i="5"/>
  <c r="C5" i="5"/>
  <c r="B5" i="5"/>
  <c r="A5" i="5"/>
  <c r="A4" i="5"/>
  <c r="D3" i="5"/>
  <c r="C3" i="5"/>
  <c r="B3" i="5"/>
  <c r="A3" i="5"/>
  <c r="W9" i="3" l="1"/>
  <c r="U9" i="3"/>
  <c r="T9" i="3"/>
  <c r="Q9" i="3"/>
  <c r="P9" i="3"/>
  <c r="O9" i="3"/>
  <c r="J9" i="3"/>
  <c r="G9" i="3"/>
  <c r="E9" i="3"/>
  <c r="A9" i="3"/>
  <c r="B8" i="3"/>
  <c r="A8" i="3"/>
  <c r="M7" i="3"/>
  <c r="L7" i="3"/>
  <c r="K7" i="3"/>
  <c r="A7" i="3"/>
  <c r="A6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V4" i="3"/>
  <c r="R4" i="3"/>
  <c r="H4" i="3"/>
  <c r="A4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5" i="2"/>
  <c r="C4" i="2"/>
  <c r="B4" i="2"/>
  <c r="A4" i="2"/>
  <c r="C3" i="2"/>
  <c r="B3" i="2"/>
  <c r="A3" i="2"/>
  <c r="A1" i="2"/>
</calcChain>
</file>

<file path=xl/sharedStrings.xml><?xml version="1.0" encoding="utf-8"?>
<sst xmlns="http://schemas.openxmlformats.org/spreadsheetml/2006/main" count="5216" uniqueCount="663">
  <si>
    <t>הערה</t>
  </si>
  <si>
    <t>סוגי ספקים</t>
  </si>
  <si>
    <t>מחירוני ספק</t>
  </si>
  <si>
    <t>קריאה / חובה</t>
  </si>
  <si>
    <t>בוליאני</t>
  </si>
  <si>
    <t>דיוק עשרוני</t>
  </si>
  <si>
    <t>כותרת</t>
  </si>
  <si>
    <t>M</t>
  </si>
  <si>
    <t>Y</t>
  </si>
  <si>
    <t>מק"ט</t>
  </si>
  <si>
    <t>משפחות מוצר</t>
  </si>
  <si>
    <t>תנאי תשלום</t>
  </si>
  <si>
    <t>פריטים / מוצרים</t>
  </si>
  <si>
    <t>מס' ספק</t>
  </si>
  <si>
    <t>מק"ט ספק/יצרן</t>
  </si>
  <si>
    <t>יצרן</t>
  </si>
  <si>
    <t>שם ספק</t>
  </si>
  <si>
    <t>תאור מוצר ספק/יצרן</t>
  </si>
  <si>
    <t>רוחב מירבי</t>
  </si>
  <si>
    <t>שדה חובה</t>
  </si>
  <si>
    <t>הערות</t>
  </si>
  <si>
    <t>מטבלת ספקים</t>
  </si>
  <si>
    <t>מטבלת מוצרים</t>
  </si>
  <si>
    <t>קוד מחירון</t>
  </si>
  <si>
    <t>מטבע מק"ט</t>
  </si>
  <si>
    <t>מטבע מחירון</t>
  </si>
  <si>
    <t>כמות</t>
  </si>
  <si>
    <t>מחיר ליחידה</t>
  </si>
  <si>
    <t>ת' מחירון</t>
  </si>
  <si>
    <t>תאור מחירון</t>
  </si>
  <si>
    <t>הנחה (%)</t>
  </si>
  <si>
    <t>מטבלת מחירוני ספקים</t>
  </si>
  <si>
    <t>מטבלת מטבעות</t>
  </si>
  <si>
    <t>ספקים וקבלנים</t>
  </si>
  <si>
    <t>מתוך רשימת הסטטוסים הקיימים: פעיל, לא פעיל, מותר למכירה, מותר לקניה וכו'..</t>
  </si>
  <si>
    <t>קידוד עפ"י רשימת הקודים להסברים על מספר תיק הספק ברשות המסים</t>
  </si>
  <si>
    <t>מתוך רשימת המשתמשים בפריוריטי</t>
  </si>
  <si>
    <t>מתוך טבלת המטבעות</t>
  </si>
  <si>
    <t>דוגמה</t>
  </si>
  <si>
    <t>קוד מתוך רשימת טיפוסי המשפחות</t>
  </si>
  <si>
    <t>100</t>
  </si>
  <si>
    <t>יח'</t>
  </si>
  <si>
    <t>במקרה של יחידות קניה ומפעל שונות</t>
  </si>
  <si>
    <t>01</t>
  </si>
  <si>
    <t>קיים ברירת מחדל</t>
  </si>
  <si>
    <t>שח</t>
  </si>
  <si>
    <t>ש30</t>
  </si>
  <si>
    <t>מטבלת תנאי התשלום</t>
  </si>
  <si>
    <t>מטבלת משפחות מוצר</t>
  </si>
  <si>
    <t>מטבלת יחידות</t>
  </si>
  <si>
    <t>טיפוס במשטח</t>
  </si>
  <si>
    <t>CHAR</t>
  </si>
  <si>
    <t>RCHAR</t>
  </si>
  <si>
    <t>נגב קרמיקה</t>
  </si>
  <si>
    <t xml:space="preserve">אבמטיח פח נגב </t>
  </si>
  <si>
    <t>INT</t>
  </si>
  <si>
    <t>REAL</t>
  </si>
  <si>
    <t>DATE</t>
  </si>
  <si>
    <t>1</t>
  </si>
  <si>
    <t>000001</t>
  </si>
  <si>
    <t>1000010001</t>
  </si>
  <si>
    <t>01/01/16</t>
  </si>
  <si>
    <t>ꄘˉ="מטבע"</t>
  </si>
  <si>
    <t>.</t>
  </si>
  <si>
    <t xml:space="preserve">חומרי חשמל </t>
  </si>
  <si>
    <t xml:space="preserve">מספרו במערכת קודמת </t>
  </si>
  <si>
    <t>תקע CEE נייד 3x16</t>
  </si>
  <si>
    <t>שקע CEE לקיר 3x16</t>
  </si>
  <si>
    <t>שקע CEE לקיר 5x32</t>
  </si>
  <si>
    <t>פנדל פלסטי 4X0.75</t>
  </si>
  <si>
    <t>070</t>
  </si>
  <si>
    <t>02</t>
  </si>
  <si>
    <t>03</t>
  </si>
  <si>
    <t>04</t>
  </si>
  <si>
    <t xml:space="preserve">לוחות חשמל </t>
  </si>
  <si>
    <t xml:space="preserve">מתח נמוך </t>
  </si>
  <si>
    <t xml:space="preserve">קבלני משנה </t>
  </si>
  <si>
    <t>צינור שרשורי 20 מ"מ</t>
  </si>
  <si>
    <t>021</t>
  </si>
  <si>
    <t>קופ' 55 תקן</t>
  </si>
  <si>
    <t>061</t>
  </si>
  <si>
    <t>סרט בידוד 20 מטר חום</t>
  </si>
  <si>
    <t>שלה פלס' בודד 16/20 (100יח')</t>
  </si>
  <si>
    <t>שלה פלס' כפול 16/20 (100יח')</t>
  </si>
  <si>
    <t>091</t>
  </si>
  <si>
    <t>מטר כבל (בחבילה) 3X1.5 N2XY</t>
  </si>
  <si>
    <t>3X1.5 FR N2XY כבל</t>
  </si>
  <si>
    <t>ארכה</t>
  </si>
  <si>
    <t>מטר כבל (בחבילה) 5X2.5 N2XY</t>
  </si>
  <si>
    <t>FE180 E90 NHXH 3X2.5 כבל</t>
  </si>
  <si>
    <t>FE180 E90 NHXH 5X10 כבל</t>
  </si>
  <si>
    <t>מופה מתסצת 5X6-16 ממ״ר</t>
  </si>
  <si>
    <t>שרוול מתכווץ עם דבק 2/8</t>
  </si>
  <si>
    <t>חוט 1.5 חום PVC קשיח</t>
  </si>
  <si>
    <t>חוט 2.5 חום PVC קשיח</t>
  </si>
  <si>
    <t>חוט 2.5 כחול PVC קשיח</t>
  </si>
  <si>
    <t>פנדל פלסטי 2X0.75</t>
  </si>
  <si>
    <t>פנדל פלסטי 3X0.75</t>
  </si>
  <si>
    <t>חבק לבן 4.5 200 100) SAPISELCO)</t>
  </si>
  <si>
    <t>IP-55 800*800*250 TPK ארון</t>
  </si>
  <si>
    <t>סט תליה לארונות</t>
  </si>
  <si>
    <t>כבל גמיש אפור ממוספר 4x0.75</t>
  </si>
  <si>
    <t>כבל גמיש אפור ממוספר 5x0.75</t>
  </si>
  <si>
    <t>כבל גמיש אפור ממוספר 7x0.75</t>
  </si>
  <si>
    <t>כבל גמיש אפור ממוספר 8x0.75</t>
  </si>
  <si>
    <t>כבל גמיש אפור ממוספר 10x0.75</t>
  </si>
  <si>
    <t>שקע עה״ט 1-NK מוגן ילדים</t>
  </si>
  <si>
    <t>שקע עה״ט 4-NK מוגן ילדים</t>
  </si>
  <si>
    <t>VEGA1X16C 6KA ח״א</t>
  </si>
  <si>
    <t>VEGA1X20C 6KA ח״א</t>
  </si>
  <si>
    <t>VEGA 3PX16C 6KA ח״א</t>
  </si>
  <si>
    <t>VEGA 3PX20C 6KA ח״א</t>
  </si>
  <si>
    <t>VEGA 3PX32C 6KA ח״א</t>
  </si>
  <si>
    <t>VEGA 3PX40C 6KA ח״א</t>
  </si>
  <si>
    <t>VEGA 3PX63C 6KA ח״א</t>
  </si>
  <si>
    <t>ממסר פחת 4X40A 30MA דגם VEGA A</t>
  </si>
  <si>
    <t>נחושת גלויה 10 ממ״ר בחב’(100-(־1)</t>
  </si>
  <si>
    <t>פעמון זמזם בית׳ 73 תקני</t>
  </si>
  <si>
    <t>לוח פתוח ל-4 ח״א עה״ט MAKEL</t>
  </si>
  <si>
    <t>חבק שחור 4.5 250 100) SAPISELCO)</t>
  </si>
  <si>
    <t>חבק שחור 7.5 450 100) SAPISELCO)</t>
  </si>
  <si>
    <t>ג״ת מוגן מים 2X54W T5 + נורות</t>
  </si>
  <si>
    <t>פנס ראש 3 3W מצבי תאורה</t>
  </si>
  <si>
    <t>כבל נאופרן 2X2.5</t>
  </si>
  <si>
    <t>צינור גמיש שחור 16 EL-018 PG</t>
  </si>
  <si>
    <t>צינור גמיש שחור 29 EL-030 PG</t>
  </si>
  <si>
    <t>בלדח דקור' קומפלט</t>
  </si>
  <si>
    <t>טוש סימון שחור בלתי מחיק שטדלר</t>
  </si>
  <si>
    <t>נתיך נאחד 50A</t>
  </si>
  <si>
    <t>כבל טלפון 3X2X0.5 נחושת תקן 1155</t>
  </si>
  <si>
    <t>כבל טלפון 4X2X0.5 נחושת תקן 1155</t>
  </si>
  <si>
    <t>כבל אדום גילוי אש 4X0.8 נחושת</t>
  </si>
  <si>
    <t>מהדק מס 2 פלסטי ווי0בורד/א,נתן</t>
  </si>
  <si>
    <t>ארמטורה תקרה / ח.מהיר</t>
  </si>
  <si>
    <t>תוף+כבל כתום 50 מ' 4) 3X1.5 שקעי</t>
  </si>
  <si>
    <t>פרימה מ.מ 0 T5 2X28Wק+נורה 840</t>
  </si>
  <si>
    <t>SDS-PLUS 6*50/110 מקדח</t>
  </si>
  <si>
    <t>SDS-PLUS 7*50/110 מקדח</t>
  </si>
  <si>
    <t>SDS-PLUS 7*100/160 מקדח</t>
  </si>
  <si>
    <t>SDS-PLUS 8*50/110 מקדח</t>
  </si>
  <si>
    <t>SDS-PLUS 8*100/160 מקדח</t>
  </si>
  <si>
    <t>SDS-PLUS 9*150/210 מקדח</t>
  </si>
  <si>
    <t>SDS-PLUS 10*100/160 מקדח</t>
  </si>
  <si>
    <t>SDS-PLUS 22*400/450 מקדח</t>
  </si>
  <si>
    <t>נר דבק חם איכותי ZI</t>
  </si>
  <si>
    <t>מכסה כדור לארמטורה חלבי</t>
  </si>
  <si>
    <t>שעון שבת+רזרבה</t>
  </si>
  <si>
    <t>לוח עה״ט ל-4 ח״א</t>
  </si>
  <si>
    <t>ספק כח לד 12VDC 8A/100W</t>
  </si>
  <si>
    <t>צינור 50 קוברה תקני שחור</t>
  </si>
  <si>
    <t>צינור 75 קוברה תקני שחור</t>
  </si>
  <si>
    <t>צינור 110 קוברה תקני שחור</t>
  </si>
  <si>
    <t>צינור 160 קוברה בסלילים</t>
  </si>
  <si>
    <t>מופה 50 שחור</t>
  </si>
  <si>
    <t>צינור שרשור׳ 16 מ"מ</t>
  </si>
  <si>
    <t>צינור שרשור׳ 25 מ"מ</t>
  </si>
  <si>
    <t>שקע ישראלי 16A 250V לבן GW</t>
  </si>
  <si>
    <t>מפי דו קוטבי+נ.סימון לבן TOP</t>
  </si>
  <si>
    <t>מסגרת COM מ"מ 3 מוד' לבן GW</t>
  </si>
  <si>
    <t>מסגרת COM מ"מ 4 מוד' לבן GW</t>
  </si>
  <si>
    <t>מתאם ל-2 מודול GEWISS TOP</t>
  </si>
  <si>
    <t>קופי סעף תה״ט 70*152*196</t>
  </si>
  <si>
    <t>1P 10A 6kA C GEWISS מאמ״ת</t>
  </si>
  <si>
    <t>3P 16A 6kA C GEWISS מאמ״ת</t>
  </si>
  <si>
    <t>3P 25A 6kA C GEWISS מאמ״ת</t>
  </si>
  <si>
    <t>ממסר פחת 4*40A 0.03 GEWISS</t>
  </si>
  <si>
    <t>ממסר פחת 4*63A 0.03 GEWISS</t>
  </si>
  <si>
    <t>מגען מיני 5.5 כ״ס LC1K0910P7 1NO</t>
  </si>
  <si>
    <t>קופ׳+לחצן פטריה+מפתח XALK184/188</t>
  </si>
  <si>
    <t>מגען 7.5 כ״ס LC1D12P7 230VAC</t>
  </si>
  <si>
    <t>תקע CEE נ״ד 5x32</t>
  </si>
  <si>
    <t>ארון מתכת 300*800*1200 + פלטה</t>
  </si>
  <si>
    <t>מהדק הארקה כבד 8 מ"מ (לגא־ז)</t>
  </si>
  <si>
    <t>פס השוואה 250*40*4 9 ברגים</t>
  </si>
  <si>
    <t>פס/פלח ר,ארקת יסוד 4*40</t>
  </si>
  <si>
    <t>פס הארקת יסוד בגליל 30X3.5</t>
  </si>
  <si>
    <t>פס הארקת יסוד בגליל 40X4</t>
  </si>
  <si>
    <t>פרופיל 2X10X25 U נקוב מגולבן</t>
  </si>
  <si>
    <t>פרופיל 2X25X25X25 Z נקוב מגולבן</t>
  </si>
  <si>
    <t>מחבר לתעלת רשת</t>
  </si>
  <si>
    <t>4X1.5 N2XY כבל</t>
  </si>
  <si>
    <t>מטר כבל (בחבילה) 4X1.5 N2XY</t>
  </si>
  <si>
    <t>כבל 4X1.5 N2XY (כולל גיד צ"׳)</t>
  </si>
  <si>
    <t>5X1.5 FR N2XY כבל</t>
  </si>
  <si>
    <t>מטר כבל (בחבילה) 5X1.5 N2XY</t>
  </si>
  <si>
    <t>מטר כבל(בחבילה) 3X2.5 N2XY</t>
  </si>
  <si>
    <t>5X2.5 N2XY כבל</t>
  </si>
  <si>
    <t>כבל 5X4 N2XY ממ״ר</t>
  </si>
  <si>
    <t>כבל 3X6 N2XY ממ״ר</t>
  </si>
  <si>
    <t>כבל 5X6 FR N2XY ממ״ר</t>
  </si>
  <si>
    <t>כבל 5X10 N2XY ממ״ר</t>
  </si>
  <si>
    <t>כבל 5X16 FR N2XY ממ״ר</t>
  </si>
  <si>
    <t>כבל 3X25+16 N2XY ממ״ר</t>
  </si>
  <si>
    <t>תוף קוטר עד 40 0"מ</t>
  </si>
  <si>
    <t>תוף קוטר 70 0"מ</t>
  </si>
  <si>
    <t>תוף קוטר 80 0"מ</t>
  </si>
  <si>
    <t>תוף קוטר 90 0"מ</t>
  </si>
  <si>
    <t>לוח 2X12 תה״ט + דלת אטומה</t>
  </si>
  <si>
    <t>תעלת פח מלא 100X100X0.8</t>
  </si>
  <si>
    <t>תעלת פח מלא 200X100X0.8</t>
  </si>
  <si>
    <t>מכסה לתעלת פח מלא 100X0.8</t>
  </si>
  <si>
    <t>מכסה לתעלת פח מלא 200X0.8</t>
  </si>
  <si>
    <t>מחבר עליון לעמוד</t>
  </si>
  <si>
    <t>תעלת רשת 300X85 מגולי</t>
  </si>
  <si>
    <t>תעלת רשת 500X85 מגולי</t>
  </si>
  <si>
    <t>מדבקה oo:PVC השוואת 12X8'y^io</t>
  </si>
  <si>
    <t>צינור אפור לחשמל 160 דרג 8 עייד 4.9 ממ</t>
  </si>
  <si>
    <t>צינור אפור לחשמל 225 דרג 8 ע״ד 6.9 מם</t>
  </si>
  <si>
    <t>מופה מצמד מרים 160 לחשמל</t>
  </si>
  <si>
    <t>מופה מצמד מרים 225 לחשמל</t>
  </si>
  <si>
    <t>פקק נקבה לצינור 160</t>
  </si>
  <si>
    <t>פקק נקבה לצינור 225</t>
  </si>
  <si>
    <t>צינור י.ק.ע 50מ"מ 13.5(ד.8)+חוט 4</t>
  </si>
  <si>
    <t>קופי לקיר גבס 55(ברגים)תקן</t>
  </si>
  <si>
    <t>קופי מרובעת לחיבורים 10*10 תה״ט</t>
  </si>
  <si>
    <t>קופי רון 20 תקן סגור</t>
  </si>
  <si>
    <t>קופי רון 20 תקן 2 פתחים</t>
  </si>
  <si>
    <t>קופי רון 20 תקן 3 פתחים</t>
  </si>
  <si>
    <t>דיבל 6 מ"מ (100)</t>
  </si>
  <si>
    <t>דיבל פרפר לקיר גבס (100 יחי)</t>
  </si>
  <si>
    <t>קשת רון 20</t>
  </si>
  <si>
    <t>קשת רון 25</t>
  </si>
  <si>
    <t>צינור בידוד 10מ"מ שחור</t>
  </si>
  <si>
    <t>צינור בידוד 14 מ"מ שחור</t>
  </si>
  <si>
    <t>מריכף 20 חדש שחור/כתום</t>
  </si>
  <si>
    <t>מריכף 25 חדש שחור/כתום</t>
  </si>
  <si>
    <t>מריכף 32 חדש שחור/כתום</t>
  </si>
  <si>
    <t>מריכף 20 חדש ירוק</t>
  </si>
  <si>
    <t>מריכף 40 חדש ירוק</t>
  </si>
  <si>
    <t>מריכף 20 חדש אדום</t>
  </si>
  <si>
    <t>מריכף 20 חדש צהוב</t>
  </si>
  <si>
    <t>מריכף 20 חדש לבן</t>
  </si>
  <si>
    <t>מריכף 20 חדש כחול</t>
  </si>
  <si>
    <t>מריכף 25 חדש צהוב</t>
  </si>
  <si>
    <t>מריכף 25 חדש אדום</t>
  </si>
  <si>
    <t>מריכף 32 חדש כחול</t>
  </si>
  <si>
    <t>תעלה פח מחורץ 0.75 60.100 RLVC</t>
  </si>
  <si>
    <t>תעלה פח מחורץ 0.75 60.200 RLVC</t>
  </si>
  <si>
    <t>תעלה פח מחורץ 0.75 60.300 RLVC</t>
  </si>
  <si>
    <t>בורג + אום FLM 6X12</t>
  </si>
  <si>
    <t>תעלה פח מחורץ 1.0 RL110.200</t>
  </si>
  <si>
    <t>זרוע לקיר 200 KTAM</t>
  </si>
  <si>
    <t>זרוע לקיר 400 KTAM</t>
  </si>
  <si>
    <t>זרוע לקיר 500 KTAM</t>
  </si>
  <si>
    <t>זרוע כבדה גלוון חם לקיר ועמוד 100 KTA</t>
  </si>
  <si>
    <t>זרוע כבדה גלוון חם לקיר ועמוד 200 KTA</t>
  </si>
  <si>
    <t>זרוע כבדה גלוון חם לקיר ועמוד 300 KTA</t>
  </si>
  <si>
    <t>מחבר עליון לתקרה 50 KU</t>
  </si>
  <si>
    <t>עמוד לחיבור זרועות 50/3000 U</t>
  </si>
  <si>
    <t>זרוע לעמוד U50 דגם 200 KTUM</t>
  </si>
  <si>
    <t>מחבר עליון לתקרה מגולוון בחום 5050 KU</t>
  </si>
  <si>
    <t>עמוד לחיבור זרועות גילונן חם U5050/3000F</t>
  </si>
  <si>
    <t>מגן לעמוד לחיבור זרועות U5050 דגם K5050</t>
  </si>
  <si>
    <t>ערכה לחיבור זרוע KTA לעמוד HDS 50.50 F</t>
  </si>
  <si>
    <t>(... מטר(ניתן לעריכה NIEDAX-5 תוספת צבע</t>
  </si>
  <si>
    <t>(... יחי(ניתן לעריכה NIEDAX-7 תוספת צבע</t>
  </si>
  <si>
    <t>פס אמריקאי 2X54W T5 + נורות</t>
  </si>
  <si>
    <t>משקפי מגן וירטואה שקוף/אפור</t>
  </si>
  <si>
    <t>צינור גמיש אדום 11 EL-014 PG</t>
  </si>
  <si>
    <t>צינור גמיש אדום 16 EL-018 PG</t>
  </si>
  <si>
    <t>אלקטרודה לריתוך 2.5 מ"מ (2.8ק"ג)</t>
  </si>
  <si>
    <t>מהדק מס 1 פלסטי וויסבורד/א.נתך</t>
  </si>
  <si>
    <t>מהדק גמיש TRIDONIC מסי 2 (שורה של 12 יח)</t>
  </si>
  <si>
    <t>מהדק מס 4 פלסטי א.נתך</t>
  </si>
  <si>
    <t>שקע קופלונג כח לבן</t>
  </si>
  <si>
    <t>תוף+כבל 40 3X2.5 מ' (עד 16A)</t>
  </si>
  <si>
    <t>פרימה 0 2X28W +נורות 840+חרום 60דק'</t>
  </si>
  <si>
    <t>ספק כח לד 12VDC 5A/60W + כבל</t>
  </si>
  <si>
    <t>מהדק הארקה כבד 10 מ"מ (לגאז)</t>
  </si>
  <si>
    <t>מחבר לחץ אלי 50 ללא מתיחה</t>
  </si>
  <si>
    <t>מחבר לחץ אלי 95 ללא מתיחה</t>
  </si>
  <si>
    <t>iTL16A 1NO 230Vac ממסר צעד</t>
  </si>
  <si>
    <t>מדבקה P.V.C הארקה לא לפרק4\8 (3)</t>
  </si>
  <si>
    <t>קופי 8 פתחים לת.אקוסטית תקן קרם</t>
  </si>
  <si>
    <t>צינור מופה אדום 16 (20 חדש)</t>
  </si>
  <si>
    <t>שלה פלס' בודד 23/25 (100 יחי)</t>
  </si>
  <si>
    <t>פקט בקופי 3X16A (קופי גדולה 0 12x10x7מ)</t>
  </si>
  <si>
    <t>פקט בקופי 3X100A</t>
  </si>
  <si>
    <t>סרט בידוד רחב 20מ' שחור</t>
  </si>
  <si>
    <t>מהדק כתף 50 מ"מ</t>
  </si>
  <si>
    <t>מהדק לפס 2.5 ממ״ר</t>
  </si>
  <si>
    <t>מהדק לפס 16 ממ״ר</t>
  </si>
  <si>
    <t>מגען מיני 230V נמוך 3NO+1NC נמוך</t>
  </si>
  <si>
    <t>שרוול מתכווץ"3/32 2.4 ממ שחור</t>
  </si>
  <si>
    <t>שרוול מתכווץ"3/8 10.0 ממ שחור</t>
  </si>
  <si>
    <t>גלאי מתח פלוק FLUKE 1AC II</t>
  </si>
  <si>
    <t>חוט משיכה/קשירה 2 מ"מ (700 מי)</t>
  </si>
  <si>
    <t>חוט משיכה/קשירה 6 מ"מ (500 מי)</t>
  </si>
  <si>
    <t>פוטר 13 מ"מ + מעבר 3/8" 1-10 SDS</t>
  </si>
  <si>
    <t>דיסק 4.5X1.6 מ"מ לחיתוך בחל</t>
  </si>
  <si>
    <t>סט להבים לסכין יפני רחב</t>
  </si>
  <si>
    <t>מספרי קומבי נירוסטה</t>
  </si>
  <si>
    <t>מברג שען מתחלף טורקס</t>
  </si>
  <si>
    <t>מוביל ביט מגנטי</t>
  </si>
  <si>
    <t>בורג סיבית 4X40</t>
  </si>
  <si>
    <t>בורג סיבית 4X50</t>
  </si>
  <si>
    <t>בורג סיבית 4X60</t>
  </si>
  <si>
    <t>בורג סיבית 5X50</t>
  </si>
  <si>
    <t>בורג פח פח 4.2X13</t>
  </si>
  <si>
    <t>נועץ קרונה</t>
  </si>
  <si>
    <t>מקדח כוס "3 76 מ"מ</t>
  </si>
  <si>
    <t>מוט הברגה 3/8 מגולוון</t>
  </si>
  <si>
    <t>דיסק לבטון 4.5X1/8</t>
  </si>
  <si>
    <t>עוגן גימבו מתכת ראש בורג 3/8</t>
  </si>
  <si>
    <t>אום 3/8</t>
  </si>
  <si>
    <t>שייבות 3/8</t>
  </si>
  <si>
    <t>עוגן פליז 3/8</t>
  </si>
  <si>
    <t>ספר״ צבע כחול</t>
  </si>
  <si>
    <t>אקדח דבק חם 40W זיקו + תקן</t>
  </si>
  <si>
    <t>פלייר שפיץ 160 מבודד VDE 1000V</t>
  </si>
  <si>
    <t>פלייר מבודד 180 VDE 1000V</t>
  </si>
  <si>
    <t>10לם עץ תקני 5 שלבים</t>
  </si>
  <si>
    <t>סולם עץ תקני 6 שלבים</t>
  </si>
  <si>
    <t>תרסיס 40 - 330) WD)</t>
  </si>
  <si>
    <t>D-8P קופי אטומה+פטמות 50*80*80</t>
  </si>
  <si>
    <t>D-1P קופי אטומה+פטמות 50*100*100</t>
  </si>
  <si>
    <t>קופסא D-2P כניסות אפור אטום 80*150*190</t>
  </si>
  <si>
    <t>קופסא 2-D אפור אטום 100*150*190 חלק</t>
  </si>
  <si>
    <t>קופסא 2-D אפור אטום 80*150*190 חלק</t>
  </si>
  <si>
    <t>קופי D25 שקעים 3316</t>
  </si>
  <si>
    <t>לוח תה״ט ל-24 ח״א+דלת אטום</t>
  </si>
  <si>
    <t>לוח עה״ט ל-24 ח״א+דלת אטוס</t>
  </si>
  <si>
    <t>לוח תה״ט ל-48 ח״א+דלת לבן</t>
  </si>
  <si>
    <t>מפסק זרם שחור(גדול) חיצוני לדוד</t>
  </si>
  <si>
    <t>סרט זהירות חשמל צהוב(250 מטר)</t>
  </si>
  <si>
    <t>מפסק דו קוטבי 16A (דוד) LIGHT</t>
  </si>
  <si>
    <t>מפסק לתריס 1-0-2 LIGHT</t>
  </si>
  <si>
    <t>דמי 1 מודול LIGHT</t>
  </si>
  <si>
    <t>שקע כח ישראלי LIGHT</t>
  </si>
  <si>
    <t>שקע טלפון בזק חדש LIGHT</t>
  </si>
  <si>
    <t>כבל TV לבן 6-RG תקני בתוף/מאר־ן</t>
  </si>
  <si>
    <t>DL. 14WT5 'נורה פלו</t>
  </si>
  <si>
    <t>שרוול לחץ נחושת 2.5 ממ״ר</t>
  </si>
  <si>
    <t>שרוול לחץ נחושת 10 ממ״ר</t>
  </si>
  <si>
    <t>שרוול לחץ נחושת 16 ממ״ר</t>
  </si>
  <si>
    <t>נ.כ 35-קדח 10.0 DIN</t>
  </si>
  <si>
    <t>נ.כ 50-קדח 13.0 DIN</t>
  </si>
  <si>
    <t>SUPER INI N-2 קופסא</t>
  </si>
  <si>
    <t>SUPER NI-Atoמפסק ׳</t>
  </si>
  <si>
    <t>SUPER N-1 שקע כח</t>
  </si>
  <si>
    <t>מפסק יחיד מוגן גמיש SUPER NVV-1AE</t>
  </si>
  <si>
    <t>שקע נח מוגן מים 1-SUPER NW</t>
  </si>
  <si>
    <t>ניסקואופיס ריקה 6 מודול תה״ט</t>
  </si>
  <si>
    <t>זוג שקעי כח</t>
  </si>
  <si>
    <t>מתאם גוויס לניסקו אופיס</t>
  </si>
  <si>
    <t>מודול תקשי קומפ':מחשב כפול+טל' כ</t>
  </si>
  <si>
    <t>מודול תקשורת 1 מחשב + 1 בזק</t>
  </si>
  <si>
    <t>ניסקואופיס ריקה 8 מודול עה״ט</t>
  </si>
  <si>
    <t>נורה נלג 70W/I - מצת פנימי</t>
  </si>
  <si>
    <t>D.L. 36W 'נורה פלור</t>
  </si>
  <si>
    <t>נורה ליבון 60W שקוף</t>
  </si>
  <si>
    <t>נורה פלו' 28W/840 C.W T5</t>
  </si>
  <si>
    <t>נורה פלו' 54W/865 D.L T5</t>
  </si>
  <si>
    <t>נורה פלו' 54W/830 W.WT5</t>
  </si>
  <si>
    <t>קופי NPL ריקה</t>
  </si>
  <si>
    <t>קופי ללא ח״א 516.2316 NA</t>
  </si>
  <si>
    <t>קופי ללא ח״א 2532</t>
  </si>
  <si>
    <t>קופי ללא ח״א 516.210 NA</t>
  </si>
  <si>
    <t>קופי ללא ח״א 2532.110 NA</t>
  </si>
  <si>
    <t>פס גישור תלת פד</t>
  </si>
  <si>
    <t>קופ תקן פטנט 3 ממודול לגבס ללא מחיצות</t>
  </si>
  <si>
    <t>קופ 4 מק' פטנט גבס+ברגים ללא מחיצות</t>
  </si>
  <si>
    <t>קופסה תקן 6 מקום תה״ט ללא מחיצות</t>
  </si>
  <si>
    <t>קופי 6 מקוס לקיר גבס+ברג׳ם ללא מחיצות</t>
  </si>
  <si>
    <t>קופי סעף לגבס+מכסה 75*149*195 PW6</t>
  </si>
  <si>
    <t>פקט בקופסא 4X32/35A ידית מנוף</t>
  </si>
  <si>
    <t>סרט בידוד 20 מטר ח/ש</t>
  </si>
  <si>
    <t>סרט בידוד 20 מטר צ/׳</t>
  </si>
  <si>
    <t>סרט בידוד 20 מטר כחול</t>
  </si>
  <si>
    <t>סרט בידוד 20 מטר ח/כ</t>
  </si>
  <si>
    <t>סטלבנד שבלול 50 מטר מסולסל 7 מ"מ</t>
  </si>
  <si>
    <t>מהדק 2 קומות 2.5ממ"ר 2.5 WDK</t>
  </si>
  <si>
    <t>אגם מיני B-3500D כסף</t>
  </si>
  <si>
    <t>מקדח מדורג לאימפקט 4-32</t>
  </si>
  <si>
    <t>מקדח מדורג לאימפקט 6-30</t>
  </si>
  <si>
    <t>סט 5 משוריות לגיקסון(בוש) בחל</t>
  </si>
  <si>
    <t>פלס 781 KAPRO אורך 60 0"מ מגנטי</t>
  </si>
  <si>
    <t>סיליקון שקוף</t>
  </si>
  <si>
    <t>סט להבים לסכין 50) OLFA יח)</t>
  </si>
  <si>
    <t>חותך ומקלף כבלים 38-CA-38 / CC</t>
  </si>
  <si>
    <t>אקדח סיליקון מיקצוע׳ CY-E017-C</t>
  </si>
  <si>
    <t>מסור לגבס 255</t>
  </si>
  <si>
    <t>נשמיה עם פילטר דגם 9312</t>
  </si>
  <si>
    <t>קופי 3-130-BDI חלק אפור אטום</t>
  </si>
  <si>
    <t>קופסא 2-D אפור 130*150*190 חלק גבוה</t>
  </si>
  <si>
    <t>מפסק יחיד חדש מואר LIGHT 1M 16A</t>
  </si>
  <si>
    <t>מפסק חילוף חדש 1 16A מודול LIGHT</t>
  </si>
  <si>
    <t>מפסק צלב 1 16A מודול LIGHT</t>
  </si>
  <si>
    <t>מאח 3 נורות ספירלה DL E27 EL28W</t>
  </si>
  <si>
    <t>נ.כ 16-קדח 10.5 DIN</t>
  </si>
  <si>
    <t>נ.כ25-קדח 13.0 DIN</t>
  </si>
  <si>
    <t>חותך ומקלף כבלים 22-CA</t>
  </si>
  <si>
    <t>WERA 1000V 4.0X100 מברג</t>
  </si>
  <si>
    <t>WERA 1000V 6.5X150 מברג</t>
  </si>
  <si>
    <t>מברג פליפס WERA 1000V 1X80</t>
  </si>
  <si>
    <t>מברג שטוח למהדקים WERA 4X100</t>
  </si>
  <si>
    <t>סט ביטים פליפס 10 PH2X25 יחי בקופ</t>
  </si>
  <si>
    <t>6-FTP-CAT נחושת מסוכך בחבילה</t>
  </si>
  <si>
    <t>WW 7W220V GU10 דקרי LED נורה</t>
  </si>
  <si>
    <t>מברג - טסטר גרמני קצר</t>
  </si>
  <si>
    <t>חוט 1.5 כחול PVC קשיח</t>
  </si>
  <si>
    <t>חוט 1.5 ח/ש PVC קשיח</t>
  </si>
  <si>
    <t>חוט 1.5 ח/כ PVC קשיח</t>
  </si>
  <si>
    <t>039</t>
  </si>
  <si>
    <t>043</t>
  </si>
  <si>
    <t>058</t>
  </si>
  <si>
    <t>059</t>
  </si>
  <si>
    <t>060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</si>
  <si>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</si>
  <si>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</si>
  <si>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</si>
  <si>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</si>
  <si>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</si>
  <si>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</si>
  <si>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</si>
  <si>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</si>
  <si>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</si>
  <si>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</si>
  <si>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</si>
  <si>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</si>
  <si>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</si>
  <si>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</si>
  <si>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יחידה</t>
  </si>
  <si>
    <t>079</t>
  </si>
  <si>
    <t>036</t>
  </si>
  <si>
    <t>כבל FE180 E90 NHXH 3X1.5</t>
  </si>
  <si>
    <t>FE180 E90 NHXH 5X1.5 כבל</t>
  </si>
  <si>
    <t>FE180 E90 NHXH 5X2.5 כבל</t>
  </si>
  <si>
    <t>FE180 E90 NHXH 5X4 כבל</t>
  </si>
  <si>
    <t>FE180 E90 NHXH 5X6 כבל</t>
  </si>
  <si>
    <t>FE180 E90 NHXH 5X16 כבל</t>
  </si>
  <si>
    <t>FE180 E90 NHXH 4X95 כבל</t>
  </si>
  <si>
    <t>ג'ל השחלה</t>
  </si>
  <si>
    <t>חוט 1.5 צ/י PVC קשיח</t>
  </si>
  <si>
    <t>חוט 2.5 צ/י PVC קשיח</t>
  </si>
  <si>
    <t>חוט 10 צ/׳ PVC קשיח</t>
  </si>
  <si>
    <t>חוט 16 צ/׳ PVC קשיח</t>
  </si>
  <si>
    <t>חוט 25 צ/׳ PVC קשיח</t>
  </si>
  <si>
    <t>חוט 35 צ/׳ PVC קשיח</t>
  </si>
  <si>
    <t>חוט 50 צ/׳ PVC קשיח</t>
  </si>
  <si>
    <t>חוט 70 צ/׳ PVC קשיח</t>
  </si>
  <si>
    <t>חוט 95 צ/׳ PVC קשיח</t>
  </si>
  <si>
    <t>חוט 120 צ/׳ FVC קשיח</t>
  </si>
  <si>
    <t>חוט 150 צ/׳ PVC קשיח</t>
  </si>
  <si>
    <t>דמי לבן 1 מודול לאבתר׳ גוויס</t>
  </si>
  <si>
    <t>חבק לבן 100) SAPISELCO 280 4.5)</t>
  </si>
  <si>
    <t>FE180 E90 NHXH 4x25 כבל</t>
  </si>
  <si>
    <t>FE180 E90 NHXH 4x35 כבל</t>
  </si>
  <si>
    <t>FE180 E90 NHXH 4x50 כבל</t>
  </si>
  <si>
    <t>FE180 E90 NHXH 4X120 כבל</t>
  </si>
  <si>
    <t>FE180 E90 NHXH 4X150 כבל</t>
  </si>
  <si>
    <t>כבל גמיש אפור ממוספר 12x0.75</t>
  </si>
  <si>
    <t>טוש סימון אדום בלתי מחיק שטדלר</t>
  </si>
  <si>
    <t>כבל טלפון (בתוף) 2X2X0.5 נחושת תקן 1155</t>
  </si>
  <si>
    <t>דיסק יהלום "9 פתוח</t>
  </si>
  <si>
    <t>קופ' IP55 10*10*5 כניסות+ברגי רבע סיב'</t>
  </si>
  <si>
    <t>פרופיל 2.5-3X40X40X40 Z נקוב מג'</t>
  </si>
  <si>
    <t>כבל 3X2.5 FR N2XY</t>
  </si>
  <si>
    <t>כבל 4X25 N2XY ממי'ר</t>
  </si>
  <si>
    <t>כבל 4X35 N2XY ממייר</t>
  </si>
  <si>
    <t>כבל 4X150 N2XY עגול</t>
  </si>
  <si>
    <t>כבל 4X35 NA2XY סקטור</t>
  </si>
  <si>
    <t>כבל 4X50 NA2XY סקטור</t>
  </si>
  <si>
    <t>כבל 4X70 NA2XY סקטור</t>
  </si>
  <si>
    <t>כבל 4X120 NA2XY סקטור</t>
  </si>
  <si>
    <t>כבל 4X150 NA2XY סקטור</t>
  </si>
  <si>
    <t>כבל 4X185 NA2XY עגול</t>
  </si>
  <si>
    <t>כבל 4X240 NA2XY סקטור</t>
  </si>
  <si>
    <t>תוף קוטר עד 60 ס"מ</t>
  </si>
  <si>
    <t>תוף קוטר 100 ס"מ</t>
  </si>
  <si>
    <t>תעלת רשת 100X85 מגול'</t>
  </si>
  <si>
    <t>תעלת רשת 200X85 מגול'</t>
  </si>
  <si>
    <t>קופ' 70 תקן</t>
  </si>
  <si>
    <t>קופ' שוודית 8 יציאות 16 (20 חדש)</t>
  </si>
  <si>
    <t>קופ' 55 גבס עומק פטנט תקן</t>
  </si>
  <si>
    <t>קופ' 3 מודול לקיר גבס עם ברגים</t>
  </si>
  <si>
    <t>מריכף 25 חדש ירוק</t>
  </si>
  <si>
    <t>מריכף 32 חדש ירוק</t>
  </si>
  <si>
    <t>מריכף 20 חדש חום</t>
  </si>
  <si>
    <t>שעון פיקוד ללא רזרבה V86/1STU 240V</t>
  </si>
  <si>
    <t>פ.הצפה שחור SMD לד DL 50W VEGA DORF</t>
  </si>
  <si>
    <t>מטר כבל (בחבילה) 5X4 N2XY ממ"ר</t>
  </si>
  <si>
    <t>מטר כבל (בחבילה) 5X16 N2XY ממ״ר</t>
  </si>
  <si>
    <t>מהדק חיבור מהיר 1.5/2.5*5</t>
  </si>
  <si>
    <t>מהדק חיבור מהיר 1.5/2.5*8</t>
  </si>
  <si>
    <t>מגען מיני 4NO 230V נמוך</t>
  </si>
  <si>
    <t>מטר 5 מטר מגנטי מקצועי</t>
  </si>
  <si>
    <t>גיר סימון שמן-אדום (12)</t>
  </si>
  <si>
    <t>גיר סימון שמן-כחול (12)</t>
  </si>
  <si>
    <t>בסיס ללוח 36 תה"ט</t>
  </si>
  <si>
    <t>מ</t>
  </si>
  <si>
    <t>קופ' תקן 3 מודול תה"ט ללא מחיצות</t>
  </si>
  <si>
    <t>קופ' תקן 4 מודול תה"ט ללא מחיצות</t>
  </si>
  <si>
    <t>קופ 4 מודול לגבס+ברגים ללא מחיצו</t>
  </si>
  <si>
    <t>בסיס תה"ט ללוח תקשורת 36 + גב עץ</t>
  </si>
  <si>
    <t>245GA9050</t>
  </si>
  <si>
    <t>משחזת זווית "9</t>
  </si>
  <si>
    <t>035</t>
  </si>
  <si>
    <t>צינור מרירון+מופר, 20</t>
  </si>
  <si>
    <t>092</t>
  </si>
  <si>
    <t>081</t>
  </si>
  <si>
    <t>037</t>
  </si>
  <si>
    <t>093</t>
  </si>
  <si>
    <t xml:space="preserve">ציוד לגופי תאורה </t>
  </si>
  <si>
    <t>022</t>
  </si>
  <si>
    <t>023</t>
  </si>
  <si>
    <t>040</t>
  </si>
  <si>
    <t xml:space="preserve">תעלות וחומרי עזר </t>
  </si>
  <si>
    <t>031</t>
  </si>
  <si>
    <t>034</t>
  </si>
  <si>
    <t>082</t>
  </si>
  <si>
    <t>אזמל שטוח לפטישון</t>
  </si>
  <si>
    <t>מ'</t>
  </si>
  <si>
    <t>מוליך אלומ' AL1X70 750V צפו׳ PVC צ/י</t>
  </si>
  <si>
    <t>זרוע תמיכה 200 לעמוד</t>
  </si>
  <si>
    <t>084</t>
  </si>
  <si>
    <t>WERA 1000V 3.0X100 מברג</t>
  </si>
  <si>
    <t>חב'</t>
  </si>
  <si>
    <t>י+V281:V381</t>
  </si>
  <si>
    <t xml:space="preserve">20 86 </t>
  </si>
  <si>
    <t>0001</t>
  </si>
  <si>
    <t xml:space="preserve">ארכה </t>
  </si>
  <si>
    <t>45:00%</t>
  </si>
  <si>
    <t>55 00%</t>
  </si>
  <si>
    <t>47 00%</t>
  </si>
  <si>
    <t>60 00%</t>
  </si>
  <si>
    <t>מוסך מועדים בע"מ</t>
  </si>
  <si>
    <t>חשאן הנדסת מערכות</t>
  </si>
  <si>
    <t>ויו לייט בע"מ</t>
  </si>
  <si>
    <t>אמבל הנדסת חשמל בע"מ</t>
  </si>
  <si>
    <t>מעיינות החיים&amp;מטריקס בע"מ</t>
  </si>
  <si>
    <t>חשמל ישיר ירושלים בע"מ</t>
  </si>
  <si>
    <t>בנארית בע"מ</t>
  </si>
  <si>
    <t>עו"ד עמית יודפת</t>
  </si>
  <si>
    <t>אוקפול בע"מ</t>
  </si>
  <si>
    <t>יפעת מכרזים</t>
  </si>
  <si>
    <t>דן שגב</t>
  </si>
  <si>
    <t>עיריית רמת גן</t>
  </si>
  <si>
    <t>קובי בניסטי</t>
  </si>
  <si>
    <t>איציק בן מויאל</t>
  </si>
  <si>
    <t>ניו קופל</t>
  </si>
  <si>
    <t>חגי שווק מוצרי חשמל</t>
  </si>
  <si>
    <t>מולק לפידות בע"מ</t>
  </si>
  <si>
    <t>ארכה בע"מ-סניף ראשון לציון</t>
  </si>
  <si>
    <t>סילן קידוחים</t>
  </si>
  <si>
    <t>ראמה מיגון והתראה</t>
  </si>
  <si>
    <t>דוד צדוק</t>
  </si>
  <si>
    <t>יתד יועצים</t>
  </si>
  <si>
    <t>פריוריטי סופטוור בע"מ</t>
  </si>
  <si>
    <t>קיי אס פי מחשבים</t>
  </si>
  <si>
    <t>קרונפלד זאב</t>
  </si>
  <si>
    <t>ליטל</t>
  </si>
  <si>
    <t>ויאר</t>
  </si>
  <si>
    <t>נטויזיין</t>
  </si>
  <si>
    <t>מי אביבים</t>
  </si>
  <si>
    <t>לבטח אירון</t>
  </si>
  <si>
    <t>מוסך הראל</t>
  </si>
  <si>
    <t>דניאל סאיק</t>
  </si>
  <si>
    <t>גילי ליאו אלקטריק</t>
  </si>
  <si>
    <t>קאשן</t>
  </si>
  <si>
    <t>בית הלוי אמנון</t>
  </si>
  <si>
    <t>א.ש. טכנולוגיות חירום בע"מ</t>
  </si>
  <si>
    <t>א.ס. שרוולים</t>
  </si>
  <si>
    <t>פלא קום</t>
  </si>
  <si>
    <t>וילה דקו בע"מ</t>
  </si>
  <si>
    <t>חזי צאיג</t>
  </si>
  <si>
    <t>סיני סטור</t>
  </si>
  <si>
    <t>יוסי רחמים</t>
  </si>
  <si>
    <t>קמה פתרונות תוכנה לעסקים</t>
  </si>
  <si>
    <t>ע.נ. הובלות</t>
  </si>
  <si>
    <t>מ.ג. אדם הנדסת חשמל בע"מ</t>
  </si>
  <si>
    <t>שאל ציוד טכני</t>
  </si>
  <si>
    <t>דאקום מערכות</t>
  </si>
  <si>
    <t>חשמל המרכז</t>
  </si>
  <si>
    <t>ייעוץ ופיתוח עסקי אלמקייס אילן</t>
  </si>
  <si>
    <t>א.מ. העתקות ממוחשבות(1987) בע"מ</t>
  </si>
  <si>
    <t>די .ג'י. מדיה</t>
  </si>
  <si>
    <t>עיד סלאח סלאח</t>
  </si>
  <si>
    <t>ניסים ארזי תשתיות ואחזקות בע"מ</t>
  </si>
  <si>
    <t>שלמה כהנא ובניו (2002) בע"מ</t>
  </si>
  <si>
    <t>אורייתא עבודות חשמל</t>
  </si>
  <si>
    <t>קבוצת אלנור תכנולוגיות אש בע"מ</t>
  </si>
  <si>
    <t>ניצן פרידברג בע"מ</t>
  </si>
  <si>
    <t>ר.ק עבודות חשמל בע"מ</t>
  </si>
  <si>
    <t>מ.לחמן בע"מ</t>
  </si>
  <si>
    <t>אופיס כל נט בע"מ</t>
  </si>
  <si>
    <t>אביר מערכות - אזולאי דן</t>
  </si>
  <si>
    <t>עניני מוחמד</t>
  </si>
  <si>
    <t>חשמל ישיר אור יהודה בע"מ</t>
  </si>
  <si>
    <t>דיו סנטר בע"מ</t>
  </si>
  <si>
    <t>סחר שיווק - תשתיות חשמל, תקשורת, מים, ביוב</t>
  </si>
  <si>
    <t>וליד סובלבן עבודות חשמל</t>
  </si>
  <si>
    <t>ראש חשמל רעננה בע"מ</t>
  </si>
  <si>
    <t>י.א.ס עבודות חשמל בי"מ</t>
  </si>
  <si>
    <t>ספקים שונים</t>
  </si>
  <si>
    <t>הוצאות לשלם</t>
  </si>
  <si>
    <t>הפצה באינטרנט</t>
  </si>
  <si>
    <t>www</t>
  </si>
  <si>
    <t>אלי בן עזרא הנדסת חשמל בע"מ</t>
  </si>
  <si>
    <t>דרור כלי עבודה</t>
  </si>
  <si>
    <t>פזומט מחברת פז בע"מ</t>
  </si>
  <si>
    <t>מנהרות הכרמל</t>
  </si>
  <si>
    <t>הנתיב המהיר</t>
  </si>
  <si>
    <t>סלקום</t>
  </si>
  <si>
    <t>בזק החברה הישראלית לתקשורת</t>
  </si>
  <si>
    <t>חברת החשמל לישראל בע"מ</t>
  </si>
  <si>
    <t>חשמל ישיר-השרון בע"מ</t>
  </si>
  <si>
    <t>עו"ד ברומברג ורוניקה</t>
  </si>
  <si>
    <t>יוסי שמר</t>
  </si>
  <si>
    <t>עתליה שלום</t>
  </si>
  <si>
    <t>זותי</t>
  </si>
  <si>
    <t>סגל אריאל</t>
  </si>
  <si>
    <t>רו"ח אילן דאר</t>
  </si>
  <si>
    <t>טמבור</t>
  </si>
  <si>
    <t>שלמה sixt - ניו קופל</t>
  </si>
  <si>
    <t>אורט ירושלים</t>
  </si>
  <si>
    <t>עיריית ת"א</t>
  </si>
  <si>
    <t>אייבורי מחשבים</t>
  </si>
  <si>
    <t>א.נ. שילו בע"מ</t>
  </si>
  <si>
    <t>אור שי - סיטונאות חשמל בע"מ</t>
  </si>
  <si>
    <t>א.סופרי בע"מ</t>
  </si>
  <si>
    <t>אבגנים בחבוט ברינוולד עורכי דין</t>
  </si>
  <si>
    <t>י.ב. מערכות תקשורת בע"מ</t>
  </si>
  <si>
    <t>רו"ח טל אלון</t>
  </si>
  <si>
    <t>טובול קרמיקה</t>
  </si>
  <si>
    <t>יוסי י.ג. שיווק</t>
  </si>
  <si>
    <t>משתלת חפר</t>
  </si>
  <si>
    <t>אברהם ליכטשטיין</t>
  </si>
  <si>
    <t>בסרגליק את עמרם</t>
  </si>
  <si>
    <t>אבי בתרון</t>
  </si>
  <si>
    <t>עו"ד רייך</t>
  </si>
  <si>
    <t>בכור חשמל ואוטומציה בע"מ</t>
  </si>
  <si>
    <t>מחסני תאורה</t>
  </si>
  <si>
    <t>סקיולייף 09 בעמ</t>
  </si>
  <si>
    <t>רוית שבו</t>
  </si>
  <si>
    <t>אבי לוג'נסקי</t>
  </si>
  <si>
    <t>אור עד מהנדסים</t>
  </si>
  <si>
    <t>כביש 6</t>
  </si>
  <si>
    <t>מחסני חשמל</t>
  </si>
  <si>
    <t>סאן היט</t>
  </si>
  <si>
    <t>ו.כ מערכות תקשורת בע"מ</t>
  </si>
  <si>
    <t>בתרון אברהם</t>
  </si>
  <si>
    <t>סמדר חדד</t>
  </si>
  <si>
    <t>מרכז שרות הוד אלימלך</t>
  </si>
  <si>
    <t>מרקם שרותי גביה לעסקים</t>
  </si>
  <si>
    <t>אלקטרולייט שיווק (1994) בע"מ</t>
  </si>
  <si>
    <t>לליש</t>
  </si>
  <si>
    <t>מרקם שרותי גביה בע"מ</t>
  </si>
  <si>
    <t>עבידיה עלי - דלק</t>
  </si>
  <si>
    <t>גרבר תקשורת ובטחון</t>
  </si>
  <si>
    <t>ח'שאן הנדסת מערכות</t>
  </si>
  <si>
    <t>קו אלקטריק בע"מ</t>
  </si>
  <si>
    <t>קל אוטו</t>
  </si>
  <si>
    <t>אופיס דיפו</t>
  </si>
  <si>
    <t>אנטנות רצון</t>
  </si>
  <si>
    <t>אייס</t>
  </si>
  <si>
    <t>נספרסו</t>
  </si>
  <si>
    <t>יאיר דורם</t>
  </si>
  <si>
    <t>אלקטרוניקה הר ציון</t>
  </si>
  <si>
    <t>סופר קרמיק</t>
  </si>
  <si>
    <t>חנן שחף</t>
  </si>
  <si>
    <t>קומי</t>
  </si>
  <si>
    <t xml:space="preserve">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</si>
</sst>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4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  <charset val="177"/>
      <scheme val="minor"/>
    </font>
    <font>
      <sz val="10"/>
      <color rgb="FF000000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3">
    <xf numFmtId="0" fontId="0" fillId="0" borderId="0"/>
    <xf numFmtId="0" fontId="6" fillId="0" borderId="0"/>
    <xf numFmtId="9" fontId="9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7" fillId="0" borderId="0" xfId="0" applyFont="1"/>
    <xf numFmtId="0" fontId="0" fillId="0" borderId="0" xfId="0" applyFont="1"/>
    <xf numFmtId="0" fontId="6" fillId="0" borderId="0" xfId="1"/>
    <xf numFmtId="0" fontId="7" fillId="0" borderId="0" xfId="1" applyFont="1"/>
    <xf numFmtId="0" fontId="6" fillId="2" borderId="0" xfId="1" applyFill="1"/>
    <xf numFmtId="0" fontId="7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7" fillId="0" borderId="1" xfId="0" applyFont="1" applyBorder="1"/>
    <xf numFmtId="0" fontId="7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49" fontId="0" fillId="2" borderId="1" xfId="0" applyNumberFormat="1" applyFill="1" applyBorder="1"/>
    <xf numFmtId="0" fontId="0" fillId="0" borderId="2" xfId="0" applyBorder="1"/>
    <xf numFmtId="0" fontId="7" fillId="0" borderId="1" xfId="1" applyFont="1" applyBorder="1"/>
    <xf numFmtId="0" fontId="7" fillId="2" borderId="1" xfId="1" applyFont="1" applyFill="1" applyBorder="1"/>
    <xf numFmtId="0" fontId="6" fillId="0" borderId="1" xfId="1" applyBorder="1"/>
    <xf numFmtId="0" fontId="6" fillId="2" borderId="1" xfId="1" applyFill="1" applyBorder="1"/>
    <xf numFmtId="0" fontId="7" fillId="0" borderId="1" xfId="1" applyFont="1" applyFill="1" applyBorder="1"/>
    <xf numFmtId="0" fontId="6" fillId="0" borderId="0" xfId="1" applyFill="1"/>
    <xf numFmtId="0" fontId="7" fillId="0" borderId="1" xfId="1" applyFont="1" applyBorder="1" applyAlignment="1">
      <alignment vertical="top"/>
    </xf>
    <xf numFmtId="0" fontId="7" fillId="0" borderId="1" xfId="1" applyFont="1" applyFill="1" applyBorder="1" applyAlignment="1">
      <alignment vertical="top"/>
    </xf>
    <xf numFmtId="0" fontId="6" fillId="0" borderId="1" xfId="1" applyBorder="1" applyAlignment="1">
      <alignment vertical="top"/>
    </xf>
    <xf numFmtId="0" fontId="6" fillId="0" borderId="1" xfId="1" applyFill="1" applyBorder="1" applyAlignment="1">
      <alignment vertical="top"/>
    </xf>
    <xf numFmtId="0" fontId="5" fillId="0" borderId="1" xfId="1" applyFont="1" applyBorder="1" applyAlignment="1">
      <alignment vertical="top"/>
    </xf>
    <xf numFmtId="0" fontId="4" fillId="0" borderId="1" xfId="1" applyFont="1" applyFill="1" applyBorder="1" applyAlignment="1">
      <alignment vertical="top" wrapText="1"/>
    </xf>
    <xf numFmtId="0" fontId="4" fillId="0" borderId="0" xfId="1" applyFont="1" applyAlignment="1">
      <alignment vertical="top"/>
    </xf>
    <xf numFmtId="0" fontId="7" fillId="0" borderId="0" xfId="0" applyFont="1" applyFill="1"/>
    <xf numFmtId="0" fontId="0" fillId="0" borderId="1" xfId="0" applyFill="1" applyBorder="1"/>
    <xf numFmtId="0" fontId="0" fillId="0" borderId="0" xfId="0" applyFill="1"/>
    <xf numFmtId="0" fontId="0" fillId="2" borderId="1" xfId="0" applyFill="1" applyBorder="1" applyAlignment="1">
      <alignment horizontal="right" readingOrder="2"/>
    </xf>
    <xf numFmtId="0" fontId="0" fillId="0" borderId="1" xfId="0" applyFill="1" applyBorder="1" applyAlignment="1">
      <alignment horizontal="right" readingOrder="2"/>
    </xf>
    <xf numFmtId="49" fontId="0" fillId="0" borderId="2" xfId="0" applyNumberFormat="1" applyBorder="1"/>
    <xf numFmtId="0" fontId="0" fillId="0" borderId="3" xfId="0" applyBorder="1"/>
    <xf numFmtId="0" fontId="3" fillId="0" borderId="0" xfId="1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Border="1"/>
    <xf numFmtId="0" fontId="0" fillId="2" borderId="0" xfId="0" applyFill="1" applyBorder="1"/>
    <xf numFmtId="0" fontId="0" fillId="0" borderId="1" xfId="0" applyBorder="1" applyAlignment="1">
      <alignment horizontal="right"/>
    </xf>
    <xf numFmtId="0" fontId="10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11" fillId="0" borderId="1" xfId="0" applyFont="1" applyFill="1" applyBorder="1" applyAlignment="1">
      <alignment horizontal="right" vertical="center" readingOrder="2"/>
    </xf>
    <xf numFmtId="0" fontId="0" fillId="0" borderId="1" xfId="0" applyFont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right" vertical="center" readingOrder="2"/>
    </xf>
    <xf numFmtId="0" fontId="6" fillId="0" borderId="3" xfId="1" applyFill="1" applyBorder="1" applyAlignment="1">
      <alignment vertical="top"/>
    </xf>
    <xf numFmtId="0" fontId="6" fillId="0" borderId="0" xfId="1" applyFill="1" applyBorder="1"/>
    <xf numFmtId="0" fontId="0" fillId="0" borderId="0" xfId="0" applyFill="1" applyBorder="1"/>
    <xf numFmtId="0" fontId="2" fillId="0" borderId="0" xfId="1" applyFont="1" applyFill="1" applyBorder="1"/>
    <xf numFmtId="0" fontId="0" fillId="0" borderId="1" xfId="0" applyFill="1" applyBorder="1" applyAlignment="1">
      <alignment horizontal="right"/>
    </xf>
    <xf numFmtId="0" fontId="12" fillId="0" borderId="1" xfId="0" applyFont="1" applyFill="1" applyBorder="1" applyAlignment="1">
      <alignment horizontal="right" vertical="center" readingOrder="2"/>
    </xf>
    <xf numFmtId="10" fontId="12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8" fillId="0" borderId="0" xfId="0" applyFont="1" applyFill="1" applyAlignment="1">
      <alignment readingOrder="2"/>
    </xf>
    <xf numFmtId="9" fontId="0" fillId="0" borderId="0" xfId="2" applyFont="1" applyFill="1"/>
    <xf numFmtId="9" fontId="0" fillId="0" borderId="1" xfId="2" applyFont="1" applyFill="1" applyBorder="1"/>
    <xf numFmtId="49" fontId="0" fillId="0" borderId="1" xfId="0" applyNumberFormat="1" applyFill="1" applyBorder="1"/>
    <xf numFmtId="9" fontId="0" fillId="0" borderId="1" xfId="2" applyFont="1" applyFill="1" applyBorder="1" applyAlignment="1">
      <alignment horizontal="right" readingOrder="2"/>
    </xf>
    <xf numFmtId="0" fontId="0" fillId="0" borderId="1" xfId="0" applyFill="1" applyBorder="1" applyAlignment="1"/>
    <xf numFmtId="10" fontId="0" fillId="0" borderId="1" xfId="0" applyNumberFormat="1" applyFill="1" applyBorder="1" applyAlignment="1"/>
    <xf numFmtId="4" fontId="0" fillId="0" borderId="1" xfId="0" applyNumberFormat="1" applyFill="1" applyBorder="1" applyAlignment="1">
      <alignment horizontal="right"/>
    </xf>
    <xf numFmtId="0" fontId="12" fillId="3" borderId="6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right"/>
    </xf>
    <xf numFmtId="0" fontId="12" fillId="3" borderId="6" xfId="0" applyFont="1" applyFill="1" applyBorder="1" applyAlignment="1">
      <alignment horizontal="right" wrapText="1" readingOrder="2"/>
    </xf>
    <xf numFmtId="0" fontId="13" fillId="2" borderId="1" xfId="0" applyFont="1" applyFill="1" applyBorder="1"/>
    <xf numFmtId="0" fontId="14" fillId="2" borderId="1" xfId="0" applyFont="1" applyFill="1" applyBorder="1"/>
    <xf numFmtId="0" fontId="14" fillId="2" borderId="1" xfId="0" applyFont="1" applyFill="1" applyBorder="1" applyAlignment="1">
      <alignment wrapText="1"/>
    </xf>
    <xf numFmtId="0" fontId="7" fillId="0" borderId="1" xfId="1" applyFont="1" applyFill="1" applyBorder="1" applyAlignment="1">
      <alignment horizontal="right"/>
    </xf>
    <xf numFmtId="0" fontId="7" fillId="0" borderId="1" xfId="1" applyFont="1" applyFill="1" applyBorder="1" applyAlignment="1">
      <alignment horizontal="right" vertical="top"/>
    </xf>
    <xf numFmtId="0" fontId="6" fillId="0" borderId="1" xfId="1" applyFill="1" applyBorder="1" applyAlignment="1">
      <alignment horizontal="right" vertical="top"/>
    </xf>
    <xf numFmtId="0" fontId="5" fillId="0" borderId="1" xfId="1" applyFont="1" applyFill="1" applyBorder="1" applyAlignment="1">
      <alignment vertical="top" wrapText="1"/>
    </xf>
    <xf numFmtId="0" fontId="4" fillId="0" borderId="1" xfId="1" applyFont="1" applyFill="1" applyBorder="1" applyAlignment="1">
      <alignment vertical="top"/>
    </xf>
    <xf numFmtId="0" fontId="9" fillId="0" borderId="1" xfId="1" applyFont="1" applyFill="1" applyBorder="1" applyAlignment="1">
      <alignment vertical="top" wrapText="1"/>
    </xf>
    <xf numFmtId="0" fontId="6" fillId="0" borderId="1" xfId="1" applyFill="1" applyBorder="1"/>
    <xf numFmtId="0" fontId="1" fillId="0" borderId="1" xfId="1" applyFont="1" applyFill="1" applyBorder="1"/>
    <xf numFmtId="0" fontId="0" fillId="0" borderId="0" xfId="0" applyFill="1" applyAlignment="1">
      <alignment horizontal="right"/>
    </xf>
    <xf numFmtId="0" fontId="0" fillId="0" borderId="0" xfId="0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6" fillId="0" borderId="0" xfId="1" applyFill="1" applyAlignment="1">
      <alignment horizontal="right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rightToLeft="1" workbookViewId="0">
      <selection activeCell="B9" sqref="B9:C9"/>
    </sheetView>
  </sheetViews>
  <sheetFormatPr defaultRowHeight="14.25" x14ac:dyDescent="0.2"/>
  <cols>
    <col min="1" max="1" width="15.875" bestFit="1" customWidth="1"/>
    <col min="2" max="2" width="11.75" style="9" bestFit="1" customWidth="1"/>
    <col min="3" max="3" width="16.25" style="9" bestFit="1" customWidth="1"/>
  </cols>
  <sheetData>
    <row r="1" spans="1:3" s="3" customFormat="1" ht="15" x14ac:dyDescent="0.25">
      <c r="A1" s="3" t="str">
        <f>"טיפוסי משפחות מוצר"</f>
        <v>טיפוסי משפחות מוצר</v>
      </c>
      <c r="B1" s="8"/>
      <c r="C1" s="8"/>
    </row>
    <row r="2" spans="1:3" s="3" customFormat="1" ht="15" x14ac:dyDescent="0.25">
      <c r="B2" s="8"/>
      <c r="C2" s="8"/>
    </row>
    <row r="3" spans="1:3" s="3" customFormat="1" ht="15" x14ac:dyDescent="0.25">
      <c r="A3" s="12" t="str">
        <f>"כותרת"</f>
        <v>כותרת</v>
      </c>
      <c r="B3" s="13" t="str">
        <f>"טיפוס משפחה"</f>
        <v>טיפוס משפחה</v>
      </c>
      <c r="C3" s="13" t="str">
        <f>"תאור טיפוס משפחה"</f>
        <v>תאור טיפוס משפחה</v>
      </c>
    </row>
    <row r="4" spans="1:3" x14ac:dyDescent="0.2">
      <c r="A4" s="1" t="str">
        <f>"טיפוס"</f>
        <v>טיפוס</v>
      </c>
      <c r="B4" s="10" t="str">
        <f>"CHAR"</f>
        <v>CHAR</v>
      </c>
      <c r="C4" s="10" t="str">
        <f>"RCHAR"</f>
        <v>RCHAR</v>
      </c>
    </row>
    <row r="5" spans="1:3" x14ac:dyDescent="0.2">
      <c r="A5" s="1" t="str">
        <f>"רוחב"</f>
        <v>רוחב</v>
      </c>
      <c r="B5" s="10">
        <v>4</v>
      </c>
      <c r="C5" s="10">
        <v>20</v>
      </c>
    </row>
    <row r="6" spans="1:3" x14ac:dyDescent="0.2">
      <c r="A6" s="1" t="s">
        <v>5</v>
      </c>
      <c r="B6" s="10"/>
      <c r="C6" s="10"/>
    </row>
    <row r="7" spans="1:3" s="4" customFormat="1" x14ac:dyDescent="0.2">
      <c r="A7" s="14" t="s">
        <v>3</v>
      </c>
      <c r="B7" s="15" t="s">
        <v>7</v>
      </c>
      <c r="C7" s="15"/>
    </row>
    <row r="8" spans="1:3" s="4" customFormat="1" x14ac:dyDescent="0.2">
      <c r="A8" s="14" t="s">
        <v>4</v>
      </c>
      <c r="B8" s="15"/>
      <c r="C8" s="15"/>
    </row>
    <row r="9" spans="1:3" x14ac:dyDescent="0.2">
      <c r="A9" s="1" t="s">
        <v>38</v>
      </c>
      <c r="B9" s="16" t="s">
        <v>40</v>
      </c>
      <c r="C9" s="16" t="s">
        <v>64</v>
      </c>
    </row>
    <row r="10" spans="1:3" x14ac:dyDescent="0.2">
      <c r="A10" s="17"/>
      <c r="B10" s="10"/>
      <c r="C10" s="10"/>
    </row>
    <row r="11" spans="1:3" x14ac:dyDescent="0.2">
      <c r="B11" s="10"/>
      <c r="C11" s="10"/>
    </row>
    <row r="12" spans="1:3" x14ac:dyDescent="0.2">
      <c r="B12" s="10"/>
      <c r="C12" s="10"/>
    </row>
    <row r="13" spans="1:3" x14ac:dyDescent="0.2">
      <c r="B13" s="10"/>
      <c r="C13" s="10"/>
    </row>
    <row r="14" spans="1:3" x14ac:dyDescent="0.2">
      <c r="B14" s="10"/>
      <c r="C14" s="10"/>
    </row>
    <row r="15" spans="1:3" x14ac:dyDescent="0.2">
      <c r="B15" s="10"/>
      <c r="C15" s="10"/>
    </row>
    <row r="16" spans="1:3" x14ac:dyDescent="0.2">
      <c r="B16" s="10"/>
      <c r="C16" s="10"/>
    </row>
    <row r="17" spans="2:3" x14ac:dyDescent="0.2">
      <c r="B17" s="10"/>
      <c r="C17" s="10"/>
    </row>
    <row r="18" spans="2:3" x14ac:dyDescent="0.2">
      <c r="B18" s="10"/>
      <c r="C18" s="10"/>
    </row>
    <row r="19" spans="2:3" x14ac:dyDescent="0.2">
      <c r="B19" s="10"/>
      <c r="C19" s="10"/>
    </row>
    <row r="20" spans="2:3" x14ac:dyDescent="0.2">
      <c r="B20" s="10"/>
      <c r="C20" s="10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rightToLeft="1" zoomScale="90" zoomScaleNormal="90" workbookViewId="0">
      <selection activeCell="B13" sqref="B13:I41"/>
    </sheetView>
  </sheetViews>
  <sheetFormatPr defaultColWidth="13.75" defaultRowHeight="14.25" x14ac:dyDescent="0.2"/>
  <cols>
    <col min="1" max="1" width="13.875" bestFit="1" customWidth="1"/>
    <col min="2" max="2" width="6.875" style="9" bestFit="1" customWidth="1"/>
    <col min="3" max="3" width="33" style="9" customWidth="1"/>
    <col min="4" max="4" width="18.625" hidden="1" customWidth="1"/>
    <col min="5" max="5" width="7.5" hidden="1" customWidth="1"/>
    <col min="6" max="6" width="17.875" hidden="1" customWidth="1"/>
    <col min="7" max="7" width="12.75" hidden="1" customWidth="1"/>
    <col min="8" max="8" width="10.625" hidden="1" customWidth="1"/>
    <col min="9" max="9" width="11.75" style="9" bestFit="1" customWidth="1"/>
    <col min="10" max="10" width="6" hidden="1" customWidth="1"/>
    <col min="11" max="11" width="15.875" hidden="1" customWidth="1"/>
    <col min="12" max="12" width="13.875" hidden="1" customWidth="1"/>
    <col min="13" max="13" width="16.5" hidden="1" customWidth="1"/>
    <col min="14" max="14" width="16.375" hidden="1" customWidth="1"/>
    <col min="15" max="15" width="9.75" hidden="1" customWidth="1"/>
    <col min="16" max="16" width="19.25" hidden="1" customWidth="1"/>
    <col min="17" max="17" width="15.875" hidden="1" customWidth="1"/>
    <col min="18" max="18" width="10.5" hidden="1" customWidth="1"/>
    <col min="19" max="19" width="17.75" hidden="1" customWidth="1"/>
    <col min="20" max="20" width="15.625" hidden="1" customWidth="1"/>
    <col min="21" max="21" width="7" hidden="1" customWidth="1"/>
    <col min="22" max="22" width="12.375" hidden="1" customWidth="1"/>
    <col min="23" max="23" width="8" hidden="1" customWidth="1"/>
  </cols>
  <sheetData>
    <row r="1" spans="1:23" s="3" customFormat="1" ht="15" x14ac:dyDescent="0.25">
      <c r="A1" s="3" t="s">
        <v>10</v>
      </c>
      <c r="B1" s="8"/>
      <c r="C1" s="8"/>
      <c r="I1" s="8"/>
    </row>
    <row r="3" spans="1:23" s="3" customFormat="1" ht="15" x14ac:dyDescent="0.25">
      <c r="A3" s="12" t="str">
        <f>"כותרת"</f>
        <v>כותרת</v>
      </c>
      <c r="B3" s="13" t="str">
        <f>"משפחה"</f>
        <v>משפחה</v>
      </c>
      <c r="C3" s="13" t="str">
        <f>"תאור משפחה"</f>
        <v>תאור משפחה</v>
      </c>
      <c r="D3" s="12" t="str">
        <f>"תאור משפחה (אנגלית)"</f>
        <v>תאור משפחה (אנגלית)</v>
      </c>
      <c r="E3" s="12" t="str">
        <f>"דגל ש""ע"</f>
        <v>דגל ש"ע</v>
      </c>
      <c r="F3" s="12" t="str">
        <f>"לחיוב בדווח לפרויקט?"</f>
        <v>לחיוב בדווח לפרויקט?</v>
      </c>
      <c r="G3" s="12" t="str">
        <f>"ייצור פרויקטלי?"</f>
        <v>ייצור פרויקטלי?</v>
      </c>
      <c r="H3" s="12" t="str">
        <f>"שם משתמש"</f>
        <v>שם משתמש</v>
      </c>
      <c r="I3" s="13" t="str">
        <f>"טיפוס משפחה"</f>
        <v>טיפוס משפחה</v>
      </c>
      <c r="J3" s="12" t="str">
        <f>"הפצה"</f>
        <v>הפצה</v>
      </c>
      <c r="K3" s="12" t="str">
        <f>"עלות יבוא אוויר (%)"</f>
        <v>עלות יבוא אוויר (%)</v>
      </c>
      <c r="L3" s="12" t="str">
        <f>"עלות יבוא ים (%)"</f>
        <v>עלות יבוא ים (%)</v>
      </c>
      <c r="M3" s="12" t="str">
        <f>"עלות יבוא יבשה (%)"</f>
        <v>עלות יבוא יבשה (%)</v>
      </c>
      <c r="N3" s="12" t="str">
        <f>"סוג עלות יבוא L/S/A"</f>
        <v>סוג עלות יבוא L/S/A</v>
      </c>
      <c r="O3" s="12" t="str">
        <f>"פריטי מכר?"</f>
        <v>פריטי מכר?</v>
      </c>
      <c r="P3" s="12" t="str">
        <f>"לא לאפשר מלאי שלילי?"</f>
        <v>לא לאפשר מלאי שלילי?</v>
      </c>
      <c r="Q3" s="12" t="str">
        <f>"יעד מכירות/עסקאות"</f>
        <v>יעד מכירות/עסקאות</v>
      </c>
      <c r="R3" s="12" t="str">
        <f>"מק""ט"</f>
        <v>מק"ט</v>
      </c>
      <c r="S3" s="12" t="str">
        <f>"קוד אסטרטגית איחסון"</f>
        <v>קוד אסטרטגית איחסון</v>
      </c>
      <c r="T3" s="12" t="str">
        <f>"תוקף חודשי לליקוט"</f>
        <v>תוקף חודשי לליקוט</v>
      </c>
      <c r="U3" s="12" t="str">
        <f>"מרכזת?"</f>
        <v>מרכזת?</v>
      </c>
      <c r="V3" s="12" t="str">
        <f>"משפחה"</f>
        <v>משפחה</v>
      </c>
      <c r="W3" s="12" t="str">
        <f>"לא פעילה"</f>
        <v>לא פעילה</v>
      </c>
    </row>
    <row r="4" spans="1:23" s="3" customFormat="1" ht="15" x14ac:dyDescent="0.25">
      <c r="A4" s="12" t="str">
        <f>"כותרת חדשה"</f>
        <v>כותרת חדשה</v>
      </c>
      <c r="B4" s="13"/>
      <c r="C4" s="13"/>
      <c r="D4" s="12"/>
      <c r="E4" s="12"/>
      <c r="F4" s="12"/>
      <c r="G4" s="12"/>
      <c r="H4" s="12" t="str">
        <f>"טכנאי אחראי"</f>
        <v>טכנאי אחראי</v>
      </c>
      <c r="I4" s="13"/>
      <c r="J4" s="12"/>
      <c r="K4" s="12"/>
      <c r="L4" s="12"/>
      <c r="M4" s="12"/>
      <c r="N4" s="12"/>
      <c r="O4" s="12"/>
      <c r="P4" s="12"/>
      <c r="Q4" s="12"/>
      <c r="R4" s="12" t="str">
        <f>"מוצר לדוגמא"</f>
        <v>מוצר לדוגמא</v>
      </c>
      <c r="S4" s="12"/>
      <c r="T4" s="12"/>
      <c r="U4" s="12"/>
      <c r="V4" s="12" t="str">
        <f>"משפחה מרכזת"</f>
        <v>משפחה מרכזת</v>
      </c>
      <c r="W4" s="12"/>
    </row>
    <row r="5" spans="1:23" x14ac:dyDescent="0.2">
      <c r="A5" s="1" t="str">
        <f>"טיפוס"</f>
        <v>טיפוס</v>
      </c>
      <c r="B5" s="10" t="str">
        <f>"CHAR"</f>
        <v>CHAR</v>
      </c>
      <c r="C5" s="10" t="str">
        <f>"RCHAR"</f>
        <v>RCHAR</v>
      </c>
      <c r="D5" s="1" t="str">
        <f>"CHAR"</f>
        <v>CHAR</v>
      </c>
      <c r="E5" s="1" t="str">
        <f>"CHAR"</f>
        <v>CHAR</v>
      </c>
      <c r="F5" s="1" t="str">
        <f>"CHAR"</f>
        <v>CHAR</v>
      </c>
      <c r="G5" s="1" t="str">
        <f>"CHAR"</f>
        <v>CHAR</v>
      </c>
      <c r="H5" s="1" t="str">
        <f>"RCHAR"</f>
        <v>RCHAR</v>
      </c>
      <c r="I5" s="10" t="str">
        <f>"CHAR"</f>
        <v>CHAR</v>
      </c>
      <c r="J5" s="1" t="str">
        <f>"CHAR"</f>
        <v>CHAR</v>
      </c>
      <c r="K5" s="1" t="str">
        <f>"REAL"</f>
        <v>REAL</v>
      </c>
      <c r="L5" s="1" t="str">
        <f>"REAL"</f>
        <v>REAL</v>
      </c>
      <c r="M5" s="1" t="str">
        <f>"REAL"</f>
        <v>REAL</v>
      </c>
      <c r="N5" s="1" t="str">
        <f t="shared" ref="N5:W5" si="0">"CHAR"</f>
        <v>CHAR</v>
      </c>
      <c r="O5" s="1" t="str">
        <f t="shared" si="0"/>
        <v>CHAR</v>
      </c>
      <c r="P5" s="1" t="str">
        <f t="shared" si="0"/>
        <v>CHAR</v>
      </c>
      <c r="Q5" s="1" t="str">
        <f t="shared" si="0"/>
        <v>CHAR</v>
      </c>
      <c r="R5" s="1" t="str">
        <f t="shared" si="0"/>
        <v>CHAR</v>
      </c>
      <c r="S5" s="1" t="str">
        <f t="shared" si="0"/>
        <v>CHAR</v>
      </c>
      <c r="T5" s="1" t="str">
        <f t="shared" si="0"/>
        <v>CHAR</v>
      </c>
      <c r="U5" s="1" t="str">
        <f t="shared" si="0"/>
        <v>CHAR</v>
      </c>
      <c r="V5" s="1" t="str">
        <f t="shared" si="0"/>
        <v>CHAR</v>
      </c>
      <c r="W5" s="1" t="str">
        <f t="shared" si="0"/>
        <v>CHAR</v>
      </c>
    </row>
    <row r="6" spans="1:23" x14ac:dyDescent="0.2">
      <c r="A6" s="1" t="str">
        <f>"רוחב"</f>
        <v>רוחב</v>
      </c>
      <c r="B6" s="10">
        <v>8</v>
      </c>
      <c r="C6" s="10">
        <v>32</v>
      </c>
      <c r="D6" s="1">
        <v>32</v>
      </c>
      <c r="E6" s="1">
        <v>1</v>
      </c>
      <c r="F6" s="1">
        <v>1</v>
      </c>
      <c r="G6" s="1">
        <v>1</v>
      </c>
      <c r="H6" s="1">
        <v>20</v>
      </c>
      <c r="I6" s="10">
        <v>4</v>
      </c>
      <c r="J6" s="1">
        <v>1</v>
      </c>
      <c r="K6" s="1">
        <v>6</v>
      </c>
      <c r="L6" s="1">
        <v>6</v>
      </c>
      <c r="M6" s="1">
        <v>6</v>
      </c>
      <c r="N6" s="1">
        <v>1</v>
      </c>
      <c r="O6" s="1">
        <v>1</v>
      </c>
      <c r="P6" s="1">
        <v>1</v>
      </c>
      <c r="Q6" s="1">
        <v>1</v>
      </c>
      <c r="R6" s="1">
        <v>15</v>
      </c>
      <c r="S6" s="1">
        <v>8</v>
      </c>
      <c r="T6" s="1">
        <v>1</v>
      </c>
      <c r="U6" s="1">
        <v>1</v>
      </c>
      <c r="V6" s="1">
        <v>8</v>
      </c>
      <c r="W6" s="1">
        <v>1</v>
      </c>
    </row>
    <row r="7" spans="1:23" x14ac:dyDescent="0.2">
      <c r="A7" s="1" t="str">
        <f>"דיוק עשרוני"</f>
        <v>דיוק עשרוני</v>
      </c>
      <c r="B7" s="10"/>
      <c r="C7" s="10"/>
      <c r="D7" s="1"/>
      <c r="E7" s="1"/>
      <c r="F7" s="1"/>
      <c r="G7" s="1"/>
      <c r="H7" s="1"/>
      <c r="I7" s="10"/>
      <c r="J7" s="1"/>
      <c r="K7" s="1" t="str">
        <f>"2"</f>
        <v>2</v>
      </c>
      <c r="L7" s="1" t="str">
        <f>"2"</f>
        <v>2</v>
      </c>
      <c r="M7" s="1" t="str">
        <f>"2"</f>
        <v>2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s="1" t="str">
        <f>"קריאה/חובה/יתרה"</f>
        <v>קריאה/חובה/יתרה</v>
      </c>
      <c r="B8" s="10" t="str">
        <f>"M"</f>
        <v>M</v>
      </c>
      <c r="C8" s="10"/>
      <c r="D8" s="1"/>
      <c r="E8" s="1"/>
      <c r="F8" s="1"/>
      <c r="G8" s="1"/>
      <c r="H8" s="1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">
      <c r="A9" s="1" t="str">
        <f>"בולאני?"</f>
        <v>בולאני?</v>
      </c>
      <c r="B9" s="10"/>
      <c r="C9" s="10"/>
      <c r="D9" s="1"/>
      <c r="E9" s="1" t="str">
        <f>"Y"</f>
        <v>Y</v>
      </c>
      <c r="F9" s="1"/>
      <c r="G9" s="1" t="str">
        <f>"Y"</f>
        <v>Y</v>
      </c>
      <c r="H9" s="1"/>
      <c r="I9" s="10"/>
      <c r="J9" s="1" t="str">
        <f>"Y"</f>
        <v>Y</v>
      </c>
      <c r="K9" s="1"/>
      <c r="L9" s="1"/>
      <c r="M9" s="1"/>
      <c r="N9" s="1"/>
      <c r="O9" s="1" t="str">
        <f>"Y"</f>
        <v>Y</v>
      </c>
      <c r="P9" s="1" t="str">
        <f>"Y"</f>
        <v>Y</v>
      </c>
      <c r="Q9" s="1" t="str">
        <f>"Y"</f>
        <v>Y</v>
      </c>
      <c r="R9" s="1"/>
      <c r="S9" s="1"/>
      <c r="T9" s="1" t="str">
        <f>"Y"</f>
        <v>Y</v>
      </c>
      <c r="U9" s="1" t="str">
        <f>"Y"</f>
        <v>Y</v>
      </c>
      <c r="V9" s="1"/>
      <c r="W9" s="1" t="str">
        <f>"Y"</f>
        <v>Y</v>
      </c>
    </row>
    <row r="10" spans="1:23" ht="42.75" x14ac:dyDescent="0.2">
      <c r="A10" s="1" t="s">
        <v>20</v>
      </c>
      <c r="B10" s="10"/>
      <c r="C10" s="10"/>
      <c r="D10" s="1"/>
      <c r="E10" s="1"/>
      <c r="F10" s="1"/>
      <c r="G10" s="1"/>
      <c r="H10" s="2" t="s">
        <v>36</v>
      </c>
      <c r="I10" s="11" t="s">
        <v>39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36"/>
      <c r="B11" s="10" t="str">
        <f>"000"</f>
        <v>000</v>
      </c>
      <c r="C11" s="10" t="str">
        <f>"משפחת שעות עבודה"</f>
        <v>משפחת שעות עבודה</v>
      </c>
      <c r="D11" s="16"/>
      <c r="E11" s="16"/>
      <c r="F11" s="16"/>
      <c r="G11" s="16"/>
      <c r="H11" s="16"/>
      <c r="I11" s="16" t="s">
        <v>40</v>
      </c>
      <c r="J11" s="3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B12" s="10" t="str">
        <f>"011"</f>
        <v>011</v>
      </c>
      <c r="C12" s="10" t="str">
        <f>"עבודות עפר"</f>
        <v>עבודות עפר</v>
      </c>
      <c r="D12" s="10"/>
      <c r="E12" s="10"/>
      <c r="F12" s="10"/>
      <c r="G12" s="10"/>
      <c r="H12" s="10"/>
      <c r="I12" s="16" t="s">
        <v>40</v>
      </c>
    </row>
    <row r="13" spans="1:23" x14ac:dyDescent="0.2">
      <c r="B13" s="10" t="str">
        <f>"021"</f>
        <v>021</v>
      </c>
      <c r="C13" s="10" t="str">
        <f>"צנרת פלסטית"</f>
        <v>צנרת פלסטית</v>
      </c>
      <c r="D13" s="10"/>
      <c r="E13" s="10"/>
      <c r="F13" s="10"/>
      <c r="G13" s="10"/>
      <c r="H13" s="10"/>
      <c r="I13" s="16" t="s">
        <v>40</v>
      </c>
    </row>
    <row r="14" spans="1:23" x14ac:dyDescent="0.2">
      <c r="B14" s="10" t="str">
        <f>"022"</f>
        <v>022</v>
      </c>
      <c r="C14" s="10" t="str">
        <f>"קופסאות"</f>
        <v>קופסאות</v>
      </c>
      <c r="D14" s="10"/>
      <c r="E14" s="10"/>
      <c r="F14" s="10"/>
      <c r="G14" s="10"/>
      <c r="H14" s="10"/>
      <c r="I14" s="16" t="s">
        <v>40</v>
      </c>
    </row>
    <row r="15" spans="1:23" x14ac:dyDescent="0.2">
      <c r="B15" s="10" t="str">
        <f>"023"</f>
        <v>023</v>
      </c>
      <c r="C15" s="10" t="s">
        <v>507</v>
      </c>
      <c r="D15" s="10"/>
      <c r="E15" s="10"/>
      <c r="F15" s="10"/>
      <c r="G15" s="10"/>
      <c r="H15" s="10"/>
      <c r="I15" s="16" t="s">
        <v>40</v>
      </c>
    </row>
    <row r="16" spans="1:23" x14ac:dyDescent="0.2">
      <c r="B16" s="10" t="str">
        <f>"031"</f>
        <v>031</v>
      </c>
      <c r="C16" s="10" t="str">
        <f>"כבלי נחושת"</f>
        <v>כבלי נחושת</v>
      </c>
      <c r="D16" s="10"/>
      <c r="E16" s="10"/>
      <c r="F16" s="10"/>
      <c r="G16" s="10"/>
      <c r="H16" s="10"/>
      <c r="I16" s="16" t="s">
        <v>40</v>
      </c>
    </row>
    <row r="17" spans="2:9" x14ac:dyDescent="0.2">
      <c r="B17" s="10" t="str">
        <f>"032"</f>
        <v>032</v>
      </c>
      <c r="C17" s="10" t="str">
        <f>"כבלי נחושת משוריינים"</f>
        <v>כבלי נחושת משוריינים</v>
      </c>
      <c r="D17" s="10"/>
      <c r="E17" s="10"/>
      <c r="F17" s="10"/>
      <c r="G17" s="10"/>
      <c r="H17" s="10"/>
      <c r="I17" s="16" t="s">
        <v>40</v>
      </c>
    </row>
    <row r="18" spans="2:9" x14ac:dyDescent="0.2">
      <c r="B18" s="10" t="str">
        <f>"034"</f>
        <v>034</v>
      </c>
      <c r="C18" s="10" t="str">
        <f>"כבלי אלומיניום"</f>
        <v>כבלי אלומיניום</v>
      </c>
      <c r="D18" s="10"/>
      <c r="E18" s="10"/>
      <c r="F18" s="10"/>
      <c r="G18" s="10"/>
      <c r="H18" s="10"/>
      <c r="I18" s="16" t="s">
        <v>40</v>
      </c>
    </row>
    <row r="19" spans="2:9" x14ac:dyDescent="0.2">
      <c r="B19" s="10" t="str">
        <f>"035"</f>
        <v>035</v>
      </c>
      <c r="C19" s="10" t="str">
        <f>"כבלי פיקוד"</f>
        <v>כבלי פיקוד</v>
      </c>
      <c r="D19" s="10"/>
      <c r="E19" s="10"/>
      <c r="F19" s="10"/>
      <c r="G19" s="10"/>
      <c r="H19" s="10"/>
      <c r="I19" s="16" t="s">
        <v>40</v>
      </c>
    </row>
    <row r="20" spans="2:9" x14ac:dyDescent="0.2">
      <c r="B20" s="10" t="str">
        <f>"036"</f>
        <v>036</v>
      </c>
      <c r="C20" s="10" t="str">
        <f>"מוליכי נחושת"</f>
        <v>מוליכי נחושת</v>
      </c>
      <c r="D20" s="10"/>
      <c r="E20" s="10"/>
      <c r="F20" s="10"/>
      <c r="G20" s="10"/>
      <c r="H20" s="10"/>
      <c r="I20" s="16" t="s">
        <v>40</v>
      </c>
    </row>
    <row r="21" spans="2:9" x14ac:dyDescent="0.2">
      <c r="B21" s="10" t="str">
        <f>"037"</f>
        <v>037</v>
      </c>
      <c r="C21" s="10" t="str">
        <f>"כבלי תקשורת"</f>
        <v>כבלי תקשורת</v>
      </c>
      <c r="D21" s="10"/>
      <c r="E21" s="10"/>
      <c r="F21" s="10"/>
      <c r="G21" s="10"/>
      <c r="H21" s="10"/>
      <c r="I21" s="16" t="s">
        <v>40</v>
      </c>
    </row>
    <row r="22" spans="2:9" x14ac:dyDescent="0.2">
      <c r="B22" s="10" t="str">
        <f>"038"</f>
        <v>038</v>
      </c>
      <c r="C22" s="10" t="str">
        <f>"כבלי התקנה"</f>
        <v>כבלי התקנה</v>
      </c>
      <c r="D22" s="10"/>
      <c r="E22" s="10"/>
      <c r="F22" s="10"/>
      <c r="G22" s="10"/>
      <c r="H22" s="10"/>
      <c r="I22" s="16" t="s">
        <v>40</v>
      </c>
    </row>
    <row r="23" spans="2:9" x14ac:dyDescent="0.2">
      <c r="B23" s="10" t="str">
        <f>"039"</f>
        <v>039</v>
      </c>
      <c r="C23" s="10" t="str">
        <f>"כבלים חסיני אש"</f>
        <v>כבלים חסיני אש</v>
      </c>
      <c r="D23" s="10"/>
      <c r="E23" s="10"/>
      <c r="F23" s="10"/>
      <c r="G23" s="10"/>
      <c r="H23" s="10"/>
      <c r="I23" s="16" t="s">
        <v>40</v>
      </c>
    </row>
    <row r="24" spans="2:9" x14ac:dyDescent="0.2">
      <c r="B24" s="10" t="str">
        <f>"040"</f>
        <v>040</v>
      </c>
      <c r="C24" s="10" t="str">
        <f>"אמצעי הארקה"</f>
        <v>אמצעי הארקה</v>
      </c>
      <c r="D24" s="10"/>
      <c r="E24" s="10"/>
      <c r="F24" s="10"/>
      <c r="G24" s="10"/>
      <c r="H24" s="10"/>
      <c r="I24" s="16" t="s">
        <v>40</v>
      </c>
    </row>
    <row r="25" spans="2:9" x14ac:dyDescent="0.2">
      <c r="B25" s="10" t="str">
        <f>"043"</f>
        <v>043</v>
      </c>
      <c r="C25" s="10" t="str">
        <f>"מופות"</f>
        <v>מופות</v>
      </c>
      <c r="D25" s="10"/>
      <c r="E25" s="10"/>
      <c r="F25" s="10"/>
      <c r="G25" s="10"/>
      <c r="H25" s="10"/>
      <c r="I25" s="16" t="s">
        <v>40</v>
      </c>
    </row>
    <row r="26" spans="2:9" x14ac:dyDescent="0.2">
      <c r="B26" s="10" t="str">
        <f>"061"</f>
        <v>061</v>
      </c>
      <c r="C26" s="10" t="str">
        <f>"מבנה ללוחות"</f>
        <v>מבנה ללוחות</v>
      </c>
      <c r="D26" s="10"/>
      <c r="E26" s="10"/>
      <c r="F26" s="10"/>
      <c r="G26" s="10"/>
      <c r="H26" s="10"/>
      <c r="I26" s="16" t="s">
        <v>40</v>
      </c>
    </row>
    <row r="27" spans="2:9" x14ac:dyDescent="0.2">
      <c r="B27" s="10" t="str">
        <f>"062"</f>
        <v>062</v>
      </c>
      <c r="C27" s="10" t="s">
        <v>503</v>
      </c>
      <c r="D27" s="10"/>
      <c r="E27" s="10"/>
      <c r="F27" s="10"/>
      <c r="G27" s="10"/>
      <c r="H27" s="10"/>
      <c r="I27" s="16" t="s">
        <v>40</v>
      </c>
    </row>
    <row r="28" spans="2:9" x14ac:dyDescent="0.2">
      <c r="B28" s="10" t="str">
        <f>"063"</f>
        <v>063</v>
      </c>
      <c r="C28" s="10"/>
      <c r="D28" s="10"/>
      <c r="E28" s="10"/>
      <c r="F28" s="10"/>
      <c r="G28" s="10"/>
      <c r="H28" s="10"/>
      <c r="I28" s="16" t="s">
        <v>40</v>
      </c>
    </row>
    <row r="29" spans="2:9" x14ac:dyDescent="0.2">
      <c r="B29" s="10" t="str">
        <f>"064"</f>
        <v>064</v>
      </c>
      <c r="C29" s="10" t="str">
        <f>"ציוד לוחות חשמל"</f>
        <v>ציוד לוחות חשמל</v>
      </c>
      <c r="D29" s="10"/>
      <c r="E29" s="10"/>
      <c r="F29" s="10"/>
      <c r="G29" s="10"/>
      <c r="H29" s="10"/>
      <c r="I29" s="16" t="s">
        <v>40</v>
      </c>
    </row>
    <row r="30" spans="2:9" x14ac:dyDescent="0.2">
      <c r="B30" s="10" t="str">
        <f>"070"</f>
        <v>070</v>
      </c>
      <c r="C30" s="10" t="str">
        <f>"אביזרי קצה"</f>
        <v>אביזרי קצה</v>
      </c>
      <c r="D30" s="10"/>
      <c r="E30" s="10"/>
      <c r="F30" s="10"/>
      <c r="G30" s="10"/>
      <c r="H30" s="10"/>
      <c r="I30" s="16" t="s">
        <v>40</v>
      </c>
    </row>
    <row r="31" spans="2:9" x14ac:dyDescent="0.2">
      <c r="B31" s="10" t="str">
        <f>"079"</f>
        <v>079</v>
      </c>
      <c r="C31" s="10" t="str">
        <f>"ציוד כללי"</f>
        <v>ציוד כללי</v>
      </c>
      <c r="D31" s="10"/>
      <c r="E31" s="10"/>
      <c r="F31" s="10"/>
      <c r="G31" s="10"/>
      <c r="H31" s="10"/>
      <c r="I31" s="16" t="s">
        <v>40</v>
      </c>
    </row>
    <row r="32" spans="2:9" x14ac:dyDescent="0.2">
      <c r="B32" s="10" t="str">
        <f>"08"</f>
        <v>08</v>
      </c>
      <c r="C32" s="10" t="str">
        <f>"עבודות חשמל"</f>
        <v>עבודות חשמל</v>
      </c>
      <c r="D32" s="10"/>
      <c r="E32" s="10"/>
      <c r="F32" s="10"/>
      <c r="G32" s="10"/>
      <c r="H32" s="10"/>
      <c r="I32" s="16" t="s">
        <v>40</v>
      </c>
    </row>
    <row r="33" spans="2:9" x14ac:dyDescent="0.2">
      <c r="B33" s="10" t="str">
        <f>"081"</f>
        <v>081</v>
      </c>
      <c r="C33" s="10" t="str">
        <f>"פלורוסנטים"</f>
        <v>פלורוסנטים</v>
      </c>
      <c r="D33" s="10"/>
      <c r="E33" s="10"/>
      <c r="F33" s="10"/>
      <c r="G33" s="10"/>
      <c r="H33" s="10"/>
      <c r="I33" s="16" t="s">
        <v>40</v>
      </c>
    </row>
    <row r="34" spans="2:9" x14ac:dyDescent="0.2">
      <c r="B34" s="10" t="str">
        <f>"082"</f>
        <v>082</v>
      </c>
      <c r="C34" s="10" t="str">
        <f>"גופי תאורה צמודי קיר/תקרה"</f>
        <v>גופי תאורה צמודי קיר/תקרה</v>
      </c>
      <c r="D34" s="10"/>
      <c r="E34" s="10"/>
      <c r="F34" s="10"/>
      <c r="G34" s="10"/>
      <c r="H34" s="10"/>
      <c r="I34" s="16" t="s">
        <v>40</v>
      </c>
    </row>
    <row r="35" spans="2:9" x14ac:dyDescent="0.2">
      <c r="B35" s="10" t="str">
        <f>"083"</f>
        <v>083</v>
      </c>
      <c r="C35" s="10" t="str">
        <f>"גופי תאורה חירום"</f>
        <v>גופי תאורה חירום</v>
      </c>
      <c r="D35" s="10"/>
      <c r="E35" s="10"/>
      <c r="F35" s="10"/>
      <c r="G35" s="10"/>
      <c r="H35" s="10"/>
      <c r="I35" s="16" t="s">
        <v>40</v>
      </c>
    </row>
    <row r="36" spans="2:9" x14ac:dyDescent="0.2">
      <c r="B36" s="10" t="str">
        <f>"084"</f>
        <v>084</v>
      </c>
      <c r="C36" s="10" t="str">
        <f>"גופי תאורה שקועים"</f>
        <v>גופי תאורה שקועים</v>
      </c>
      <c r="D36" s="10"/>
      <c r="E36" s="10"/>
      <c r="F36" s="10"/>
      <c r="G36" s="10"/>
      <c r="H36" s="10"/>
      <c r="I36" s="16" t="s">
        <v>40</v>
      </c>
    </row>
    <row r="37" spans="2:9" x14ac:dyDescent="0.2">
      <c r="B37" s="10" t="str">
        <f>"091"</f>
        <v>091</v>
      </c>
      <c r="C37" s="10" t="str">
        <f>"מחזיקים וחומרי עזר"</f>
        <v>מחזיקים וחומרי עזר</v>
      </c>
      <c r="D37" s="10"/>
      <c r="E37" s="10"/>
      <c r="F37" s="10"/>
      <c r="G37" s="10"/>
      <c r="H37" s="10"/>
      <c r="I37" s="16" t="s">
        <v>40</v>
      </c>
    </row>
    <row r="38" spans="2:9" x14ac:dyDescent="0.2">
      <c r="B38" s="10" t="str">
        <f>"092"</f>
        <v>092</v>
      </c>
      <c r="C38" s="10" t="str">
        <f>"כלי עבודה"</f>
        <v>כלי עבודה</v>
      </c>
      <c r="D38" s="10"/>
      <c r="E38" s="10"/>
      <c r="F38" s="10"/>
      <c r="G38" s="10"/>
      <c r="H38" s="10"/>
      <c r="I38" s="16" t="s">
        <v>40</v>
      </c>
    </row>
    <row r="39" spans="2:9" x14ac:dyDescent="0.2">
      <c r="B39" s="10" t="str">
        <f>"093"</f>
        <v>093</v>
      </c>
      <c r="C39" s="10" t="str">
        <f>"מחברים"</f>
        <v>מחברים</v>
      </c>
      <c r="D39" s="10"/>
      <c r="E39" s="10"/>
      <c r="F39" s="10"/>
      <c r="G39" s="10"/>
      <c r="H39" s="10"/>
      <c r="I39" s="16" t="s">
        <v>40</v>
      </c>
    </row>
    <row r="40" spans="2:9" x14ac:dyDescent="0.2">
      <c r="B40" s="10" t="str">
        <f>"100"</f>
        <v>100</v>
      </c>
      <c r="C40" s="10" t="str">
        <f>"אבני דרך"</f>
        <v>אבני דרך</v>
      </c>
      <c r="D40" s="10"/>
      <c r="E40" s="10"/>
      <c r="F40" s="10"/>
      <c r="G40" s="10"/>
      <c r="H40" s="10"/>
      <c r="I40" s="16" t="s">
        <v>40</v>
      </c>
    </row>
    <row r="41" spans="2:9" x14ac:dyDescent="0.2">
      <c r="B41" s="10" t="str">
        <f>"101"</f>
        <v>101</v>
      </c>
      <c r="C41" s="10" t="str">
        <f>"פרטי עיסקה"</f>
        <v>פרטי עיסקה</v>
      </c>
      <c r="D41" s="10"/>
      <c r="E41" s="10"/>
      <c r="F41" s="10"/>
      <c r="G41" s="10"/>
      <c r="H41" s="10"/>
      <c r="I41" s="1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39"/>
  <sheetViews>
    <sheetView rightToLeft="1" topLeftCell="A229" zoomScaleNormal="100" workbookViewId="0">
      <selection activeCell="V309" sqref="V309"/>
    </sheetView>
  </sheetViews>
  <sheetFormatPr defaultRowHeight="14.25" x14ac:dyDescent="0.2"/>
  <cols>
    <col min="1" max="1" width="17.25" style="5" bestFit="1" customWidth="1"/>
    <col min="2" max="2" width="14.625" style="23" customWidth="1"/>
    <col min="3" max="3" width="45.5" style="85" customWidth="1"/>
    <col min="4" max="4" width="14.875" style="23" hidden="1" customWidth="1"/>
    <col min="5" max="5" width="10.875" style="23" hidden="1" customWidth="1"/>
    <col min="6" max="6" width="10.5" style="23" hidden="1" customWidth="1"/>
    <col min="7" max="7" width="6" style="23" hidden="1" customWidth="1"/>
    <col min="8" max="13" width="12" style="23" hidden="1" customWidth="1"/>
    <col min="14" max="16" width="16.25" style="23" hidden="1" customWidth="1"/>
    <col min="17" max="17" width="13.375" style="23" hidden="1" customWidth="1"/>
    <col min="18" max="18" width="9.25" style="23" hidden="1" customWidth="1"/>
    <col min="19" max="19" width="8.5" style="23" hidden="1" customWidth="1"/>
    <col min="20" max="20" width="8.875" style="23" hidden="1" customWidth="1"/>
    <col min="21" max="21" width="16.25" style="23" hidden="1" customWidth="1"/>
    <col min="22" max="22" width="14.5" style="23" bestFit="1" customWidth="1"/>
    <col min="23" max="23" width="8.125" style="23" hidden="1" customWidth="1"/>
    <col min="24" max="24" width="14.5" style="23" bestFit="1" customWidth="1"/>
    <col min="25" max="25" width="16.25" style="23" hidden="1" customWidth="1"/>
    <col min="26" max="26" width="6.75" style="23" hidden="1" customWidth="1"/>
    <col min="27" max="27" width="9.375" style="23" hidden="1" customWidth="1"/>
    <col min="28" max="28" width="0" style="23" hidden="1" customWidth="1"/>
    <col min="29" max="29" width="6" style="23" hidden="1" customWidth="1"/>
    <col min="30" max="30" width="9.625" style="23" hidden="1" customWidth="1"/>
    <col min="31" max="31" width="14.375" style="23" hidden="1" customWidth="1"/>
    <col min="32" max="32" width="12.75" style="23" hidden="1" customWidth="1"/>
    <col min="33" max="33" width="9.375" style="23" hidden="1" customWidth="1"/>
    <col min="34" max="34" width="16.5" style="23" hidden="1" customWidth="1"/>
    <col min="35" max="35" width="16.125" style="23" hidden="1" customWidth="1"/>
    <col min="36" max="36" width="6.125" style="23" hidden="1" customWidth="1"/>
    <col min="37" max="37" width="0" style="23" hidden="1" customWidth="1"/>
    <col min="38" max="38" width="13.125" style="23" hidden="1" customWidth="1"/>
    <col min="39" max="39" width="10.5" style="23" hidden="1" customWidth="1"/>
    <col min="40" max="40" width="11.75" style="23" customWidth="1"/>
    <col min="41" max="42" width="5.625" style="23" hidden="1" customWidth="1"/>
    <col min="43" max="43" width="16.375" style="23" hidden="1" customWidth="1"/>
    <col min="44" max="44" width="9.5" style="23" hidden="1" customWidth="1"/>
    <col min="45" max="45" width="15.875" style="23" hidden="1" customWidth="1"/>
    <col min="46" max="46" width="16.5" style="23" hidden="1" customWidth="1"/>
    <col min="47" max="47" width="13.875" style="23" hidden="1" customWidth="1"/>
    <col min="48" max="48" width="9.375" style="23" hidden="1" customWidth="1"/>
    <col min="49" max="49" width="11.875" style="23" hidden="1" customWidth="1"/>
    <col min="50" max="50" width="13.875" style="23" hidden="1" customWidth="1"/>
    <col min="51" max="59" width="12.75" style="23" hidden="1" customWidth="1"/>
    <col min="60" max="60" width="12.625" style="23" customWidth="1"/>
    <col min="61" max="61" width="16.625" style="23" bestFit="1" customWidth="1"/>
    <col min="62" max="62" width="15.375" style="23" bestFit="1" customWidth="1"/>
    <col min="63" max="63" width="8.875" style="7" hidden="1" customWidth="1"/>
    <col min="64" max="64" width="13.5" style="5" hidden="1" customWidth="1"/>
    <col min="65" max="65" width="11.25" style="5" hidden="1" customWidth="1"/>
    <col min="66" max="66" width="14.875" style="5" hidden="1" customWidth="1"/>
    <col min="67" max="67" width="6" style="5" hidden="1" customWidth="1"/>
    <col min="68" max="68" width="13.625" style="5" customWidth="1"/>
    <col min="69" max="69" width="22.125" style="5" customWidth="1"/>
    <col min="70" max="76" width="9" style="5"/>
    <col min="77" max="77" width="18.25" style="5" customWidth="1"/>
    <col min="78" max="16384" width="9" style="5"/>
  </cols>
  <sheetData>
    <row r="1" spans="1:68" s="6" customFormat="1" ht="15" x14ac:dyDescent="0.25">
      <c r="A1" s="18" t="s">
        <v>12</v>
      </c>
      <c r="B1" s="22"/>
      <c r="C1" s="7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19"/>
      <c r="BL1" s="18"/>
      <c r="BM1" s="18"/>
      <c r="BN1" s="18"/>
      <c r="BO1" s="18"/>
    </row>
    <row r="2" spans="1:68" s="6" customFormat="1" ht="15" x14ac:dyDescent="0.25">
      <c r="A2" s="18"/>
      <c r="B2" s="22"/>
      <c r="C2" s="7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19"/>
      <c r="BL2" s="18"/>
      <c r="BM2" s="18"/>
      <c r="BN2" s="18"/>
      <c r="BO2" s="18"/>
    </row>
    <row r="3" spans="1:68" s="6" customFormat="1" ht="15" x14ac:dyDescent="0.25">
      <c r="A3" s="24" t="str">
        <f>"כותרת"</f>
        <v>כותרת</v>
      </c>
      <c r="B3" s="25" t="str">
        <f>"מק""ט"</f>
        <v>מק"ט</v>
      </c>
      <c r="C3" s="73" t="str">
        <f>"תאור מוצר"</f>
        <v>תאור מוצר</v>
      </c>
      <c r="D3" s="25" t="str">
        <f>"סטטוס"</f>
        <v>סטטוס</v>
      </c>
      <c r="E3" s="25" t="str">
        <f>"טיפוס P/R/O"</f>
        <v>טיפוס P/R/O</v>
      </c>
      <c r="F3" s="25" t="str">
        <f>"מנוהל מלאי?"</f>
        <v>מנוהל מלאי?</v>
      </c>
      <c r="G3" s="25" t="str">
        <f>"איתור"</f>
        <v>איתור</v>
      </c>
      <c r="H3" s="25" t="str">
        <f>"המשך תיאור 1"</f>
        <v>המשך תיאור 1</v>
      </c>
      <c r="I3" s="25" t="str">
        <f>"המשך תיאור 2"</f>
        <v>המשך תיאור 2</v>
      </c>
      <c r="J3" s="25" t="str">
        <f>"המשך תיאור 3"</f>
        <v>המשך תיאור 3</v>
      </c>
      <c r="K3" s="25" t="str">
        <f>"המשך תיאור 4"</f>
        <v>המשך תיאור 4</v>
      </c>
      <c r="L3" s="25" t="str">
        <f>"המשך תיאור 5"</f>
        <v>המשך תיאור 5</v>
      </c>
      <c r="M3" s="25" t="str">
        <f>"המשך תיאור 6"</f>
        <v>המשך תיאור 6</v>
      </c>
      <c r="N3" s="25" t="str">
        <f>"המשך תיאור לועזי 1"</f>
        <v>המשך תיאור לועזי 1</v>
      </c>
      <c r="O3" s="25" t="str">
        <f>"המשך תיאור לועזי 2"</f>
        <v>המשך תיאור לועזי 2</v>
      </c>
      <c r="P3" s="25" t="str">
        <f>"המשך תיאור לועזי 3"</f>
        <v>המשך תיאור לועזי 3</v>
      </c>
      <c r="Q3" s="25" t="str">
        <f>"זמן אספקה רכש"</f>
        <v>זמן אספקה רכש</v>
      </c>
      <c r="R3" s="25" t="str">
        <f>"זמן בדיקות"</f>
        <v>זמן בדיקות</v>
      </c>
      <c r="S3" s="25" t="str">
        <f>"זמן הובלה"</f>
        <v>זמן הובלה</v>
      </c>
      <c r="T3" s="25" t="str">
        <f>"טווח קיבוץ"</f>
        <v>טווח קיבוץ</v>
      </c>
      <c r="U3" s="25" t="str">
        <f>"טיפוס מדיניות עיתוד"</f>
        <v>טיפוס מדיניות עיתוד</v>
      </c>
      <c r="V3" s="25" t="str">
        <f>"יח' מפעל"</f>
        <v>יח' מפעל</v>
      </c>
      <c r="W3" s="25" t="str">
        <f>"יח' משקל"</f>
        <v>יח' משקל</v>
      </c>
      <c r="X3" s="25" t="str">
        <f>"יח' קניה/מכירה"</f>
        <v>יח' קניה/מכירה</v>
      </c>
      <c r="Y3" s="25" t="str">
        <f>"מדרגת הזמנה/פק""ע"</f>
        <v>מדרגת הזמנה/פק"ע</v>
      </c>
      <c r="Z3" s="25" t="str">
        <f>"מהדורה"</f>
        <v>מהדורה</v>
      </c>
      <c r="AA3" s="25" t="str">
        <f>"מחיר אחרון"</f>
        <v>מחיר אחרון</v>
      </c>
      <c r="AB3" s="25" t="str">
        <f>"מחיר בסיס"</f>
        <v>מחיר בסיס</v>
      </c>
      <c r="AC3" s="25" t="str">
        <f>"מחסן"</f>
        <v>מחסן</v>
      </c>
      <c r="AD3" s="25" t="str">
        <f>"מטבע בסיס"</f>
        <v>מטבע בסיס</v>
      </c>
      <c r="AE3" s="25" t="str">
        <f>"מטבע מחיר אחרון"</f>
        <v>מטבע מחיר אחרון</v>
      </c>
      <c r="AF3" s="25" t="str">
        <f>"מינימום להזמנה"</f>
        <v>מינימום להזמנה</v>
      </c>
      <c r="AG3" s="25" t="str">
        <f>"מלאי בטחון"</f>
        <v>מלאי בטחון</v>
      </c>
      <c r="AH3" s="25" t="str">
        <f>"מנוהל מס' סידוריים?"</f>
        <v>מנוהל מס' סידוריים?</v>
      </c>
      <c r="AI3" s="25" t="str">
        <f>"מנופק לרשימות זווד"</f>
        <v>מנופק לרשימות זווד</v>
      </c>
      <c r="AJ3" s="25" t="str">
        <f>"מע""מ?"</f>
        <v>מע"מ?</v>
      </c>
      <c r="AK3" s="25" t="str">
        <f>"מק""ט ספק"</f>
        <v>מק"ט ספק</v>
      </c>
      <c r="AL3" s="25" t="str">
        <f>"מקסימום לפק""ע"</f>
        <v>מקסימום לפק"ע</v>
      </c>
      <c r="AM3" s="25" t="str">
        <f>"משיכה ידנית"</f>
        <v>משיכה ידנית</v>
      </c>
      <c r="AN3" s="25" t="str">
        <f>"משפחה"</f>
        <v>משפחה</v>
      </c>
      <c r="AO3" s="25" t="str">
        <f>"משקל"</f>
        <v>משקל</v>
      </c>
      <c r="AP3" s="25" t="str">
        <f>"נפח"</f>
        <v>נפח</v>
      </c>
      <c r="AQ3" s="25" t="str">
        <f>"סוג עלות יבוא L/S/A"</f>
        <v>סוג עלות יבוא L/S/A</v>
      </c>
      <c r="AR3" s="25" t="str">
        <f>"ספק מועדף"</f>
        <v>ספק מועדף</v>
      </c>
      <c r="AS3" s="25" t="str">
        <f>"עלות יבוא אוויר (%)"</f>
        <v>עלות יבוא אוויר (%)</v>
      </c>
      <c r="AT3" s="25" t="str">
        <f>"עלות יבוא יבשה (%)"</f>
        <v>עלות יבוא יבשה (%)</v>
      </c>
      <c r="AU3" s="25" t="str">
        <f>"עלות יבוא ים (%)"</f>
        <v>עלות יבוא ים (%)</v>
      </c>
      <c r="AV3" s="25" t="str">
        <f>"עלות תקן $"</f>
        <v>עלות תקן $</v>
      </c>
      <c r="AW3" s="25" t="str">
        <f>"עלות תקן ש""ח"</f>
        <v>עלות תקן ש"ח</v>
      </c>
      <c r="AX3" s="25" t="str">
        <f>"פרמטר 10 למוצר"</f>
        <v>פרמטר 10 למוצר</v>
      </c>
      <c r="AY3" s="25" t="str">
        <f>"פרמטר 1 למוצר"</f>
        <v>פרמטר 1 למוצר</v>
      </c>
      <c r="AZ3" s="25" t="str">
        <f>"פרמטר 2 למוצר"</f>
        <v>פרמטר 2 למוצר</v>
      </c>
      <c r="BA3" s="25" t="str">
        <f>"פרמטר 3 למוצר"</f>
        <v>פרמטר 3 למוצר</v>
      </c>
      <c r="BB3" s="25" t="str">
        <f>"פרמטר 4 למוצר"</f>
        <v>פרמטר 4 למוצר</v>
      </c>
      <c r="BC3" s="25" t="str">
        <f>"פרמטר 5 למוצר"</f>
        <v>פרמטר 5 למוצר</v>
      </c>
      <c r="BD3" s="25" t="str">
        <f>"פרמטר 6 למוצר"</f>
        <v>פרמטר 6 למוצר</v>
      </c>
      <c r="BE3" s="25" t="str">
        <f>"פרמטר 7 למוצר"</f>
        <v>פרמטר 7 למוצר</v>
      </c>
      <c r="BF3" s="25" t="str">
        <f>"פרמטר 8 למוצר"</f>
        <v>פרמטר 8 למוצר</v>
      </c>
      <c r="BG3" s="25" t="str">
        <f>"פרמטר 9 למוצר"</f>
        <v>פרמטר 9 למוצר</v>
      </c>
      <c r="BH3" s="25" t="str">
        <f>"קבוצה בפילוג ABC"</f>
        <v>קבוצה בפילוג ABC</v>
      </c>
      <c r="BI3" s="25" t="str">
        <f>"שעור המרה לא קבוע"</f>
        <v>שעור המרה לא קבוע</v>
      </c>
      <c r="BJ3" s="25" t="str">
        <f>"שעור המרת יחידות"</f>
        <v>שעור המרת יחידות</v>
      </c>
      <c r="BK3" s="19" t="str">
        <f>"תאור לועזי"</f>
        <v>תאור לועזי</v>
      </c>
      <c r="BL3" s="18" t="str">
        <f>"תאור מק""ט ספק"</f>
        <v>תאור מק"ט ספק</v>
      </c>
      <c r="BM3" s="18" t="str">
        <f>"תאור משפחה"</f>
        <v>תאור משפחה</v>
      </c>
      <c r="BN3" s="18" t="str">
        <f>"תאריך מחיר אחרון"</f>
        <v>תאריך מחיר אחרון</v>
      </c>
      <c r="BO3" s="18" t="str">
        <f>"תהליך"</f>
        <v>תהליך</v>
      </c>
    </row>
    <row r="4" spans="1:68" x14ac:dyDescent="0.2">
      <c r="A4" s="26" t="str">
        <f>"תו ראשון"</f>
        <v>תו ראשון</v>
      </c>
      <c r="B4" s="27">
        <v>1</v>
      </c>
      <c r="C4" s="74">
        <v>3</v>
      </c>
      <c r="D4" s="27">
        <v>4</v>
      </c>
      <c r="E4" s="27">
        <v>5</v>
      </c>
      <c r="F4" s="27">
        <v>6</v>
      </c>
      <c r="G4" s="27">
        <v>999</v>
      </c>
      <c r="H4" s="27">
        <v>999</v>
      </c>
      <c r="I4" s="27">
        <v>999</v>
      </c>
      <c r="J4" s="27">
        <v>999</v>
      </c>
      <c r="K4" s="27">
        <v>999</v>
      </c>
      <c r="L4" s="27">
        <v>999</v>
      </c>
      <c r="M4" s="27">
        <v>999</v>
      </c>
      <c r="N4" s="27">
        <v>999</v>
      </c>
      <c r="O4" s="27">
        <v>999</v>
      </c>
      <c r="P4" s="27">
        <v>999</v>
      </c>
      <c r="Q4" s="27">
        <v>999</v>
      </c>
      <c r="R4" s="27">
        <v>999</v>
      </c>
      <c r="S4" s="27">
        <v>999</v>
      </c>
      <c r="T4" s="27">
        <v>999</v>
      </c>
      <c r="U4" s="27">
        <v>999</v>
      </c>
      <c r="V4" s="27">
        <v>999</v>
      </c>
      <c r="W4" s="27">
        <v>999</v>
      </c>
      <c r="X4" s="27">
        <v>999</v>
      </c>
      <c r="Y4" s="27">
        <v>999</v>
      </c>
      <c r="Z4" s="27">
        <v>999</v>
      </c>
      <c r="AA4" s="27">
        <v>999</v>
      </c>
      <c r="AB4" s="27">
        <v>999</v>
      </c>
      <c r="AC4" s="27">
        <v>999</v>
      </c>
      <c r="AD4" s="27">
        <v>999</v>
      </c>
      <c r="AE4" s="27">
        <v>999</v>
      </c>
      <c r="AF4" s="27">
        <v>999</v>
      </c>
      <c r="AG4" s="27">
        <v>999</v>
      </c>
      <c r="AH4" s="27">
        <v>999</v>
      </c>
      <c r="AI4" s="27">
        <v>999</v>
      </c>
      <c r="AJ4" s="27">
        <v>999</v>
      </c>
      <c r="AK4" s="27">
        <v>999</v>
      </c>
      <c r="AL4" s="27">
        <v>999</v>
      </c>
      <c r="AM4" s="27">
        <v>999</v>
      </c>
      <c r="AN4" s="27">
        <v>999</v>
      </c>
      <c r="AO4" s="27">
        <v>999</v>
      </c>
      <c r="AP4" s="27">
        <v>999</v>
      </c>
      <c r="AQ4" s="27">
        <v>999</v>
      </c>
      <c r="AR4" s="27">
        <v>999</v>
      </c>
      <c r="AS4" s="27">
        <v>999</v>
      </c>
      <c r="AT4" s="27">
        <v>999</v>
      </c>
      <c r="AU4" s="27">
        <v>999</v>
      </c>
      <c r="AV4" s="27">
        <v>999</v>
      </c>
      <c r="AW4" s="27">
        <v>999</v>
      </c>
      <c r="AX4" s="27">
        <v>999</v>
      </c>
      <c r="AY4" s="27">
        <v>999</v>
      </c>
      <c r="AZ4" s="27">
        <v>999</v>
      </c>
      <c r="BA4" s="27">
        <v>999</v>
      </c>
      <c r="BB4" s="27">
        <v>999</v>
      </c>
      <c r="BC4" s="27">
        <v>999</v>
      </c>
      <c r="BD4" s="27">
        <v>999</v>
      </c>
      <c r="BE4" s="27">
        <v>999</v>
      </c>
      <c r="BF4" s="27">
        <v>999</v>
      </c>
      <c r="BG4" s="27">
        <v>999</v>
      </c>
      <c r="BH4" s="27">
        <v>999</v>
      </c>
      <c r="BI4" s="27">
        <v>999</v>
      </c>
      <c r="BJ4" s="27">
        <v>999</v>
      </c>
      <c r="BK4" s="21">
        <v>999</v>
      </c>
      <c r="BL4" s="20">
        <v>999</v>
      </c>
      <c r="BM4" s="20">
        <v>999</v>
      </c>
      <c r="BN4" s="20">
        <v>999</v>
      </c>
      <c r="BO4" s="20">
        <v>999</v>
      </c>
    </row>
    <row r="5" spans="1:68" x14ac:dyDescent="0.2">
      <c r="A5" s="26" t="str">
        <f>"תו אחרון"</f>
        <v>תו אחרון</v>
      </c>
      <c r="B5" s="27">
        <v>1</v>
      </c>
      <c r="C5" s="74">
        <v>3</v>
      </c>
      <c r="D5" s="27">
        <v>4</v>
      </c>
      <c r="E5" s="27">
        <v>5</v>
      </c>
      <c r="F5" s="27">
        <v>6</v>
      </c>
      <c r="G5" s="27">
        <v>999</v>
      </c>
      <c r="H5" s="27">
        <v>999</v>
      </c>
      <c r="I5" s="27">
        <v>999</v>
      </c>
      <c r="J5" s="27">
        <v>999</v>
      </c>
      <c r="K5" s="27">
        <v>999</v>
      </c>
      <c r="L5" s="27">
        <v>999</v>
      </c>
      <c r="M5" s="27">
        <v>999</v>
      </c>
      <c r="N5" s="27">
        <v>999</v>
      </c>
      <c r="O5" s="27">
        <v>999</v>
      </c>
      <c r="P5" s="27">
        <v>999</v>
      </c>
      <c r="Q5" s="27">
        <v>999</v>
      </c>
      <c r="R5" s="27">
        <v>999</v>
      </c>
      <c r="S5" s="27">
        <v>999</v>
      </c>
      <c r="T5" s="27">
        <v>999</v>
      </c>
      <c r="U5" s="27">
        <v>999</v>
      </c>
      <c r="V5" s="27">
        <v>999</v>
      </c>
      <c r="W5" s="27">
        <v>999</v>
      </c>
      <c r="X5" s="27">
        <v>999</v>
      </c>
      <c r="Y5" s="27">
        <v>999</v>
      </c>
      <c r="Z5" s="27">
        <v>999</v>
      </c>
      <c r="AA5" s="27">
        <v>999</v>
      </c>
      <c r="AB5" s="27">
        <v>999</v>
      </c>
      <c r="AC5" s="27">
        <v>999</v>
      </c>
      <c r="AD5" s="27">
        <v>999</v>
      </c>
      <c r="AE5" s="27">
        <v>999</v>
      </c>
      <c r="AF5" s="27">
        <v>999</v>
      </c>
      <c r="AG5" s="27">
        <v>999</v>
      </c>
      <c r="AH5" s="27">
        <v>999</v>
      </c>
      <c r="AI5" s="27">
        <v>999</v>
      </c>
      <c r="AJ5" s="27">
        <v>999</v>
      </c>
      <c r="AK5" s="27">
        <v>999</v>
      </c>
      <c r="AL5" s="27">
        <v>999</v>
      </c>
      <c r="AM5" s="27">
        <v>999</v>
      </c>
      <c r="AN5" s="27">
        <v>999</v>
      </c>
      <c r="AO5" s="27">
        <v>999</v>
      </c>
      <c r="AP5" s="27">
        <v>999</v>
      </c>
      <c r="AQ5" s="27">
        <v>999</v>
      </c>
      <c r="AR5" s="27">
        <v>999</v>
      </c>
      <c r="AS5" s="27">
        <v>999</v>
      </c>
      <c r="AT5" s="27">
        <v>999</v>
      </c>
      <c r="AU5" s="27">
        <v>999</v>
      </c>
      <c r="AV5" s="27">
        <v>999</v>
      </c>
      <c r="AW5" s="27">
        <v>999</v>
      </c>
      <c r="AX5" s="27">
        <v>999</v>
      </c>
      <c r="AY5" s="27">
        <v>999</v>
      </c>
      <c r="AZ5" s="27">
        <v>999</v>
      </c>
      <c r="BA5" s="27">
        <v>999</v>
      </c>
      <c r="BB5" s="27">
        <v>999</v>
      </c>
      <c r="BC5" s="27">
        <v>999</v>
      </c>
      <c r="BD5" s="27">
        <v>999</v>
      </c>
      <c r="BE5" s="27">
        <v>999</v>
      </c>
      <c r="BF5" s="27">
        <v>999</v>
      </c>
      <c r="BG5" s="27">
        <v>999</v>
      </c>
      <c r="BH5" s="27">
        <v>999</v>
      </c>
      <c r="BI5" s="27">
        <v>999</v>
      </c>
      <c r="BJ5" s="27">
        <v>999</v>
      </c>
      <c r="BK5" s="21">
        <v>999</v>
      </c>
      <c r="BL5" s="20">
        <v>999</v>
      </c>
      <c r="BM5" s="20">
        <v>999</v>
      </c>
      <c r="BN5" s="20">
        <v>999</v>
      </c>
      <c r="BO5" s="20">
        <v>999</v>
      </c>
    </row>
    <row r="6" spans="1:68" x14ac:dyDescent="0.2">
      <c r="A6" s="26" t="str">
        <f>"רוחב"</f>
        <v>רוחב</v>
      </c>
      <c r="B6" s="27">
        <v>1</v>
      </c>
      <c r="C6" s="74">
        <v>1</v>
      </c>
      <c r="D6" s="27">
        <v>1</v>
      </c>
      <c r="E6" s="27">
        <v>1</v>
      </c>
      <c r="F6" s="27">
        <v>1</v>
      </c>
      <c r="G6" s="27">
        <v>1</v>
      </c>
      <c r="H6" s="27">
        <v>1</v>
      </c>
      <c r="I6" s="27">
        <v>1</v>
      </c>
      <c r="J6" s="27">
        <v>1</v>
      </c>
      <c r="K6" s="27">
        <v>1</v>
      </c>
      <c r="L6" s="27">
        <v>1</v>
      </c>
      <c r="M6" s="27">
        <v>1</v>
      </c>
      <c r="N6" s="27">
        <v>1</v>
      </c>
      <c r="O6" s="27">
        <v>1</v>
      </c>
      <c r="P6" s="27">
        <v>1</v>
      </c>
      <c r="Q6" s="27">
        <v>1</v>
      </c>
      <c r="R6" s="27">
        <v>1</v>
      </c>
      <c r="S6" s="27">
        <v>1</v>
      </c>
      <c r="T6" s="27">
        <v>1</v>
      </c>
      <c r="U6" s="27">
        <v>1</v>
      </c>
      <c r="V6" s="27">
        <v>1</v>
      </c>
      <c r="W6" s="27">
        <v>1</v>
      </c>
      <c r="X6" s="27">
        <v>1</v>
      </c>
      <c r="Y6" s="27">
        <v>1</v>
      </c>
      <c r="Z6" s="27">
        <v>1</v>
      </c>
      <c r="AA6" s="27">
        <v>1</v>
      </c>
      <c r="AB6" s="27">
        <v>1</v>
      </c>
      <c r="AC6" s="27">
        <v>1</v>
      </c>
      <c r="AD6" s="27">
        <v>1</v>
      </c>
      <c r="AE6" s="27">
        <v>1</v>
      </c>
      <c r="AF6" s="27">
        <v>1</v>
      </c>
      <c r="AG6" s="27">
        <v>1</v>
      </c>
      <c r="AH6" s="27">
        <v>1</v>
      </c>
      <c r="AI6" s="27">
        <v>1</v>
      </c>
      <c r="AJ6" s="27">
        <v>1</v>
      </c>
      <c r="AK6" s="27">
        <v>1</v>
      </c>
      <c r="AL6" s="27">
        <v>1</v>
      </c>
      <c r="AM6" s="27">
        <v>1</v>
      </c>
      <c r="AN6" s="27">
        <v>1</v>
      </c>
      <c r="AO6" s="27">
        <v>1</v>
      </c>
      <c r="AP6" s="27">
        <v>1</v>
      </c>
      <c r="AQ6" s="27">
        <v>1</v>
      </c>
      <c r="AR6" s="27">
        <v>1</v>
      </c>
      <c r="AS6" s="27">
        <v>1</v>
      </c>
      <c r="AT6" s="27">
        <v>1</v>
      </c>
      <c r="AU6" s="27">
        <v>1</v>
      </c>
      <c r="AV6" s="27">
        <v>1</v>
      </c>
      <c r="AW6" s="27">
        <v>1</v>
      </c>
      <c r="AX6" s="27">
        <v>1</v>
      </c>
      <c r="AY6" s="27">
        <v>1</v>
      </c>
      <c r="AZ6" s="27">
        <v>1</v>
      </c>
      <c r="BA6" s="27">
        <v>1</v>
      </c>
      <c r="BB6" s="27">
        <v>1</v>
      </c>
      <c r="BC6" s="27">
        <v>1</v>
      </c>
      <c r="BD6" s="27">
        <v>1</v>
      </c>
      <c r="BE6" s="27">
        <v>1</v>
      </c>
      <c r="BF6" s="27">
        <v>1</v>
      </c>
      <c r="BG6" s="27">
        <v>1</v>
      </c>
      <c r="BH6" s="27">
        <v>1</v>
      </c>
      <c r="BI6" s="27">
        <v>1</v>
      </c>
      <c r="BJ6" s="27">
        <v>1</v>
      </c>
      <c r="BK6" s="21">
        <v>1</v>
      </c>
      <c r="BL6" s="20">
        <v>1</v>
      </c>
      <c r="BM6" s="20">
        <v>1</v>
      </c>
      <c r="BN6" s="20">
        <v>1</v>
      </c>
      <c r="BO6" s="20">
        <v>1</v>
      </c>
    </row>
    <row r="7" spans="1:68" x14ac:dyDescent="0.2">
      <c r="A7" s="26" t="str">
        <f>"היפוך תווים?"</f>
        <v>היפוך תווים?</v>
      </c>
      <c r="B7" s="27"/>
      <c r="C7" s="74" t="str">
        <f>"Y"</f>
        <v>Y</v>
      </c>
      <c r="D7" s="27" t="str">
        <f>"Y"</f>
        <v>Y</v>
      </c>
      <c r="E7" s="27"/>
      <c r="F7" s="27"/>
      <c r="G7" s="27"/>
      <c r="H7" s="27" t="str">
        <f t="shared" ref="H7:M7" si="0">"Y"</f>
        <v>Y</v>
      </c>
      <c r="I7" s="27" t="str">
        <f t="shared" si="0"/>
        <v>Y</v>
      </c>
      <c r="J7" s="27" t="str">
        <f t="shared" si="0"/>
        <v>Y</v>
      </c>
      <c r="K7" s="27" t="str">
        <f t="shared" si="0"/>
        <v>Y</v>
      </c>
      <c r="L7" s="27" t="str">
        <f t="shared" si="0"/>
        <v>Y</v>
      </c>
      <c r="M7" s="27" t="str">
        <f t="shared" si="0"/>
        <v>Y</v>
      </c>
      <c r="N7" s="27"/>
      <c r="O7" s="27"/>
      <c r="P7" s="27"/>
      <c r="Q7" s="27"/>
      <c r="R7" s="27"/>
      <c r="S7" s="27"/>
      <c r="T7" s="27"/>
      <c r="U7" s="27"/>
      <c r="V7" s="27" t="str">
        <f>"Y"</f>
        <v>Y</v>
      </c>
      <c r="W7" s="27"/>
      <c r="X7" s="27" t="str">
        <f>"Y"</f>
        <v>Y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 t="str">
        <f>"Y"</f>
        <v>Y</v>
      </c>
      <c r="AO7" s="27"/>
      <c r="AP7" s="27"/>
      <c r="AQ7" s="27"/>
      <c r="AR7" s="27"/>
      <c r="AS7" s="27"/>
      <c r="AT7" s="27"/>
      <c r="AU7" s="27"/>
      <c r="AV7" s="27"/>
      <c r="AW7" s="27"/>
      <c r="AX7" s="27" t="str">
        <f>"Y"</f>
        <v>Y</v>
      </c>
      <c r="AY7" s="27"/>
      <c r="AZ7" s="27" t="str">
        <f t="shared" ref="AZ7:BG7" si="1">"Y"</f>
        <v>Y</v>
      </c>
      <c r="BA7" s="27" t="str">
        <f t="shared" si="1"/>
        <v>Y</v>
      </c>
      <c r="BB7" s="27" t="str">
        <f t="shared" si="1"/>
        <v>Y</v>
      </c>
      <c r="BC7" s="27" t="str">
        <f t="shared" si="1"/>
        <v>Y</v>
      </c>
      <c r="BD7" s="27" t="str">
        <f t="shared" si="1"/>
        <v>Y</v>
      </c>
      <c r="BE7" s="27" t="str">
        <f t="shared" si="1"/>
        <v>Y</v>
      </c>
      <c r="BF7" s="27" t="str">
        <f t="shared" si="1"/>
        <v>Y</v>
      </c>
      <c r="BG7" s="27" t="str">
        <f t="shared" si="1"/>
        <v>Y</v>
      </c>
      <c r="BH7" s="27"/>
      <c r="BI7" s="27"/>
      <c r="BJ7" s="27"/>
      <c r="BK7" s="21"/>
      <c r="BL7" s="20" t="str">
        <f>"Y"</f>
        <v>Y</v>
      </c>
      <c r="BM7" s="20" t="str">
        <f>"Y"</f>
        <v>Y</v>
      </c>
      <c r="BN7" s="20"/>
      <c r="BO7" s="20"/>
    </row>
    <row r="8" spans="1:68" x14ac:dyDescent="0.2">
      <c r="A8" s="26" t="str">
        <f>"פורמט התאריך הנקלט"</f>
        <v>פורמט התאריך הנקלט</v>
      </c>
      <c r="B8" s="27"/>
      <c r="C8" s="74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1"/>
      <c r="BL8" s="20"/>
      <c r="BM8" s="20"/>
      <c r="BN8" s="20"/>
      <c r="BO8" s="20"/>
    </row>
    <row r="9" spans="1:68" x14ac:dyDescent="0.2">
      <c r="A9" s="26" t="str">
        <f>"רוחב מירבי"</f>
        <v>רוחב מירבי</v>
      </c>
      <c r="B9" s="27">
        <v>22</v>
      </c>
      <c r="C9" s="74">
        <v>48</v>
      </c>
      <c r="D9" s="27">
        <v>12</v>
      </c>
      <c r="E9" s="27">
        <v>1</v>
      </c>
      <c r="F9" s="27">
        <v>1</v>
      </c>
      <c r="G9" s="27">
        <v>14</v>
      </c>
      <c r="H9" s="27">
        <v>48</v>
      </c>
      <c r="I9" s="27">
        <v>48</v>
      </c>
      <c r="J9" s="27">
        <v>48</v>
      </c>
      <c r="K9" s="27">
        <v>48</v>
      </c>
      <c r="L9" s="27">
        <v>48</v>
      </c>
      <c r="M9" s="27">
        <v>48</v>
      </c>
      <c r="N9" s="27">
        <v>48</v>
      </c>
      <c r="O9" s="27">
        <v>48</v>
      </c>
      <c r="P9" s="27">
        <v>48</v>
      </c>
      <c r="Q9" s="27">
        <v>8</v>
      </c>
      <c r="R9" s="27">
        <v>6</v>
      </c>
      <c r="S9" s="27">
        <v>6</v>
      </c>
      <c r="T9" s="27">
        <v>3</v>
      </c>
      <c r="U9" s="27">
        <v>1</v>
      </c>
      <c r="V9" s="27">
        <v>3</v>
      </c>
      <c r="W9" s="27">
        <v>3</v>
      </c>
      <c r="X9" s="27">
        <v>3</v>
      </c>
      <c r="Y9" s="27">
        <v>16</v>
      </c>
      <c r="Z9" s="27">
        <v>10</v>
      </c>
      <c r="AA9" s="27">
        <v>13</v>
      </c>
      <c r="AB9" s="27">
        <v>16</v>
      </c>
      <c r="AC9" s="27">
        <v>4</v>
      </c>
      <c r="AD9" s="27">
        <v>3</v>
      </c>
      <c r="AE9" s="27">
        <v>3</v>
      </c>
      <c r="AF9" s="27">
        <v>17</v>
      </c>
      <c r="AG9" s="27">
        <v>17</v>
      </c>
      <c r="AH9" s="27">
        <v>1</v>
      </c>
      <c r="AI9" s="27">
        <v>1</v>
      </c>
      <c r="AJ9" s="27">
        <v>1</v>
      </c>
      <c r="AK9" s="27">
        <v>30</v>
      </c>
      <c r="AL9" s="27">
        <v>16</v>
      </c>
      <c r="AM9" s="27">
        <v>1</v>
      </c>
      <c r="AN9" s="27">
        <v>8</v>
      </c>
      <c r="AO9" s="27">
        <v>13</v>
      </c>
      <c r="AP9" s="27">
        <v>16</v>
      </c>
      <c r="AQ9" s="27">
        <v>1</v>
      </c>
      <c r="AR9" s="27">
        <v>16</v>
      </c>
      <c r="AS9" s="27">
        <v>6</v>
      </c>
      <c r="AT9" s="27">
        <v>6</v>
      </c>
      <c r="AU9" s="27">
        <v>6</v>
      </c>
      <c r="AV9" s="27">
        <v>16</v>
      </c>
      <c r="AW9" s="27">
        <v>16</v>
      </c>
      <c r="AX9" s="27">
        <v>20</v>
      </c>
      <c r="AY9" s="27">
        <v>48</v>
      </c>
      <c r="AZ9" s="27">
        <v>20</v>
      </c>
      <c r="BA9" s="27">
        <v>20</v>
      </c>
      <c r="BB9" s="27">
        <v>20</v>
      </c>
      <c r="BC9" s="27">
        <v>20</v>
      </c>
      <c r="BD9" s="27">
        <v>20</v>
      </c>
      <c r="BE9" s="27">
        <v>20</v>
      </c>
      <c r="BF9" s="27">
        <v>20</v>
      </c>
      <c r="BG9" s="27">
        <v>20</v>
      </c>
      <c r="BH9" s="27">
        <v>1</v>
      </c>
      <c r="BI9" s="27">
        <v>1</v>
      </c>
      <c r="BJ9" s="27">
        <v>14</v>
      </c>
      <c r="BK9" s="21">
        <v>48</v>
      </c>
      <c r="BL9" s="20">
        <v>32</v>
      </c>
      <c r="BM9" s="20">
        <v>32</v>
      </c>
      <c r="BN9" s="20">
        <v>8</v>
      </c>
      <c r="BO9" s="20">
        <v>6</v>
      </c>
    </row>
    <row r="10" spans="1:68" x14ac:dyDescent="0.2">
      <c r="A10" s="26" t="str">
        <f>"טיפוס במשטח"</f>
        <v>טיפוס במשטח</v>
      </c>
      <c r="B10" s="27" t="str">
        <f>"CHAR"</f>
        <v>CHAR</v>
      </c>
      <c r="C10" s="74" t="str">
        <f>"RCHAR"</f>
        <v>RCHAR</v>
      </c>
      <c r="D10" s="27" t="str">
        <f>"RCHAR"</f>
        <v>RCHAR</v>
      </c>
      <c r="E10" s="27" t="str">
        <f>"CHAR"</f>
        <v>CHAR</v>
      </c>
      <c r="F10" s="27" t="str">
        <f>"CHAR"</f>
        <v>CHAR</v>
      </c>
      <c r="G10" s="27" t="str">
        <f>"CHAR"</f>
        <v>CHAR</v>
      </c>
      <c r="H10" s="27" t="str">
        <f t="shared" ref="H10:M10" si="2">"RCHAR"</f>
        <v>RCHAR</v>
      </c>
      <c r="I10" s="27" t="str">
        <f t="shared" si="2"/>
        <v>RCHAR</v>
      </c>
      <c r="J10" s="27" t="str">
        <f t="shared" si="2"/>
        <v>RCHAR</v>
      </c>
      <c r="K10" s="27" t="str">
        <f t="shared" si="2"/>
        <v>RCHAR</v>
      </c>
      <c r="L10" s="27" t="str">
        <f t="shared" si="2"/>
        <v>RCHAR</v>
      </c>
      <c r="M10" s="27" t="str">
        <f t="shared" si="2"/>
        <v>RCHAR</v>
      </c>
      <c r="N10" s="27" t="str">
        <f>"CHAR"</f>
        <v>CHAR</v>
      </c>
      <c r="O10" s="27" t="str">
        <f>"CHAR"</f>
        <v>CHAR</v>
      </c>
      <c r="P10" s="27" t="str">
        <f>"CHAR"</f>
        <v>CHAR</v>
      </c>
      <c r="Q10" s="27" t="str">
        <f>"INT"</f>
        <v>INT</v>
      </c>
      <c r="R10" s="27" t="str">
        <f>"INT"</f>
        <v>INT</v>
      </c>
      <c r="S10" s="27" t="str">
        <f>"INT"</f>
        <v>INT</v>
      </c>
      <c r="T10" s="27" t="str">
        <f>"INT"</f>
        <v>INT</v>
      </c>
      <c r="U10" s="27" t="str">
        <f>"CHAR"</f>
        <v>CHAR</v>
      </c>
      <c r="V10" s="27" t="str">
        <f>"RCHAR"</f>
        <v>RCHAR</v>
      </c>
      <c r="W10" s="27" t="str">
        <f>"RCHAR"</f>
        <v>RCHAR</v>
      </c>
      <c r="X10" s="27" t="str">
        <f>"RCHAR"</f>
        <v>RCHAR</v>
      </c>
      <c r="Y10" s="27" t="str">
        <f>"REAL"</f>
        <v>REAL</v>
      </c>
      <c r="Z10" s="27" t="str">
        <f>"CHAR"</f>
        <v>CHAR</v>
      </c>
      <c r="AA10" s="27" t="str">
        <f>"REAL"</f>
        <v>REAL</v>
      </c>
      <c r="AB10" s="27" t="str">
        <f>"REAL"</f>
        <v>REAL</v>
      </c>
      <c r="AC10" s="27" t="str">
        <f>"CHAR"</f>
        <v>CHAR</v>
      </c>
      <c r="AD10" s="27" t="str">
        <f>"CHAR"</f>
        <v>CHAR</v>
      </c>
      <c r="AE10" s="27" t="str">
        <f>"CHAR"</f>
        <v>CHAR</v>
      </c>
      <c r="AF10" s="27" t="str">
        <f>"INT"</f>
        <v>INT</v>
      </c>
      <c r="AG10" s="27" t="str">
        <f>"INT"</f>
        <v>INT</v>
      </c>
      <c r="AH10" s="27" t="str">
        <f>"CHAR"</f>
        <v>CHAR</v>
      </c>
      <c r="AI10" s="27" t="str">
        <f>"CHAR"</f>
        <v>CHAR</v>
      </c>
      <c r="AJ10" s="27" t="str">
        <f>"CHAR"</f>
        <v>CHAR</v>
      </c>
      <c r="AK10" s="27" t="str">
        <f>"CHAR"</f>
        <v>CHAR</v>
      </c>
      <c r="AL10" s="27" t="str">
        <f>"REAL"</f>
        <v>REAL</v>
      </c>
      <c r="AM10" s="27" t="str">
        <f>"CHAR"</f>
        <v>CHAR</v>
      </c>
      <c r="AN10" s="27" t="str">
        <f>"CHAR"</f>
        <v>CHAR</v>
      </c>
      <c r="AO10" s="27" t="str">
        <f>"REAL"</f>
        <v>REAL</v>
      </c>
      <c r="AP10" s="27" t="str">
        <f>"REAL"</f>
        <v>REAL</v>
      </c>
      <c r="AQ10" s="27" t="str">
        <f>"CHAR"</f>
        <v>CHAR</v>
      </c>
      <c r="AR10" s="27" t="str">
        <f>"CHAR"</f>
        <v>CHAR</v>
      </c>
      <c r="AS10" s="27" t="str">
        <f>"REAL"</f>
        <v>REAL</v>
      </c>
      <c r="AT10" s="27" t="str">
        <f>"REAL"</f>
        <v>REAL</v>
      </c>
      <c r="AU10" s="27" t="str">
        <f>"REAL"</f>
        <v>REAL</v>
      </c>
      <c r="AV10" s="27" t="str">
        <f>"REAL"</f>
        <v>REAL</v>
      </c>
      <c r="AW10" s="27" t="str">
        <f>"REAL"</f>
        <v>REAL</v>
      </c>
      <c r="AX10" s="27" t="str">
        <f t="shared" ref="AX10:BG10" si="3">"RCHAR"</f>
        <v>RCHAR</v>
      </c>
      <c r="AY10" s="27" t="str">
        <f t="shared" si="3"/>
        <v>RCHAR</v>
      </c>
      <c r="AZ10" s="27" t="str">
        <f t="shared" si="3"/>
        <v>RCHAR</v>
      </c>
      <c r="BA10" s="27" t="str">
        <f t="shared" si="3"/>
        <v>RCHAR</v>
      </c>
      <c r="BB10" s="27" t="str">
        <f t="shared" si="3"/>
        <v>RCHAR</v>
      </c>
      <c r="BC10" s="27" t="str">
        <f t="shared" si="3"/>
        <v>RCHAR</v>
      </c>
      <c r="BD10" s="27" t="str">
        <f t="shared" si="3"/>
        <v>RCHAR</v>
      </c>
      <c r="BE10" s="27" t="str">
        <f t="shared" si="3"/>
        <v>RCHAR</v>
      </c>
      <c r="BF10" s="27" t="str">
        <f t="shared" si="3"/>
        <v>RCHAR</v>
      </c>
      <c r="BG10" s="27" t="str">
        <f t="shared" si="3"/>
        <v>RCHAR</v>
      </c>
      <c r="BH10" s="27" t="str">
        <f>"CHAR"</f>
        <v>CHAR</v>
      </c>
      <c r="BI10" s="27" t="str">
        <f>"CHAR"</f>
        <v>CHAR</v>
      </c>
      <c r="BJ10" s="27" t="str">
        <f>"REAL"</f>
        <v>REAL</v>
      </c>
      <c r="BK10" s="21" t="str">
        <f>"CHAR"</f>
        <v>CHAR</v>
      </c>
      <c r="BL10" s="20" t="str">
        <f>"RCHAR"</f>
        <v>RCHAR</v>
      </c>
      <c r="BM10" s="20" t="str">
        <f>"RCHAR"</f>
        <v>RCHAR</v>
      </c>
      <c r="BN10" s="20" t="str">
        <f>"DATE"</f>
        <v>DATE</v>
      </c>
      <c r="BO10" s="20" t="str">
        <f>"CHAR"</f>
        <v>CHAR</v>
      </c>
    </row>
    <row r="11" spans="1:68" x14ac:dyDescent="0.2">
      <c r="A11" s="26" t="str">
        <f>"לא פעיל?"</f>
        <v>לא פעיל?</v>
      </c>
      <c r="B11" s="27"/>
      <c r="C11" s="74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1"/>
      <c r="BL11" s="20"/>
      <c r="BM11" s="20"/>
      <c r="BN11" s="20"/>
      <c r="BO11" s="20"/>
    </row>
    <row r="12" spans="1:68" x14ac:dyDescent="0.2">
      <c r="A12" s="26" t="str">
        <f>"כותרת (שפה נוכחית)"</f>
        <v>כותרת (שפה נוכחית)</v>
      </c>
      <c r="B12" s="27" t="str">
        <f>"מק""ט"</f>
        <v>מק"ט</v>
      </c>
      <c r="C12" s="74" t="str">
        <f>"תאור מוצר"</f>
        <v>תאור מוצר</v>
      </c>
      <c r="D12" s="27" t="str">
        <f>"סטטוס"</f>
        <v>סטטוס</v>
      </c>
      <c r="E12" s="27" t="str">
        <f>"טיפוס P/R/O"</f>
        <v>טיפוס P/R/O</v>
      </c>
      <c r="F12" s="27" t="str">
        <f>"מנוהל מלאי?"</f>
        <v>מנוהל מלאי?</v>
      </c>
      <c r="G12" s="27" t="str">
        <f>"איתור"</f>
        <v>איתור</v>
      </c>
      <c r="H12" s="27" t="str">
        <f>"המשך תיאור 1"</f>
        <v>המשך תיאור 1</v>
      </c>
      <c r="I12" s="27" t="str">
        <f>"המשך תיאור 2"</f>
        <v>המשך תיאור 2</v>
      </c>
      <c r="J12" s="27" t="str">
        <f>"המשך תיאור 3"</f>
        <v>המשך תיאור 3</v>
      </c>
      <c r="K12" s="27" t="str">
        <f>"המשך תיאור 4"</f>
        <v>המשך תיאור 4</v>
      </c>
      <c r="L12" s="27" t="str">
        <f>"המשך תיאור 5"</f>
        <v>המשך תיאור 5</v>
      </c>
      <c r="M12" s="27" t="str">
        <f>"המשך תיאור 6"</f>
        <v>המשך תיאור 6</v>
      </c>
      <c r="N12" s="27" t="str">
        <f>"המשך תיאור לועזי 1"</f>
        <v>המשך תיאור לועזי 1</v>
      </c>
      <c r="O12" s="27" t="str">
        <f>"המשך תיאור לועזי 2"</f>
        <v>המשך תיאור לועזי 2</v>
      </c>
      <c r="P12" s="27" t="str">
        <f>"המשך תיאור לועזי 3"</f>
        <v>המשך תיאור לועזי 3</v>
      </c>
      <c r="Q12" s="27" t="str">
        <f>"זמן אספקה רכש"</f>
        <v>זמן אספקה רכש</v>
      </c>
      <c r="R12" s="27" t="str">
        <f>"זמן בדיקות"</f>
        <v>זמן בדיקות</v>
      </c>
      <c r="S12" s="27" t="str">
        <f>"זמן הובלה"</f>
        <v>זמן הובלה</v>
      </c>
      <c r="T12" s="27" t="str">
        <f>"טווח קיבוץ"</f>
        <v>טווח קיבוץ</v>
      </c>
      <c r="U12" s="27" t="str">
        <f>"טיפוס מדיניות עיתוד"</f>
        <v>טיפוס מדיניות עיתוד</v>
      </c>
      <c r="V12" s="27" t="str">
        <f>"יח' מפעל"</f>
        <v>יח' מפעל</v>
      </c>
      <c r="W12" s="27" t="str">
        <f>"יח' משקל"</f>
        <v>יח' משקל</v>
      </c>
      <c r="X12" s="27" t="str">
        <f>"יח' קניה/מכירה"</f>
        <v>יח' קניה/מכירה</v>
      </c>
      <c r="Y12" s="27" t="str">
        <f>"מדרגת הזמנה/פק""ע"</f>
        <v>מדרגת הזמנה/פק"ע</v>
      </c>
      <c r="Z12" s="27" t="str">
        <f>"מהדורה"</f>
        <v>מהדורה</v>
      </c>
      <c r="AA12" s="27" t="str">
        <f>"מחיר אחרון"</f>
        <v>מחיר אחרון</v>
      </c>
      <c r="AB12" s="27" t="str">
        <f>"מחיר בסיס"</f>
        <v>מחיר בסיס</v>
      </c>
      <c r="AC12" s="27" t="str">
        <f>"מחסן"</f>
        <v>מחסן</v>
      </c>
      <c r="AD12" s="27" t="str">
        <f>"מטבע בסיס"</f>
        <v>מטבע בסיס</v>
      </c>
      <c r="AE12" s="27" t="str">
        <f>"מטבע מחיר אחרון"</f>
        <v>מטבע מחיר אחרון</v>
      </c>
      <c r="AF12" s="27" t="str">
        <f>"מינימום להזמנה"</f>
        <v>מינימום להזמנה</v>
      </c>
      <c r="AG12" s="27" t="str">
        <f>"מלאי בטחון"</f>
        <v>מלאי בטחון</v>
      </c>
      <c r="AH12" s="27" t="str">
        <f>"מנוהל מס' סידוריים?"</f>
        <v>מנוהל מס' סידוריים?</v>
      </c>
      <c r="AI12" s="27" t="str">
        <f>"מנופק לרשימות זווד"</f>
        <v>מנופק לרשימות זווד</v>
      </c>
      <c r="AJ12" s="27" t="str">
        <f>"מע""מ?"</f>
        <v>מע"מ?</v>
      </c>
      <c r="AK12" s="27" t="str">
        <f>"מק""ט ספק"</f>
        <v>מק"ט ספק</v>
      </c>
      <c r="AL12" s="27" t="str">
        <f>"מקסימום לפק""ע"</f>
        <v>מקסימום לפק"ע</v>
      </c>
      <c r="AM12" s="27" t="str">
        <f>"משיכה ידנית"</f>
        <v>משיכה ידנית</v>
      </c>
      <c r="AN12" s="27" t="str">
        <f>"משפחה"</f>
        <v>משפחה</v>
      </c>
      <c r="AO12" s="27" t="str">
        <f>"משקל"</f>
        <v>משקל</v>
      </c>
      <c r="AP12" s="27" t="str">
        <f>"נפח"</f>
        <v>נפח</v>
      </c>
      <c r="AQ12" s="27" t="str">
        <f>"סוג עלות יבוא L/S/A"</f>
        <v>סוג עלות יבוא L/S/A</v>
      </c>
      <c r="AR12" s="27" t="str">
        <f>"ספק מועדף"</f>
        <v>ספק מועדף</v>
      </c>
      <c r="AS12" s="27" t="str">
        <f>"עלות יבוא אוויר (%)"</f>
        <v>עלות יבוא אוויר (%)</v>
      </c>
      <c r="AT12" s="27" t="str">
        <f>"עלות יבוא יבשה (%)"</f>
        <v>עלות יבוא יבשה (%)</v>
      </c>
      <c r="AU12" s="27" t="str">
        <f>"עלות יבוא ים (%)"</f>
        <v>עלות יבוא ים (%)</v>
      </c>
      <c r="AV12" s="27" t="str">
        <f>"עלות תקן $"</f>
        <v>עלות תקן $</v>
      </c>
      <c r="AW12" s="27" t="str">
        <f>"עלות תקן ש""ח"</f>
        <v>עלות תקן ש"ח</v>
      </c>
      <c r="AX12" s="27" t="str">
        <f>"פרמטר 10 למוצר"</f>
        <v>פרמטר 10 למוצר</v>
      </c>
      <c r="AY12" s="27" t="str">
        <f>"פרמטר 1 למוצר"</f>
        <v>פרמטר 1 למוצר</v>
      </c>
      <c r="AZ12" s="27" t="str">
        <f>"פרמטר 2 למוצר"</f>
        <v>פרמטר 2 למוצר</v>
      </c>
      <c r="BA12" s="27" t="str">
        <f>"פרמטר 3 למוצר"</f>
        <v>פרמטר 3 למוצר</v>
      </c>
      <c r="BB12" s="27" t="str">
        <f>"פרמטר 4 למוצר"</f>
        <v>פרמטר 4 למוצר</v>
      </c>
      <c r="BC12" s="27" t="str">
        <f>"פרמטר 5 למוצר"</f>
        <v>פרמטר 5 למוצר</v>
      </c>
      <c r="BD12" s="27" t="str">
        <f>"פרמטר 6 למוצר"</f>
        <v>פרמטר 6 למוצר</v>
      </c>
      <c r="BE12" s="27" t="str">
        <f>"פרמטר 7 למוצר"</f>
        <v>פרמטר 7 למוצר</v>
      </c>
      <c r="BF12" s="27" t="str">
        <f>"פרמטר 8 למוצר"</f>
        <v>פרמטר 8 למוצר</v>
      </c>
      <c r="BG12" s="27" t="str">
        <f>"פרמטר 9 למוצר"</f>
        <v>פרמטר 9 למוצר</v>
      </c>
      <c r="BH12" s="27" t="str">
        <f>"קבוצה בפילוג ABC"</f>
        <v>קבוצה בפילוג ABC</v>
      </c>
      <c r="BI12" s="27" t="str">
        <f>"שעור המרה לא קבוע"</f>
        <v>שעור המרה לא קבוע</v>
      </c>
      <c r="BJ12" s="27" t="str">
        <f>"שעור המרת יחידות"</f>
        <v>שעור המרת יחידות</v>
      </c>
      <c r="BK12" s="21" t="str">
        <f>"תאור לועזי"</f>
        <v>תאור לועזי</v>
      </c>
      <c r="BL12" s="20" t="str">
        <f>"תאור מק""ט ספק"</f>
        <v>תאור מק"ט ספק</v>
      </c>
      <c r="BM12" s="20" t="str">
        <f>"תאור משפחה"</f>
        <v>תאור משפחה</v>
      </c>
      <c r="BN12" s="20" t="str">
        <f>"תאריך מחיר אחרון"</f>
        <v>תאריך מחיר אחרון</v>
      </c>
      <c r="BO12" s="20" t="str">
        <f>"תהליך"</f>
        <v>תהליך</v>
      </c>
    </row>
    <row r="13" spans="1:68" ht="85.5" x14ac:dyDescent="0.2">
      <c r="A13" s="28" t="s">
        <v>20</v>
      </c>
      <c r="B13" s="27"/>
      <c r="C13" s="74"/>
      <c r="D13" s="75" t="s">
        <v>34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76" t="s">
        <v>49</v>
      </c>
      <c r="W13" s="27"/>
      <c r="X13" s="76" t="s">
        <v>49</v>
      </c>
      <c r="Y13" s="27"/>
      <c r="Z13" s="27"/>
      <c r="AA13" s="27"/>
      <c r="AB13" s="27"/>
      <c r="AC13" s="27"/>
      <c r="AD13" s="75" t="s">
        <v>37</v>
      </c>
      <c r="AE13" s="75" t="s">
        <v>37</v>
      </c>
      <c r="AF13" s="27"/>
      <c r="AG13" s="27"/>
      <c r="AH13" s="27"/>
      <c r="AI13" s="27"/>
      <c r="AJ13" s="27"/>
      <c r="AK13" s="27"/>
      <c r="AL13" s="27"/>
      <c r="AM13" s="27"/>
      <c r="AN13" s="77" t="s">
        <v>48</v>
      </c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9" t="s">
        <v>42</v>
      </c>
      <c r="BJ13" s="29" t="s">
        <v>42</v>
      </c>
      <c r="BK13" s="21"/>
      <c r="BL13" s="20"/>
      <c r="BM13" s="20"/>
      <c r="BN13" s="20"/>
      <c r="BO13" s="20"/>
      <c r="BP13" s="38" t="s">
        <v>65</v>
      </c>
    </row>
    <row r="14" spans="1:68" x14ac:dyDescent="0.2">
      <c r="A14" s="30" t="s">
        <v>38</v>
      </c>
      <c r="B14" s="54" t="str">
        <f>"150010514"</f>
        <v>150010514</v>
      </c>
      <c r="C14" s="54" t="str">
        <f>"מוגן מים 3 מודול PLANA-"</f>
        <v>מוגן מים 3 מודול PLANA-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78" t="s">
        <v>422</v>
      </c>
      <c r="W14" s="32" t="str">
        <f t="shared" ref="W14:W29" si="4">"יח'"</f>
        <v>יח'</v>
      </c>
      <c r="X14" s="78" t="s">
        <v>422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32" t="str">
        <f t="shared" ref="AN14:AN38" si="5">"070"</f>
        <v>070</v>
      </c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50"/>
      <c r="BJ14" s="27"/>
      <c r="BP14"/>
    </row>
    <row r="15" spans="1:68" x14ac:dyDescent="0.2">
      <c r="B15" s="54" t="str">
        <f>"150011290"</f>
        <v>150011290</v>
      </c>
      <c r="C15" s="54" t="str">
        <f>"נורת ניאון אדומה 220"</f>
        <v>נורת ניאון אדומה 220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 t="s">
        <v>422</v>
      </c>
      <c r="W15" s="32" t="str">
        <f t="shared" si="4"/>
        <v>יח'</v>
      </c>
      <c r="X15" s="78" t="s">
        <v>422</v>
      </c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32" t="str">
        <f t="shared" si="5"/>
        <v>070</v>
      </c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P15"/>
    </row>
    <row r="16" spans="1:68" x14ac:dyDescent="0.2">
      <c r="B16" s="54" t="str">
        <f>"150020002"</f>
        <v>150020002</v>
      </c>
      <c r="C16" s="54" t="str">
        <f>"שקע כח ישראלי NEVE-"</f>
        <v>שקע כח ישראלי NEVE-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 t="s">
        <v>422</v>
      </c>
      <c r="W16" s="32" t="str">
        <f t="shared" si="4"/>
        <v>יח'</v>
      </c>
      <c r="X16" s="78" t="s">
        <v>422</v>
      </c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32" t="str">
        <f t="shared" si="5"/>
        <v>070</v>
      </c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P16"/>
    </row>
    <row r="17" spans="2:68" x14ac:dyDescent="0.2">
      <c r="B17" s="54" t="str">
        <f>"150020004"</f>
        <v>150020004</v>
      </c>
      <c r="C17" s="54" t="str">
        <f>"שקע טלפון NEVE-"</f>
        <v>שקע טלפון NEVE-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 t="s">
        <v>422</v>
      </c>
      <c r="W17" s="32" t="str">
        <f t="shared" si="4"/>
        <v>יח'</v>
      </c>
      <c r="X17" s="78" t="s">
        <v>422</v>
      </c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32" t="str">
        <f t="shared" si="5"/>
        <v>070</v>
      </c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P17"/>
    </row>
    <row r="18" spans="2:68" x14ac:dyDescent="0.2">
      <c r="B18" s="54" t="str">
        <f>"150020014"</f>
        <v>150020014</v>
      </c>
      <c r="C18" s="54" t="str">
        <f>"דמי NEVE-"</f>
        <v>דמי NEVE-</v>
      </c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 t="s">
        <v>422</v>
      </c>
      <c r="W18" s="32" t="str">
        <f t="shared" si="4"/>
        <v>יח'</v>
      </c>
      <c r="X18" s="78" t="s">
        <v>422</v>
      </c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32" t="str">
        <f t="shared" si="5"/>
        <v>070</v>
      </c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P18"/>
    </row>
    <row r="19" spans="2:68" x14ac:dyDescent="0.2">
      <c r="B19" s="54" t="str">
        <f>"150020023"</f>
        <v>150020023</v>
      </c>
      <c r="C19" s="54" t="str">
        <f>"לחצן מואר NEVE-"</f>
        <v>לחצן מואר NEVE-</v>
      </c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 t="s">
        <v>422</v>
      </c>
      <c r="W19" s="32" t="str">
        <f t="shared" si="4"/>
        <v>יח'</v>
      </c>
      <c r="X19" s="78" t="s">
        <v>422</v>
      </c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32" t="str">
        <f t="shared" si="5"/>
        <v>070</v>
      </c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P19"/>
    </row>
    <row r="20" spans="2:68" x14ac:dyDescent="0.2">
      <c r="B20" s="54" t="str">
        <f>"150020024"</f>
        <v>150020024</v>
      </c>
      <c r="C20" s="54" t="str">
        <f>"לחצן רחב 2 .NEVE-"</f>
        <v>לחצן רחב 2 .NEVE-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 t="s">
        <v>422</v>
      </c>
      <c r="W20" s="32" t="str">
        <f t="shared" si="4"/>
        <v>יח'</v>
      </c>
      <c r="X20" s="78" t="s">
        <v>422</v>
      </c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32" t="str">
        <f t="shared" si="5"/>
        <v>070</v>
      </c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P20"/>
    </row>
    <row r="21" spans="2:68" x14ac:dyDescent="0.2">
      <c r="B21" s="54" t="str">
        <f>"150020029"</f>
        <v>150020029</v>
      </c>
      <c r="C21" s="54" t="str">
        <f>"מסגרת 1 מודול NEVE-"</f>
        <v>מסגרת 1 מודול NEVE-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 t="s">
        <v>422</v>
      </c>
      <c r="W21" s="32" t="str">
        <f t="shared" si="4"/>
        <v>יח'</v>
      </c>
      <c r="X21" s="78" t="s">
        <v>422</v>
      </c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32" t="str">
        <f t="shared" si="5"/>
        <v>070</v>
      </c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P21"/>
    </row>
    <row r="22" spans="2:68" x14ac:dyDescent="0.2">
      <c r="B22" s="54" t="str">
        <f>"150020036"</f>
        <v>150020036</v>
      </c>
      <c r="C22" s="54" t="str">
        <f>"מסגרת 2 מודול NEVE-"</f>
        <v>מסגרת 2 מודול NEVE-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 t="s">
        <v>422</v>
      </c>
      <c r="W22" s="32" t="str">
        <f t="shared" si="4"/>
        <v>יח'</v>
      </c>
      <c r="X22" s="78" t="s">
        <v>422</v>
      </c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32" t="str">
        <f t="shared" si="5"/>
        <v>070</v>
      </c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P22"/>
    </row>
    <row r="23" spans="2:68" x14ac:dyDescent="0.2">
      <c r="B23" s="54" t="str">
        <f>"150020041"</f>
        <v>150020041</v>
      </c>
      <c r="C23" s="54" t="str">
        <f>"מסגרת 3 מודול NEVE-"</f>
        <v>מסגרת 3 מודול NEVE-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 t="s">
        <v>422</v>
      </c>
      <c r="W23" s="32" t="str">
        <f t="shared" si="4"/>
        <v>יח'</v>
      </c>
      <c r="X23" s="78" t="s">
        <v>422</v>
      </c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32" t="str">
        <f t="shared" si="5"/>
        <v>070</v>
      </c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P23"/>
    </row>
    <row r="24" spans="2:68" x14ac:dyDescent="0.2">
      <c r="B24" s="54" t="str">
        <f>"150020045"</f>
        <v>150020045</v>
      </c>
      <c r="C24" s="54" t="str">
        <f>"מסגרת 4 מודול NEVE-"</f>
        <v>מסגרת 4 מודול NEVE-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 t="s">
        <v>422</v>
      </c>
      <c r="W24" s="32" t="str">
        <f t="shared" si="4"/>
        <v>יח'</v>
      </c>
      <c r="X24" s="78" t="s">
        <v>422</v>
      </c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32" t="str">
        <f t="shared" si="5"/>
        <v>070</v>
      </c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P24"/>
    </row>
    <row r="25" spans="2:68" x14ac:dyDescent="0.2">
      <c r="B25" s="54" t="str">
        <f>"150020059"</f>
        <v>150020059</v>
      </c>
      <c r="C25" s="54" t="str">
        <f>"מפסק יחיד NEVE-"</f>
        <v>מפסק יחיד NEVE-</v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 t="s">
        <v>422</v>
      </c>
      <c r="W25" s="32" t="str">
        <f t="shared" si="4"/>
        <v>יח'</v>
      </c>
      <c r="X25" s="78" t="s">
        <v>422</v>
      </c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32" t="str">
        <f t="shared" si="5"/>
        <v>070</v>
      </c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P25"/>
    </row>
    <row r="26" spans="2:68" x14ac:dyDescent="0.2">
      <c r="B26" s="54" t="str">
        <f>"150020061"</f>
        <v>150020061</v>
      </c>
      <c r="C26" s="54" t="str">
        <f>"מפסק חיולף NEVE-"</f>
        <v>מפסק חיולף NEVE-</v>
      </c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 t="s">
        <v>422</v>
      </c>
      <c r="W26" s="32" t="str">
        <f t="shared" si="4"/>
        <v>יח'</v>
      </c>
      <c r="X26" s="78" t="s">
        <v>422</v>
      </c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32" t="str">
        <f t="shared" si="5"/>
        <v>070</v>
      </c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P26"/>
    </row>
    <row r="27" spans="2:68" x14ac:dyDescent="0.2">
      <c r="B27" s="54" t="str">
        <f>"150020063"</f>
        <v>150020063</v>
      </c>
      <c r="C27" s="54" t="str">
        <f>"מפסק צלב NEVE-"</f>
        <v>מפסק צלב NEVE-</v>
      </c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 t="s">
        <v>422</v>
      </c>
      <c r="W27" s="32" t="str">
        <f t="shared" si="4"/>
        <v>יח'</v>
      </c>
      <c r="X27" s="78" t="s">
        <v>422</v>
      </c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32" t="str">
        <f t="shared" si="5"/>
        <v>070</v>
      </c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P27"/>
    </row>
    <row r="28" spans="2:68" x14ac:dyDescent="0.2">
      <c r="B28" s="54" t="str">
        <f>"150020068"</f>
        <v>150020068</v>
      </c>
      <c r="C28" s="54" t="str">
        <f>"מתאם 2 מודול NEVE-"</f>
        <v>מתאם 2 מודול NEVE-</v>
      </c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 t="s">
        <v>422</v>
      </c>
      <c r="W28" s="32" t="str">
        <f t="shared" si="4"/>
        <v>יח'</v>
      </c>
      <c r="X28" s="78" t="s">
        <v>422</v>
      </c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32" t="str">
        <f t="shared" si="5"/>
        <v>070</v>
      </c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P28"/>
    </row>
    <row r="29" spans="2:68" x14ac:dyDescent="0.2">
      <c r="B29" s="54" t="str">
        <f>"150020069"</f>
        <v>150020069</v>
      </c>
      <c r="C29" s="54" t="str">
        <f>"מתאם 3 מודול NEVE-"</f>
        <v>מתאם 3 מודול NEVE-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 t="s">
        <v>422</v>
      </c>
      <c r="W29" s="32" t="str">
        <f t="shared" si="4"/>
        <v>יח'</v>
      </c>
      <c r="X29" s="78" t="s">
        <v>422</v>
      </c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32" t="str">
        <f t="shared" si="5"/>
        <v>070</v>
      </c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P29"/>
    </row>
    <row r="30" spans="2:68" x14ac:dyDescent="0.2">
      <c r="B30" s="54" t="str">
        <f>"150020070"</f>
        <v>150020070</v>
      </c>
      <c r="C30" s="54" t="str">
        <f>"מתאם 4 מודול NEVE-"</f>
        <v>מתאם 4 מודול NEVE-</v>
      </c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 t="s">
        <v>422</v>
      </c>
      <c r="W30" s="32" t="str">
        <f t="shared" ref="W30:W38" si="6">"יח'"</f>
        <v>יח'</v>
      </c>
      <c r="X30" s="78" t="s">
        <v>422</v>
      </c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32" t="str">
        <f t="shared" si="5"/>
        <v>070</v>
      </c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P30"/>
    </row>
    <row r="31" spans="2:68" x14ac:dyDescent="0.2">
      <c r="B31" s="54" t="str">
        <f>"150020090"</f>
        <v>150020090</v>
      </c>
      <c r="C31" s="54" t="str">
        <f>"מפסק דוד NEVE-"</f>
        <v>מפסק דוד NEVE-</v>
      </c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 t="s">
        <v>422</v>
      </c>
      <c r="W31" s="32" t="str">
        <f t="shared" si="6"/>
        <v>יח'</v>
      </c>
      <c r="X31" s="78" t="s">
        <v>422</v>
      </c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32" t="str">
        <f t="shared" si="5"/>
        <v>070</v>
      </c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P31"/>
    </row>
    <row r="32" spans="2:68" x14ac:dyDescent="0.2">
      <c r="B32" s="54" t="str">
        <f>"151100015"</f>
        <v>151100015</v>
      </c>
      <c r="C32" s="54" t="str">
        <f>"ARKE לחצן מואר עם סימון פעמון 2 מודול"</f>
        <v>ARKE לחצן מואר עם סימון פעמון 2 מודול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 t="s">
        <v>422</v>
      </c>
      <c r="W32" s="32" t="str">
        <f t="shared" si="6"/>
        <v>יח'</v>
      </c>
      <c r="X32" s="78" t="s">
        <v>422</v>
      </c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32" t="str">
        <f t="shared" si="5"/>
        <v>070</v>
      </c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P32"/>
    </row>
    <row r="33" spans="2:68" x14ac:dyDescent="0.2">
      <c r="B33" s="54" t="str">
        <f>"151100016"</f>
        <v>151100016</v>
      </c>
      <c r="C33" s="54" t="str">
        <f>"ARKEC.B לחצן מואר עם סימון פעמון 2 מודו"</f>
        <v>ARKEC.B לחצן מואר עם סימון פעמון 2 מודו</v>
      </c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 t="s">
        <v>422</v>
      </c>
      <c r="W33" s="32" t="str">
        <f t="shared" si="6"/>
        <v>יח'</v>
      </c>
      <c r="X33" s="78" t="s">
        <v>422</v>
      </c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32" t="str">
        <f t="shared" si="5"/>
        <v>070</v>
      </c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P33"/>
    </row>
    <row r="34" spans="2:68" x14ac:dyDescent="0.2">
      <c r="B34" s="54" t="str">
        <f>"151100017"</f>
        <v>151100017</v>
      </c>
      <c r="C34" s="54" t="str">
        <f>"ARKE-19008.2.L  לחצן מואר עם סימון מנורה 2 מודול"</f>
        <v>ARKE-19008.2.L  לחצן מואר עם סימון מנורה 2 מודול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 t="s">
        <v>422</v>
      </c>
      <c r="W34" s="32" t="str">
        <f t="shared" si="6"/>
        <v>יח'</v>
      </c>
      <c r="X34" s="78" t="s">
        <v>422</v>
      </c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32" t="str">
        <f t="shared" si="5"/>
        <v>070</v>
      </c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P34"/>
    </row>
    <row r="35" spans="2:68" x14ac:dyDescent="0.2">
      <c r="B35" s="54" t="str">
        <f>"151100018"</f>
        <v>151100018</v>
      </c>
      <c r="C35" s="54" t="str">
        <f>"ARKE-19008.2.L.B לחצן מואר עם סימון מנורה 2 מודו"</f>
        <v>ARKE-19008.2.L.B לחצן מואר עם סימון מנורה 2 מודו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 t="s">
        <v>422</v>
      </c>
      <c r="W35" s="32" t="str">
        <f t="shared" si="6"/>
        <v>יח'</v>
      </c>
      <c r="X35" s="78" t="s">
        <v>422</v>
      </c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32" t="str">
        <f t="shared" si="5"/>
        <v>070</v>
      </c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P35"/>
    </row>
    <row r="36" spans="2:68" x14ac:dyDescent="0.2">
      <c r="B36" s="54" t="str">
        <f>"151100316"</f>
        <v>151100316</v>
      </c>
      <c r="C36" s="54" t="str">
        <f>"ARKE-19612 מתאם 2 מודול לקופסא מלבנית"</f>
        <v>ARKE-19612 מתאם 2 מודול לקופסא מלבנית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 t="s">
        <v>422</v>
      </c>
      <c r="W36" s="32" t="str">
        <f t="shared" si="6"/>
        <v>יח'</v>
      </c>
      <c r="X36" s="78" t="s">
        <v>422</v>
      </c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32" t="str">
        <f t="shared" si="5"/>
        <v>070</v>
      </c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P36"/>
    </row>
    <row r="37" spans="2:68" x14ac:dyDescent="0.2">
      <c r="B37" s="54" t="str">
        <f>"151100388"</f>
        <v>151100388</v>
      </c>
      <c r="C37" s="54" t="str">
        <f>"ARKE-19652.71  מסגרת 2 מודול לקופסא מלבנית טכנופ"</f>
        <v>ARKE-19652.71  מסגרת 2 מודול לקופסא מלבנית טכנופ</v>
      </c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 t="s">
        <v>422</v>
      </c>
      <c r="W37" s="32" t="str">
        <f t="shared" si="6"/>
        <v>יח'</v>
      </c>
      <c r="X37" s="78" t="s">
        <v>422</v>
      </c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32" t="str">
        <f t="shared" si="5"/>
        <v>070</v>
      </c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P37"/>
    </row>
    <row r="38" spans="2:68" x14ac:dyDescent="0.2">
      <c r="B38" s="54" t="str">
        <f>"151100391"</f>
        <v>151100391</v>
      </c>
      <c r="C38" s="54" t="str">
        <f>"ARKE-19652.74 מסגרת 2 מודול לקופסא מלבנית טכנופו"</f>
        <v>ARKE-19652.74 מסגרת 2 מודול לקופסא מלבנית טכנופו</v>
      </c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 t="s">
        <v>422</v>
      </c>
      <c r="W38" s="32" t="str">
        <f t="shared" si="6"/>
        <v>יח'</v>
      </c>
      <c r="X38" s="78" t="s">
        <v>422</v>
      </c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32" t="str">
        <f t="shared" si="5"/>
        <v>070</v>
      </c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P38"/>
    </row>
    <row r="39" spans="2:68" x14ac:dyDescent="0.2">
      <c r="B39" s="54">
        <v>10603</v>
      </c>
      <c r="C39" s="46" t="s">
        <v>425</v>
      </c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45" t="s">
        <v>41</v>
      </c>
      <c r="W39" s="78"/>
      <c r="X39" s="45" t="s">
        <v>41</v>
      </c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 t="s">
        <v>403</v>
      </c>
      <c r="AO39" s="78" t="s">
        <v>405</v>
      </c>
      <c r="AP39" s="78" t="s">
        <v>406</v>
      </c>
      <c r="AQ39" s="78" t="s">
        <v>407</v>
      </c>
      <c r="AR39" s="78" t="s">
        <v>80</v>
      </c>
      <c r="AS39" s="78" t="s">
        <v>408</v>
      </c>
      <c r="AT39" s="78" t="s">
        <v>409</v>
      </c>
      <c r="AU39" s="78" t="s">
        <v>410</v>
      </c>
      <c r="AV39" s="78" t="s">
        <v>411</v>
      </c>
      <c r="AW39" s="78" t="s">
        <v>412</v>
      </c>
      <c r="AX39" s="78" t="s">
        <v>413</v>
      </c>
      <c r="AY39" s="78" t="s">
        <v>414</v>
      </c>
      <c r="AZ39" s="78" t="s">
        <v>415</v>
      </c>
      <c r="BA39" s="78" t="s">
        <v>70</v>
      </c>
      <c r="BB39" s="78" t="s">
        <v>416</v>
      </c>
      <c r="BC39" s="78" t="s">
        <v>417</v>
      </c>
      <c r="BD39" s="78" t="s">
        <v>418</v>
      </c>
      <c r="BE39" s="78" t="s">
        <v>419</v>
      </c>
      <c r="BF39" s="78" t="s">
        <v>420</v>
      </c>
      <c r="BG39" s="78" t="s">
        <v>421</v>
      </c>
      <c r="BH39" s="78"/>
    </row>
    <row r="40" spans="2:68" x14ac:dyDescent="0.2">
      <c r="B40" s="54">
        <v>398110</v>
      </c>
      <c r="C40" s="45" t="s">
        <v>426</v>
      </c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45" t="s">
        <v>41</v>
      </c>
      <c r="W40" s="78"/>
      <c r="X40" s="45" t="s">
        <v>41</v>
      </c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 t="s">
        <v>403</v>
      </c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</row>
    <row r="41" spans="2:68" x14ac:dyDescent="0.2">
      <c r="B41" s="54">
        <v>398120</v>
      </c>
      <c r="C41" s="45" t="s">
        <v>89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45" t="s">
        <v>41</v>
      </c>
      <c r="W41" s="78"/>
      <c r="X41" s="45" t="s">
        <v>41</v>
      </c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 t="s">
        <v>403</v>
      </c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</row>
    <row r="42" spans="2:68" x14ac:dyDescent="0.2">
      <c r="B42" s="54">
        <v>398130</v>
      </c>
      <c r="C42" s="45" t="s">
        <v>427</v>
      </c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45" t="s">
        <v>41</v>
      </c>
      <c r="W42" s="78"/>
      <c r="X42" s="45" t="s">
        <v>41</v>
      </c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 t="s">
        <v>403</v>
      </c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</row>
    <row r="43" spans="2:68" x14ac:dyDescent="0.2">
      <c r="B43" s="54">
        <v>398140</v>
      </c>
      <c r="C43" s="45" t="s">
        <v>428</v>
      </c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45" t="s">
        <v>490</v>
      </c>
      <c r="W43" s="78"/>
      <c r="X43" s="45" t="s">
        <v>490</v>
      </c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 t="s">
        <v>403</v>
      </c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</row>
    <row r="44" spans="2:68" x14ac:dyDescent="0.2">
      <c r="B44" s="54">
        <v>398150</v>
      </c>
      <c r="C44" s="45" t="s">
        <v>429</v>
      </c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45" t="s">
        <v>41</v>
      </c>
      <c r="W44" s="78"/>
      <c r="X44" s="45" t="s">
        <v>41</v>
      </c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 t="s">
        <v>403</v>
      </c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</row>
    <row r="45" spans="2:68" x14ac:dyDescent="0.2">
      <c r="B45" s="54">
        <v>398160</v>
      </c>
      <c r="C45" s="45" t="s">
        <v>90</v>
      </c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45" t="s">
        <v>41</v>
      </c>
      <c r="W45" s="78"/>
      <c r="X45" s="45" t="s">
        <v>41</v>
      </c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 t="s">
        <v>403</v>
      </c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</row>
    <row r="46" spans="2:68" x14ac:dyDescent="0.2">
      <c r="B46" s="54">
        <v>398170</v>
      </c>
      <c r="C46" s="45" t="s">
        <v>430</v>
      </c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45" t="s">
        <v>41</v>
      </c>
      <c r="W46" s="78"/>
      <c r="X46" s="45" t="s">
        <v>41</v>
      </c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 t="s">
        <v>403</v>
      </c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</row>
    <row r="47" spans="2:68" x14ac:dyDescent="0.2">
      <c r="B47" s="54">
        <v>398180</v>
      </c>
      <c r="C47" s="45" t="s">
        <v>431</v>
      </c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45" t="s">
        <v>41</v>
      </c>
      <c r="W47" s="78"/>
      <c r="X47" s="45" t="s">
        <v>41</v>
      </c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 t="s">
        <v>403</v>
      </c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</row>
    <row r="48" spans="2:68" x14ac:dyDescent="0.2">
      <c r="B48" s="54">
        <v>438110</v>
      </c>
      <c r="C48" s="45" t="s">
        <v>91</v>
      </c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45" t="s">
        <v>41</v>
      </c>
      <c r="W48" s="78"/>
      <c r="X48" s="45" t="s">
        <v>41</v>
      </c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 t="s">
        <v>404</v>
      </c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</row>
    <row r="49" spans="2:60" x14ac:dyDescent="0.2">
      <c r="B49" s="54">
        <v>438120</v>
      </c>
      <c r="C49" s="45" t="s">
        <v>92</v>
      </c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45" t="s">
        <v>41</v>
      </c>
      <c r="W49" s="78"/>
      <c r="X49" s="45" t="s">
        <v>41</v>
      </c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 t="s">
        <v>404</v>
      </c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</row>
    <row r="50" spans="2:60" x14ac:dyDescent="0.2">
      <c r="B50" s="54">
        <v>708580</v>
      </c>
      <c r="C50" s="46" t="s">
        <v>432</v>
      </c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45" t="s">
        <v>41</v>
      </c>
      <c r="W50" s="78"/>
      <c r="X50" s="45" t="s">
        <v>41</v>
      </c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 t="s">
        <v>423</v>
      </c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</row>
    <row r="51" spans="2:60" x14ac:dyDescent="0.2">
      <c r="B51" s="54">
        <v>368110</v>
      </c>
      <c r="C51" s="46" t="s">
        <v>93</v>
      </c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45" t="s">
        <v>41</v>
      </c>
      <c r="W51" s="78"/>
      <c r="X51" s="45" t="s">
        <v>41</v>
      </c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 t="s">
        <v>424</v>
      </c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</row>
    <row r="52" spans="2:60" x14ac:dyDescent="0.2">
      <c r="B52" s="54">
        <v>368120</v>
      </c>
      <c r="C52" s="46" t="s">
        <v>433</v>
      </c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45" t="s">
        <v>41</v>
      </c>
      <c r="W52" s="78"/>
      <c r="X52" s="45" t="s">
        <v>41</v>
      </c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 t="s">
        <v>424</v>
      </c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</row>
    <row r="53" spans="2:60" x14ac:dyDescent="0.2">
      <c r="B53" s="54">
        <v>368130</v>
      </c>
      <c r="C53" s="46" t="s">
        <v>400</v>
      </c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45" t="s">
        <v>41</v>
      </c>
      <c r="W53" s="78"/>
      <c r="X53" s="45" t="s">
        <v>41</v>
      </c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 t="s">
        <v>424</v>
      </c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</row>
    <row r="54" spans="2:60" x14ac:dyDescent="0.2">
      <c r="B54" s="54">
        <v>368140</v>
      </c>
      <c r="C54" s="46" t="s">
        <v>401</v>
      </c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45" t="s">
        <v>41</v>
      </c>
      <c r="W54" s="78"/>
      <c r="X54" s="45" t="s">
        <v>41</v>
      </c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 t="s">
        <v>424</v>
      </c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</row>
    <row r="55" spans="2:60" x14ac:dyDescent="0.2">
      <c r="B55" s="54">
        <v>368150</v>
      </c>
      <c r="C55" s="46" t="s">
        <v>402</v>
      </c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45" t="s">
        <v>41</v>
      </c>
      <c r="W55" s="78"/>
      <c r="X55" s="45" t="s">
        <v>41</v>
      </c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 t="s">
        <v>424</v>
      </c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</row>
    <row r="56" spans="2:60" x14ac:dyDescent="0.2">
      <c r="B56" s="54">
        <v>368160</v>
      </c>
      <c r="C56" s="46" t="s">
        <v>94</v>
      </c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45" t="s">
        <v>41</v>
      </c>
      <c r="W56" s="78"/>
      <c r="X56" s="45" t="s">
        <v>41</v>
      </c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 t="s">
        <v>424</v>
      </c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</row>
    <row r="57" spans="2:60" x14ac:dyDescent="0.2">
      <c r="B57" s="54">
        <v>368170</v>
      </c>
      <c r="C57" s="46" t="s">
        <v>434</v>
      </c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45" t="s">
        <v>41</v>
      </c>
      <c r="W57" s="78"/>
      <c r="X57" s="45" t="s">
        <v>41</v>
      </c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 t="s">
        <v>424</v>
      </c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</row>
    <row r="58" spans="2:60" x14ac:dyDescent="0.2">
      <c r="B58" s="54">
        <v>368180</v>
      </c>
      <c r="C58" s="46" t="s">
        <v>95</v>
      </c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45" t="s">
        <v>41</v>
      </c>
      <c r="W58" s="78"/>
      <c r="X58" s="45" t="s">
        <v>41</v>
      </c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 t="s">
        <v>424</v>
      </c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</row>
    <row r="59" spans="2:60" x14ac:dyDescent="0.2">
      <c r="B59" s="54">
        <v>368190</v>
      </c>
      <c r="C59" s="45" t="s">
        <v>435</v>
      </c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45" t="s">
        <v>41</v>
      </c>
      <c r="W59" s="78"/>
      <c r="X59" s="45" t="s">
        <v>41</v>
      </c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 t="s">
        <v>424</v>
      </c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</row>
    <row r="60" spans="2:60" x14ac:dyDescent="0.2">
      <c r="B60" s="54">
        <v>368200</v>
      </c>
      <c r="C60" s="45" t="s">
        <v>436</v>
      </c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45" t="s">
        <v>41</v>
      </c>
      <c r="W60" s="78"/>
      <c r="X60" s="45" t="s">
        <v>41</v>
      </c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 t="s">
        <v>424</v>
      </c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</row>
    <row r="61" spans="2:60" x14ac:dyDescent="0.2">
      <c r="B61" s="54">
        <v>368210</v>
      </c>
      <c r="C61" s="45" t="s">
        <v>437</v>
      </c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45" t="s">
        <v>41</v>
      </c>
      <c r="W61" s="78"/>
      <c r="X61" s="45" t="s">
        <v>41</v>
      </c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 t="s">
        <v>424</v>
      </c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</row>
    <row r="62" spans="2:60" x14ac:dyDescent="0.2">
      <c r="B62" s="54">
        <v>368220</v>
      </c>
      <c r="C62" s="45" t="s">
        <v>438</v>
      </c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45" t="s">
        <v>41</v>
      </c>
      <c r="W62" s="78"/>
      <c r="X62" s="45" t="s">
        <v>41</v>
      </c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 t="s">
        <v>424</v>
      </c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</row>
    <row r="63" spans="2:60" x14ac:dyDescent="0.2">
      <c r="B63" s="54">
        <v>368230</v>
      </c>
      <c r="C63" s="45" t="s">
        <v>439</v>
      </c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45" t="s">
        <v>41</v>
      </c>
      <c r="W63" s="78"/>
      <c r="X63" s="45" t="s">
        <v>41</v>
      </c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 t="s">
        <v>424</v>
      </c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</row>
    <row r="64" spans="2:60" x14ac:dyDescent="0.2">
      <c r="B64" s="54">
        <v>368240</v>
      </c>
      <c r="C64" s="45" t="s">
        <v>440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45" t="s">
        <v>41</v>
      </c>
      <c r="W64" s="78"/>
      <c r="X64" s="45" t="s">
        <v>41</v>
      </c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 t="s">
        <v>424</v>
      </c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</row>
    <row r="65" spans="2:81" x14ac:dyDescent="0.2">
      <c r="B65" s="54">
        <v>368250</v>
      </c>
      <c r="C65" s="45" t="s">
        <v>441</v>
      </c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45" t="s">
        <v>41</v>
      </c>
      <c r="W65" s="78"/>
      <c r="X65" s="45" t="s">
        <v>41</v>
      </c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 t="s">
        <v>424</v>
      </c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</row>
    <row r="66" spans="2:81" x14ac:dyDescent="0.2">
      <c r="B66" s="54">
        <v>368260</v>
      </c>
      <c r="C66" s="45" t="s">
        <v>442</v>
      </c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45" t="s">
        <v>41</v>
      </c>
      <c r="W66" s="78"/>
      <c r="X66" s="45" t="s">
        <v>41</v>
      </c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 t="s">
        <v>424</v>
      </c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</row>
    <row r="67" spans="2:81" x14ac:dyDescent="0.2">
      <c r="B67" s="54">
        <v>368270</v>
      </c>
      <c r="C67" s="45" t="s">
        <v>443</v>
      </c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45" t="s">
        <v>41</v>
      </c>
      <c r="W67" s="78"/>
      <c r="X67" s="45" t="s">
        <v>41</v>
      </c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 t="s">
        <v>424</v>
      </c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</row>
    <row r="68" spans="2:81" x14ac:dyDescent="0.2">
      <c r="B68" s="54">
        <v>708110</v>
      </c>
      <c r="C68" s="45" t="s">
        <v>96</v>
      </c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45" t="s">
        <v>41</v>
      </c>
      <c r="W68" s="78"/>
      <c r="X68" s="45" t="s">
        <v>41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 t="s">
        <v>70</v>
      </c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</row>
    <row r="69" spans="2:81" x14ac:dyDescent="0.2">
      <c r="B69" s="54">
        <v>708120</v>
      </c>
      <c r="C69" s="45" t="s">
        <v>97</v>
      </c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45" t="s">
        <v>41</v>
      </c>
      <c r="W69" s="78"/>
      <c r="X69" s="45" t="s">
        <v>41</v>
      </c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 t="s">
        <v>70</v>
      </c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</row>
    <row r="70" spans="2:81" x14ac:dyDescent="0.2">
      <c r="B70" s="54">
        <v>708130</v>
      </c>
      <c r="C70" s="45" t="s">
        <v>69</v>
      </c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45" t="s">
        <v>41</v>
      </c>
      <c r="W70" s="78"/>
      <c r="X70" s="45" t="s">
        <v>41</v>
      </c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 t="s">
        <v>70</v>
      </c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</row>
    <row r="71" spans="2:81" x14ac:dyDescent="0.2">
      <c r="B71" s="54">
        <v>708140</v>
      </c>
      <c r="C71" s="45" t="s">
        <v>444</v>
      </c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45" t="s">
        <v>41</v>
      </c>
      <c r="W71" s="78"/>
      <c r="X71" s="45" t="s">
        <v>41</v>
      </c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 t="s">
        <v>70</v>
      </c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</row>
    <row r="72" spans="2:81" x14ac:dyDescent="0.2">
      <c r="B72" s="54">
        <v>918110</v>
      </c>
      <c r="C72" s="45" t="s">
        <v>98</v>
      </c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45" t="s">
        <v>41</v>
      </c>
      <c r="W72" s="78"/>
      <c r="X72" s="45" t="s">
        <v>41</v>
      </c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 t="s">
        <v>84</v>
      </c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</row>
    <row r="73" spans="2:81" x14ac:dyDescent="0.2">
      <c r="B73" s="54">
        <v>918120</v>
      </c>
      <c r="C73" s="46" t="s">
        <v>445</v>
      </c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45" t="s">
        <v>41</v>
      </c>
      <c r="W73" s="78"/>
      <c r="X73" s="45" t="s">
        <v>41</v>
      </c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 t="s">
        <v>84</v>
      </c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</row>
    <row r="74" spans="2:81" x14ac:dyDescent="0.2">
      <c r="B74" s="54">
        <v>618110</v>
      </c>
      <c r="C74" s="45" t="s">
        <v>99</v>
      </c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45" t="s">
        <v>41</v>
      </c>
      <c r="W74" s="78"/>
      <c r="X74" s="45" t="s">
        <v>41</v>
      </c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 t="s">
        <v>80</v>
      </c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X74" s="51"/>
      <c r="BY74" s="51"/>
      <c r="BZ74" s="51"/>
      <c r="CA74" s="51"/>
      <c r="CB74" s="51"/>
      <c r="CC74" s="51"/>
    </row>
    <row r="75" spans="2:81" x14ac:dyDescent="0.2">
      <c r="B75" s="54">
        <v>918130</v>
      </c>
      <c r="C75" s="45" t="s">
        <v>100</v>
      </c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45" t="s">
        <v>41</v>
      </c>
      <c r="W75" s="78"/>
      <c r="X75" s="45" t="s">
        <v>41</v>
      </c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 t="s">
        <v>84</v>
      </c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X75" s="51"/>
      <c r="BY75" s="51"/>
      <c r="BZ75" s="51"/>
      <c r="CA75" s="51"/>
      <c r="CB75" s="51"/>
      <c r="CC75" s="51"/>
    </row>
    <row r="76" spans="2:81" x14ac:dyDescent="0.2">
      <c r="B76" s="54">
        <v>398190</v>
      </c>
      <c r="C76" s="45" t="s">
        <v>446</v>
      </c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45" t="s">
        <v>41</v>
      </c>
      <c r="W76" s="78"/>
      <c r="X76" s="45" t="s">
        <v>41</v>
      </c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 t="s">
        <v>403</v>
      </c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X76" s="51"/>
      <c r="BY76" s="51"/>
      <c r="BZ76" s="51"/>
      <c r="CA76" s="51"/>
      <c r="CB76" s="51"/>
      <c r="CC76" s="51"/>
    </row>
    <row r="77" spans="2:81" x14ac:dyDescent="0.2">
      <c r="B77" s="54">
        <v>398200</v>
      </c>
      <c r="C77" s="45" t="s">
        <v>447</v>
      </c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45" t="s">
        <v>41</v>
      </c>
      <c r="W77" s="78"/>
      <c r="X77" s="45" t="s">
        <v>41</v>
      </c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 t="s">
        <v>403</v>
      </c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X77" s="51"/>
      <c r="BY77" s="51"/>
      <c r="BZ77" s="51"/>
      <c r="CA77" s="51"/>
      <c r="CB77" s="51"/>
      <c r="CC77" s="51"/>
    </row>
    <row r="78" spans="2:81" x14ac:dyDescent="0.2">
      <c r="B78" s="54">
        <v>398210</v>
      </c>
      <c r="C78" s="45" t="s">
        <v>448</v>
      </c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45" t="s">
        <v>41</v>
      </c>
      <c r="W78" s="78"/>
      <c r="X78" s="45" t="s">
        <v>41</v>
      </c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 t="s">
        <v>403</v>
      </c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X78" s="52"/>
      <c r="BY78" s="52"/>
      <c r="BZ78" s="51"/>
      <c r="CA78" s="51"/>
      <c r="CB78" s="52"/>
      <c r="CC78" s="51"/>
    </row>
    <row r="79" spans="2:81" x14ac:dyDescent="0.2">
      <c r="B79" s="54">
        <v>398220</v>
      </c>
      <c r="C79" s="45" t="s">
        <v>449</v>
      </c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45" t="s">
        <v>41</v>
      </c>
      <c r="W79" s="78"/>
      <c r="X79" s="45" t="s">
        <v>41</v>
      </c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 t="s">
        <v>403</v>
      </c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X79" s="52"/>
      <c r="BY79" s="52"/>
      <c r="BZ79" s="51"/>
      <c r="CA79" s="51"/>
      <c r="CB79" s="52"/>
      <c r="CC79" s="51"/>
    </row>
    <row r="80" spans="2:81" x14ac:dyDescent="0.2">
      <c r="B80" s="54">
        <v>398230</v>
      </c>
      <c r="C80" s="45" t="s">
        <v>450</v>
      </c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45" t="s">
        <v>41</v>
      </c>
      <c r="W80" s="78"/>
      <c r="X80" s="45" t="s">
        <v>41</v>
      </c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 t="s">
        <v>403</v>
      </c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X80" s="52"/>
      <c r="BY80" s="52"/>
      <c r="BZ80" s="51"/>
      <c r="CA80" s="51"/>
      <c r="CB80" s="52"/>
      <c r="CC80" s="51"/>
    </row>
    <row r="81" spans="2:81" x14ac:dyDescent="0.2">
      <c r="B81" s="54">
        <v>358110</v>
      </c>
      <c r="C81" s="45" t="s">
        <v>101</v>
      </c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45" t="s">
        <v>41</v>
      </c>
      <c r="W81" s="78"/>
      <c r="X81" s="45" t="s">
        <v>41</v>
      </c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 t="s">
        <v>497</v>
      </c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X81" s="52"/>
      <c r="BY81" s="52"/>
      <c r="BZ81" s="51"/>
      <c r="CA81" s="51"/>
      <c r="CB81" s="52"/>
      <c r="CC81" s="51"/>
    </row>
    <row r="82" spans="2:81" x14ac:dyDescent="0.2">
      <c r="B82" s="54">
        <v>358120</v>
      </c>
      <c r="C82" s="45" t="s">
        <v>102</v>
      </c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45" t="s">
        <v>41</v>
      </c>
      <c r="W82" s="78"/>
      <c r="X82" s="45" t="s">
        <v>41</v>
      </c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 t="s">
        <v>497</v>
      </c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X82" s="52"/>
      <c r="BY82" s="52"/>
      <c r="BZ82" s="51"/>
      <c r="CA82" s="51"/>
      <c r="CB82" s="52"/>
      <c r="CC82" s="51"/>
    </row>
    <row r="83" spans="2:81" x14ac:dyDescent="0.2">
      <c r="B83" s="54">
        <v>358130</v>
      </c>
      <c r="C83" s="45" t="s">
        <v>103</v>
      </c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45" t="s">
        <v>41</v>
      </c>
      <c r="W83" s="78"/>
      <c r="X83" s="45" t="s">
        <v>41</v>
      </c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 t="s">
        <v>497</v>
      </c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X83" s="52"/>
      <c r="BY83" s="52"/>
      <c r="BZ83" s="51"/>
      <c r="CA83" s="51"/>
      <c r="CB83" s="52"/>
      <c r="CC83" s="51"/>
    </row>
    <row r="84" spans="2:81" x14ac:dyDescent="0.2">
      <c r="B84" s="54">
        <v>358140</v>
      </c>
      <c r="C84" s="45" t="s">
        <v>104</v>
      </c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45" t="s">
        <v>41</v>
      </c>
      <c r="W84" s="78"/>
      <c r="X84" s="45" t="s">
        <v>41</v>
      </c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 t="s">
        <v>497</v>
      </c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X84" s="52"/>
      <c r="BY84" s="52"/>
      <c r="BZ84" s="51"/>
      <c r="CA84" s="51"/>
      <c r="CB84" s="52"/>
      <c r="CC84" s="51"/>
    </row>
    <row r="85" spans="2:81" x14ac:dyDescent="0.2">
      <c r="B85" s="54">
        <v>358150</v>
      </c>
      <c r="C85" s="45" t="s">
        <v>105</v>
      </c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45" t="s">
        <v>41</v>
      </c>
      <c r="W85" s="78"/>
      <c r="X85" s="45" t="s">
        <v>41</v>
      </c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 t="s">
        <v>497</v>
      </c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X85" s="52"/>
      <c r="BY85" s="52"/>
      <c r="BZ85" s="51"/>
      <c r="CA85" s="51"/>
      <c r="CB85" s="52"/>
      <c r="CC85" s="51"/>
    </row>
    <row r="86" spans="2:81" x14ac:dyDescent="0.2">
      <c r="B86" s="54">
        <v>358160</v>
      </c>
      <c r="C86" s="46" t="s">
        <v>451</v>
      </c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45" t="s">
        <v>41</v>
      </c>
      <c r="W86" s="78"/>
      <c r="X86" s="45" t="s">
        <v>41</v>
      </c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 t="s">
        <v>497</v>
      </c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X86" s="52"/>
      <c r="BY86" s="52"/>
      <c r="BZ86" s="51"/>
      <c r="CA86" s="51"/>
      <c r="CB86" s="52"/>
      <c r="CC86" s="51"/>
    </row>
    <row r="87" spans="2:81" x14ac:dyDescent="0.2">
      <c r="B87" s="54">
        <v>708150</v>
      </c>
      <c r="C87" s="45" t="s">
        <v>106</v>
      </c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45" t="s">
        <v>41</v>
      </c>
      <c r="W87" s="78"/>
      <c r="X87" s="45" t="s">
        <v>41</v>
      </c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 t="s">
        <v>70</v>
      </c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X87" s="52"/>
      <c r="BY87" s="52"/>
      <c r="BZ87" s="51"/>
      <c r="CA87" s="51"/>
      <c r="CB87" s="52"/>
      <c r="CC87" s="51"/>
    </row>
    <row r="88" spans="2:81" x14ac:dyDescent="0.2">
      <c r="B88" s="54">
        <v>708160</v>
      </c>
      <c r="C88" s="45" t="s">
        <v>107</v>
      </c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45" t="s">
        <v>41</v>
      </c>
      <c r="W88" s="78"/>
      <c r="X88" s="45" t="s">
        <v>41</v>
      </c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 t="s">
        <v>70</v>
      </c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X88" s="52"/>
      <c r="BY88" s="52"/>
      <c r="BZ88" s="51"/>
      <c r="CA88" s="51"/>
      <c r="CB88" s="52"/>
      <c r="CC88" s="51"/>
    </row>
    <row r="89" spans="2:81" x14ac:dyDescent="0.2">
      <c r="B89" s="54">
        <v>648110</v>
      </c>
      <c r="C89" s="45" t="s">
        <v>108</v>
      </c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45" t="s">
        <v>41</v>
      </c>
      <c r="W89" s="78"/>
      <c r="X89" s="45" t="s">
        <v>41</v>
      </c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 t="s">
        <v>410</v>
      </c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X89" s="52"/>
      <c r="BY89" s="52"/>
      <c r="BZ89" s="51"/>
      <c r="CA89" s="51"/>
      <c r="CB89" s="52"/>
      <c r="CC89" s="51"/>
    </row>
    <row r="90" spans="2:81" x14ac:dyDescent="0.2">
      <c r="B90" s="54">
        <v>648120</v>
      </c>
      <c r="C90" s="45" t="s">
        <v>109</v>
      </c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45" t="s">
        <v>41</v>
      </c>
      <c r="W90" s="78"/>
      <c r="X90" s="45" t="s">
        <v>41</v>
      </c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 t="s">
        <v>410</v>
      </c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X90" s="52"/>
      <c r="BY90" s="52"/>
      <c r="BZ90" s="51"/>
      <c r="CA90" s="51"/>
      <c r="CB90" s="52"/>
      <c r="CC90" s="51"/>
    </row>
    <row r="91" spans="2:81" x14ac:dyDescent="0.2">
      <c r="B91" s="54">
        <v>648130</v>
      </c>
      <c r="C91" s="45" t="s">
        <v>110</v>
      </c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45" t="s">
        <v>41</v>
      </c>
      <c r="W91" s="78"/>
      <c r="X91" s="45" t="s">
        <v>41</v>
      </c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 t="s">
        <v>410</v>
      </c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X91" s="52"/>
      <c r="BY91" s="52"/>
      <c r="BZ91" s="51"/>
      <c r="CA91" s="51"/>
      <c r="CB91" s="52"/>
      <c r="CC91" s="51"/>
    </row>
    <row r="92" spans="2:81" x14ac:dyDescent="0.2">
      <c r="B92" s="54">
        <v>648140</v>
      </c>
      <c r="C92" s="45" t="s">
        <v>111</v>
      </c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45" t="s">
        <v>41</v>
      </c>
      <c r="W92" s="78"/>
      <c r="X92" s="45" t="s">
        <v>41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 t="s">
        <v>410</v>
      </c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X92" s="52"/>
      <c r="BY92" s="52"/>
      <c r="BZ92" s="51"/>
      <c r="CA92" s="51"/>
      <c r="CB92" s="52"/>
      <c r="CC92" s="51"/>
    </row>
    <row r="93" spans="2:81" x14ac:dyDescent="0.2">
      <c r="B93" s="54">
        <v>648150</v>
      </c>
      <c r="C93" s="45" t="s">
        <v>112</v>
      </c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45" t="s">
        <v>41</v>
      </c>
      <c r="W93" s="78"/>
      <c r="X93" s="45" t="s">
        <v>41</v>
      </c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 t="s">
        <v>410</v>
      </c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X93" s="52"/>
      <c r="BY93" s="52"/>
      <c r="BZ93" s="51"/>
      <c r="CA93" s="51"/>
      <c r="CB93" s="52"/>
      <c r="CC93" s="51"/>
    </row>
    <row r="94" spans="2:81" x14ac:dyDescent="0.2">
      <c r="B94" s="54">
        <v>648160</v>
      </c>
      <c r="C94" s="45" t="s">
        <v>113</v>
      </c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45" t="s">
        <v>41</v>
      </c>
      <c r="W94" s="78"/>
      <c r="X94" s="45" t="s">
        <v>41</v>
      </c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 t="s">
        <v>410</v>
      </c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X94" s="52"/>
      <c r="BY94" s="52"/>
      <c r="BZ94" s="51"/>
      <c r="CA94" s="51"/>
      <c r="CB94" s="52"/>
      <c r="CC94" s="51"/>
    </row>
    <row r="95" spans="2:81" x14ac:dyDescent="0.2">
      <c r="B95" s="54">
        <v>648170</v>
      </c>
      <c r="C95" s="45" t="s">
        <v>114</v>
      </c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45" t="s">
        <v>41</v>
      </c>
      <c r="W95" s="78"/>
      <c r="X95" s="45" t="s">
        <v>41</v>
      </c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 t="s">
        <v>410</v>
      </c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X95" s="52"/>
      <c r="BY95" s="52"/>
      <c r="BZ95" s="51"/>
      <c r="CA95" s="51"/>
      <c r="CB95" s="52"/>
      <c r="CC95" s="51"/>
    </row>
    <row r="96" spans="2:81" x14ac:dyDescent="0.2">
      <c r="B96" s="54">
        <v>648180</v>
      </c>
      <c r="C96" s="45" t="s">
        <v>115</v>
      </c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45" t="s">
        <v>41</v>
      </c>
      <c r="W96" s="78"/>
      <c r="X96" s="45" t="s">
        <v>41</v>
      </c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 t="s">
        <v>410</v>
      </c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X96" s="52"/>
      <c r="BY96" s="52"/>
      <c r="BZ96" s="51"/>
      <c r="CA96" s="51"/>
      <c r="CB96" s="52"/>
      <c r="CC96" s="51"/>
    </row>
    <row r="97" spans="2:81" x14ac:dyDescent="0.2">
      <c r="B97" s="54">
        <v>218110</v>
      </c>
      <c r="C97" s="45" t="s">
        <v>498</v>
      </c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45" t="s">
        <v>41</v>
      </c>
      <c r="W97" s="78"/>
      <c r="X97" s="45" t="s">
        <v>41</v>
      </c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 t="s">
        <v>78</v>
      </c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X97" s="52"/>
      <c r="BY97" s="52"/>
      <c r="BZ97" s="51"/>
      <c r="CA97" s="51"/>
      <c r="CB97" s="52"/>
      <c r="CC97" s="51"/>
    </row>
    <row r="98" spans="2:81" x14ac:dyDescent="0.2">
      <c r="B98" s="54">
        <v>368280</v>
      </c>
      <c r="C98" s="45" t="s">
        <v>116</v>
      </c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45" t="s">
        <v>41</v>
      </c>
      <c r="W98" s="78"/>
      <c r="X98" s="45" t="s">
        <v>41</v>
      </c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 t="s">
        <v>424</v>
      </c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X98" s="52"/>
      <c r="BY98" s="52"/>
      <c r="BZ98" s="51"/>
      <c r="CA98" s="51"/>
      <c r="CB98" s="52"/>
      <c r="CC98" s="51"/>
    </row>
    <row r="99" spans="2:81" x14ac:dyDescent="0.2">
      <c r="B99" s="54">
        <v>708170</v>
      </c>
      <c r="C99" s="45" t="s">
        <v>117</v>
      </c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45" t="s">
        <v>41</v>
      </c>
      <c r="W99" s="78"/>
      <c r="X99" s="45" t="s">
        <v>41</v>
      </c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 t="s">
        <v>70</v>
      </c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X99" s="52"/>
      <c r="BY99" s="52"/>
      <c r="BZ99" s="51"/>
      <c r="CA99" s="51"/>
      <c r="CB99" s="52"/>
      <c r="CC99" s="51"/>
    </row>
    <row r="100" spans="2:81" x14ac:dyDescent="0.2">
      <c r="B100" s="54">
        <v>618120</v>
      </c>
      <c r="C100" s="45" t="s">
        <v>118</v>
      </c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45" t="s">
        <v>41</v>
      </c>
      <c r="W100" s="78"/>
      <c r="X100" s="45" t="s">
        <v>41</v>
      </c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 t="s">
        <v>80</v>
      </c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X100" s="52"/>
      <c r="BY100" s="52"/>
      <c r="BZ100" s="51"/>
      <c r="CA100" s="51"/>
      <c r="CB100" s="53"/>
      <c r="CC100" s="51"/>
    </row>
    <row r="101" spans="2:81" x14ac:dyDescent="0.2">
      <c r="B101" s="54">
        <v>918140</v>
      </c>
      <c r="C101" s="45" t="s">
        <v>119</v>
      </c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45" t="s">
        <v>41</v>
      </c>
      <c r="W101" s="78"/>
      <c r="X101" s="45" t="s">
        <v>41</v>
      </c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 t="s">
        <v>84</v>
      </c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X101" s="52"/>
      <c r="BY101" s="52"/>
      <c r="BZ101" s="51"/>
      <c r="CA101" s="51"/>
      <c r="CB101" s="51"/>
      <c r="CC101" s="51"/>
    </row>
    <row r="102" spans="2:81" x14ac:dyDescent="0.2">
      <c r="B102" s="54">
        <v>918150</v>
      </c>
      <c r="C102" s="45" t="s">
        <v>120</v>
      </c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45" t="s">
        <v>41</v>
      </c>
      <c r="W102" s="78"/>
      <c r="X102" s="45" t="s">
        <v>41</v>
      </c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 t="s">
        <v>84</v>
      </c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X102" s="52"/>
      <c r="BY102" s="52"/>
      <c r="BZ102" s="51"/>
      <c r="CA102" s="51"/>
      <c r="CB102" s="51"/>
      <c r="CC102" s="51"/>
    </row>
    <row r="103" spans="2:81" x14ac:dyDescent="0.2">
      <c r="B103" s="54">
        <v>818110</v>
      </c>
      <c r="C103" s="45" t="s">
        <v>121</v>
      </c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45" t="s">
        <v>41</v>
      </c>
      <c r="W103" s="78"/>
      <c r="X103" s="45" t="s">
        <v>41</v>
      </c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 t="s">
        <v>500</v>
      </c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X103" s="52"/>
      <c r="BY103" s="52"/>
      <c r="BZ103" s="51"/>
      <c r="CA103" s="51"/>
      <c r="CB103" s="51"/>
      <c r="CC103" s="51"/>
    </row>
    <row r="104" spans="2:81" x14ac:dyDescent="0.2">
      <c r="B104" s="54">
        <v>928110</v>
      </c>
      <c r="C104" s="45" t="s">
        <v>122</v>
      </c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45" t="s">
        <v>41</v>
      </c>
      <c r="W104" s="78"/>
      <c r="X104" s="45" t="s">
        <v>41</v>
      </c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 t="s">
        <v>499</v>
      </c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X104" s="52"/>
      <c r="BY104" s="52"/>
      <c r="BZ104" s="51"/>
      <c r="CA104" s="51"/>
      <c r="CB104" s="51"/>
      <c r="CC104" s="51"/>
    </row>
    <row r="105" spans="2:81" x14ac:dyDescent="0.2">
      <c r="B105" s="54">
        <v>378110</v>
      </c>
      <c r="C105" s="45" t="s">
        <v>123</v>
      </c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45" t="s">
        <v>41</v>
      </c>
      <c r="W105" s="78"/>
      <c r="X105" s="45" t="s">
        <v>41</v>
      </c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 t="s">
        <v>501</v>
      </c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X105" s="52"/>
      <c r="BY105" s="52"/>
      <c r="BZ105" s="51"/>
      <c r="CA105" s="51"/>
      <c r="CB105" s="51"/>
      <c r="CC105" s="51"/>
    </row>
    <row r="106" spans="2:81" x14ac:dyDescent="0.2">
      <c r="B106" s="54">
        <v>218120</v>
      </c>
      <c r="C106" s="45" t="s">
        <v>124</v>
      </c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45" t="s">
        <v>41</v>
      </c>
      <c r="W106" s="78"/>
      <c r="X106" s="45" t="s">
        <v>41</v>
      </c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 t="s">
        <v>78</v>
      </c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X106" s="52"/>
      <c r="BY106" s="52"/>
      <c r="BZ106" s="51"/>
      <c r="CA106" s="51"/>
      <c r="CB106" s="51"/>
      <c r="CC106" s="51"/>
    </row>
    <row r="107" spans="2:81" x14ac:dyDescent="0.2">
      <c r="B107" s="54">
        <v>218130</v>
      </c>
      <c r="C107" s="45" t="s">
        <v>125</v>
      </c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45" t="s">
        <v>41</v>
      </c>
      <c r="W107" s="78"/>
      <c r="X107" s="45" t="s">
        <v>41</v>
      </c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 t="s">
        <v>78</v>
      </c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X107" s="52"/>
      <c r="BY107" s="52"/>
      <c r="BZ107" s="51"/>
      <c r="CA107" s="51"/>
      <c r="CB107" s="51"/>
      <c r="CC107" s="51"/>
    </row>
    <row r="108" spans="2:81" x14ac:dyDescent="0.2">
      <c r="B108" s="54">
        <v>708180</v>
      </c>
      <c r="C108" s="45" t="s">
        <v>126</v>
      </c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45" t="s">
        <v>41</v>
      </c>
      <c r="W108" s="78"/>
      <c r="X108" s="45" t="s">
        <v>41</v>
      </c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 t="s">
        <v>70</v>
      </c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X108" s="52"/>
      <c r="BY108" s="52"/>
      <c r="BZ108" s="51"/>
      <c r="CA108" s="51"/>
      <c r="CB108" s="51"/>
      <c r="CC108" s="51"/>
    </row>
    <row r="109" spans="2:81" x14ac:dyDescent="0.2">
      <c r="B109" s="54">
        <v>798110</v>
      </c>
      <c r="C109" s="46" t="s">
        <v>452</v>
      </c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45" t="s">
        <v>41</v>
      </c>
      <c r="W109" s="78"/>
      <c r="X109" s="45" t="s">
        <v>41</v>
      </c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 t="s">
        <v>423</v>
      </c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X109" s="51"/>
      <c r="BY109" s="51"/>
      <c r="BZ109" s="51"/>
      <c r="CA109" s="51"/>
      <c r="CB109" s="51"/>
      <c r="CC109" s="51"/>
    </row>
    <row r="110" spans="2:81" x14ac:dyDescent="0.2">
      <c r="B110" s="54">
        <v>798120</v>
      </c>
      <c r="C110" s="46" t="s">
        <v>127</v>
      </c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45" t="s">
        <v>41</v>
      </c>
      <c r="W110" s="78"/>
      <c r="X110" s="45" t="s">
        <v>41</v>
      </c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 t="s">
        <v>423</v>
      </c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X110" s="51"/>
      <c r="BY110" s="51"/>
      <c r="BZ110" s="51"/>
      <c r="CA110" s="51"/>
      <c r="CB110" s="51"/>
      <c r="CC110" s="51"/>
    </row>
    <row r="111" spans="2:81" x14ac:dyDescent="0.2">
      <c r="B111" s="54">
        <v>648190</v>
      </c>
      <c r="C111" s="45" t="s">
        <v>128</v>
      </c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45" t="s">
        <v>41</v>
      </c>
      <c r="W111" s="78"/>
      <c r="X111" s="45" t="s">
        <v>41</v>
      </c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 t="s">
        <v>410</v>
      </c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</row>
    <row r="112" spans="2:81" x14ac:dyDescent="0.2">
      <c r="B112" s="54">
        <v>378120</v>
      </c>
      <c r="C112" s="46" t="s">
        <v>453</v>
      </c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45" t="s">
        <v>41</v>
      </c>
      <c r="W112" s="78"/>
      <c r="X112" s="45" t="s">
        <v>41</v>
      </c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 t="s">
        <v>501</v>
      </c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</row>
    <row r="113" spans="2:60" x14ac:dyDescent="0.2">
      <c r="B113" s="54">
        <v>378130</v>
      </c>
      <c r="C113" s="45" t="s">
        <v>129</v>
      </c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45" t="s">
        <v>41</v>
      </c>
      <c r="W113" s="78"/>
      <c r="X113" s="45" t="s">
        <v>41</v>
      </c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 t="s">
        <v>501</v>
      </c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</row>
    <row r="114" spans="2:60" x14ac:dyDescent="0.2">
      <c r="B114" s="54">
        <v>378140</v>
      </c>
      <c r="C114" s="45" t="s">
        <v>130</v>
      </c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45" t="s">
        <v>41</v>
      </c>
      <c r="W114" s="78"/>
      <c r="X114" s="45" t="s">
        <v>41</v>
      </c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 t="s">
        <v>501</v>
      </c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</row>
    <row r="115" spans="2:60" x14ac:dyDescent="0.2">
      <c r="B115" s="54">
        <v>378150</v>
      </c>
      <c r="C115" s="45" t="s">
        <v>131</v>
      </c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45" t="s">
        <v>41</v>
      </c>
      <c r="W115" s="78"/>
      <c r="X115" s="45" t="s">
        <v>41</v>
      </c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 t="s">
        <v>501</v>
      </c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</row>
    <row r="116" spans="2:60" x14ac:dyDescent="0.2">
      <c r="B116" s="54">
        <v>938110</v>
      </c>
      <c r="C116" s="45" t="s">
        <v>132</v>
      </c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45" t="s">
        <v>41</v>
      </c>
      <c r="W116" s="78"/>
      <c r="X116" s="45" t="s">
        <v>41</v>
      </c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 t="s">
        <v>502</v>
      </c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</row>
    <row r="117" spans="2:60" x14ac:dyDescent="0.2">
      <c r="B117" s="54">
        <v>708190</v>
      </c>
      <c r="C117" s="45" t="s">
        <v>133</v>
      </c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45" t="s">
        <v>41</v>
      </c>
      <c r="W117" s="78"/>
      <c r="X117" s="45" t="s">
        <v>41</v>
      </c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 t="s">
        <v>70</v>
      </c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</row>
    <row r="118" spans="2:60" x14ac:dyDescent="0.2">
      <c r="B118" s="54">
        <v>928120</v>
      </c>
      <c r="C118" s="45" t="s">
        <v>134</v>
      </c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45" t="s">
        <v>41</v>
      </c>
      <c r="W118" s="78"/>
      <c r="X118" s="45" t="s">
        <v>41</v>
      </c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 t="s">
        <v>499</v>
      </c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</row>
    <row r="119" spans="2:60" x14ac:dyDescent="0.2">
      <c r="B119" s="54">
        <v>818120</v>
      </c>
      <c r="C119" s="45" t="s">
        <v>135</v>
      </c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45" t="s">
        <v>41</v>
      </c>
      <c r="W119" s="78"/>
      <c r="X119" s="45" t="s">
        <v>41</v>
      </c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 t="s">
        <v>500</v>
      </c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</row>
    <row r="120" spans="2:60" x14ac:dyDescent="0.2">
      <c r="B120" s="54">
        <v>928130</v>
      </c>
      <c r="C120" s="46" t="s">
        <v>454</v>
      </c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45" t="s">
        <v>41</v>
      </c>
      <c r="W120" s="78"/>
      <c r="X120" s="45" t="s">
        <v>41</v>
      </c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 t="s">
        <v>499</v>
      </c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</row>
    <row r="121" spans="2:60" x14ac:dyDescent="0.2">
      <c r="B121" s="54">
        <v>928140</v>
      </c>
      <c r="C121" s="45" t="s">
        <v>136</v>
      </c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45" t="s">
        <v>41</v>
      </c>
      <c r="W121" s="78"/>
      <c r="X121" s="45" t="s">
        <v>41</v>
      </c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 t="s">
        <v>499</v>
      </c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</row>
    <row r="122" spans="2:60" x14ac:dyDescent="0.2">
      <c r="B122" s="54">
        <v>928150</v>
      </c>
      <c r="C122" s="45" t="s">
        <v>137</v>
      </c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45" t="s">
        <v>41</v>
      </c>
      <c r="W122" s="78"/>
      <c r="X122" s="45" t="s">
        <v>41</v>
      </c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 t="s">
        <v>499</v>
      </c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</row>
    <row r="123" spans="2:60" x14ac:dyDescent="0.2">
      <c r="B123" s="54">
        <v>928160</v>
      </c>
      <c r="C123" s="45" t="s">
        <v>138</v>
      </c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45" t="s">
        <v>41</v>
      </c>
      <c r="W123" s="78"/>
      <c r="X123" s="45" t="s">
        <v>41</v>
      </c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 t="s">
        <v>499</v>
      </c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</row>
    <row r="124" spans="2:60" x14ac:dyDescent="0.2">
      <c r="B124" s="54">
        <v>928170</v>
      </c>
      <c r="C124" s="45" t="s">
        <v>139</v>
      </c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45" t="s">
        <v>41</v>
      </c>
      <c r="W124" s="78"/>
      <c r="X124" s="45" t="s">
        <v>41</v>
      </c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 t="s">
        <v>499</v>
      </c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</row>
    <row r="125" spans="2:60" x14ac:dyDescent="0.2">
      <c r="B125" s="54">
        <v>928180</v>
      </c>
      <c r="C125" s="45" t="s">
        <v>140</v>
      </c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45" t="s">
        <v>41</v>
      </c>
      <c r="W125" s="78"/>
      <c r="X125" s="45" t="s">
        <v>41</v>
      </c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 t="s">
        <v>499</v>
      </c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</row>
    <row r="126" spans="2:60" x14ac:dyDescent="0.2">
      <c r="B126" s="54">
        <v>928190</v>
      </c>
      <c r="C126" s="45" t="s">
        <v>141</v>
      </c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45" t="s">
        <v>41</v>
      </c>
      <c r="W126" s="78"/>
      <c r="X126" s="45" t="s">
        <v>41</v>
      </c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 t="s">
        <v>499</v>
      </c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</row>
    <row r="127" spans="2:60" x14ac:dyDescent="0.2">
      <c r="B127" s="54">
        <v>928200</v>
      </c>
      <c r="C127" s="45" t="s">
        <v>142</v>
      </c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45" t="s">
        <v>41</v>
      </c>
      <c r="W127" s="78"/>
      <c r="X127" s="45" t="s">
        <v>41</v>
      </c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 t="s">
        <v>499</v>
      </c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</row>
    <row r="128" spans="2:60" x14ac:dyDescent="0.2">
      <c r="B128" s="54">
        <v>928210</v>
      </c>
      <c r="C128" s="45" t="s">
        <v>143</v>
      </c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45" t="s">
        <v>41</v>
      </c>
      <c r="W128" s="78"/>
      <c r="X128" s="45" t="s">
        <v>41</v>
      </c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 t="s">
        <v>499</v>
      </c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</row>
    <row r="129" spans="2:60" x14ac:dyDescent="0.2">
      <c r="B129" s="54">
        <v>928220</v>
      </c>
      <c r="C129" s="45" t="s">
        <v>144</v>
      </c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45" t="s">
        <v>41</v>
      </c>
      <c r="W129" s="78"/>
      <c r="X129" s="45" t="s">
        <v>41</v>
      </c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 t="s">
        <v>499</v>
      </c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</row>
    <row r="130" spans="2:60" x14ac:dyDescent="0.2">
      <c r="B130" s="54">
        <v>708200</v>
      </c>
      <c r="C130" s="45" t="s">
        <v>145</v>
      </c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45" t="s">
        <v>41</v>
      </c>
      <c r="W130" s="78"/>
      <c r="X130" s="45" t="s">
        <v>41</v>
      </c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 t="s">
        <v>70</v>
      </c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</row>
    <row r="131" spans="2:60" x14ac:dyDescent="0.2">
      <c r="B131" s="54">
        <v>648200</v>
      </c>
      <c r="C131" s="45" t="s">
        <v>146</v>
      </c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45" t="s">
        <v>41</v>
      </c>
      <c r="W131" s="78"/>
      <c r="X131" s="45" t="s">
        <v>41</v>
      </c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 t="s">
        <v>410</v>
      </c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</row>
    <row r="132" spans="2:60" x14ac:dyDescent="0.2">
      <c r="B132" s="54">
        <v>618130</v>
      </c>
      <c r="C132" s="45" t="s">
        <v>147</v>
      </c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45" t="s">
        <v>41</v>
      </c>
      <c r="W132" s="78"/>
      <c r="X132" s="45" t="s">
        <v>41</v>
      </c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 t="s">
        <v>80</v>
      </c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</row>
    <row r="133" spans="2:60" x14ac:dyDescent="0.2">
      <c r="B133" s="54">
        <v>628110</v>
      </c>
      <c r="C133" s="45" t="s">
        <v>148</v>
      </c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45" t="s">
        <v>41</v>
      </c>
      <c r="W133" s="78"/>
      <c r="X133" s="45" t="s">
        <v>41</v>
      </c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 t="s">
        <v>408</v>
      </c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</row>
    <row r="134" spans="2:60" x14ac:dyDescent="0.2">
      <c r="B134" s="54">
        <v>218140</v>
      </c>
      <c r="C134" s="45" t="s">
        <v>149</v>
      </c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45" t="s">
        <v>512</v>
      </c>
      <c r="W134" s="78"/>
      <c r="X134" s="45" t="s">
        <v>512</v>
      </c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 t="s">
        <v>78</v>
      </c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</row>
    <row r="135" spans="2:60" x14ac:dyDescent="0.2">
      <c r="B135" s="54">
        <v>218150</v>
      </c>
      <c r="C135" s="45" t="s">
        <v>150</v>
      </c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45" t="s">
        <v>512</v>
      </c>
      <c r="W135" s="78"/>
      <c r="X135" s="45" t="s">
        <v>512</v>
      </c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 t="s">
        <v>78</v>
      </c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</row>
    <row r="136" spans="2:60" x14ac:dyDescent="0.2">
      <c r="B136" s="54">
        <v>218160</v>
      </c>
      <c r="C136" s="45" t="s">
        <v>151</v>
      </c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45" t="s">
        <v>512</v>
      </c>
      <c r="W136" s="78"/>
      <c r="X136" s="45" t="s">
        <v>512</v>
      </c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 t="s">
        <v>78</v>
      </c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</row>
    <row r="137" spans="2:60" x14ac:dyDescent="0.2">
      <c r="B137" s="54">
        <v>218170</v>
      </c>
      <c r="C137" s="46" t="s">
        <v>152</v>
      </c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45" t="s">
        <v>512</v>
      </c>
      <c r="W137" s="78"/>
      <c r="X137" s="45" t="s">
        <v>512</v>
      </c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 t="s">
        <v>78</v>
      </c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</row>
    <row r="138" spans="2:60" x14ac:dyDescent="0.2">
      <c r="B138" s="54">
        <v>438130</v>
      </c>
      <c r="C138" s="45" t="s">
        <v>153</v>
      </c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45" t="s">
        <v>41</v>
      </c>
      <c r="W138" s="78"/>
      <c r="X138" s="45" t="s">
        <v>41</v>
      </c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 t="s">
        <v>404</v>
      </c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</row>
    <row r="139" spans="2:60" x14ac:dyDescent="0.2">
      <c r="B139" s="54">
        <v>218180</v>
      </c>
      <c r="C139" s="45" t="s">
        <v>154</v>
      </c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45" t="s">
        <v>512</v>
      </c>
      <c r="W139" s="78"/>
      <c r="X139" s="45" t="s">
        <v>512</v>
      </c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 t="s">
        <v>78</v>
      </c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</row>
    <row r="140" spans="2:60" x14ac:dyDescent="0.2">
      <c r="B140" s="54">
        <v>218190</v>
      </c>
      <c r="C140" s="46" t="s">
        <v>77</v>
      </c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45" t="s">
        <v>512</v>
      </c>
      <c r="W140" s="78"/>
      <c r="X140" s="45" t="s">
        <v>512</v>
      </c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 t="s">
        <v>78</v>
      </c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</row>
    <row r="141" spans="2:60" x14ac:dyDescent="0.2">
      <c r="B141" s="54">
        <v>218200</v>
      </c>
      <c r="C141" s="45" t="s">
        <v>155</v>
      </c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45" t="s">
        <v>512</v>
      </c>
      <c r="W141" s="78"/>
      <c r="X141" s="45" t="s">
        <v>512</v>
      </c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 t="s">
        <v>78</v>
      </c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</row>
    <row r="142" spans="2:60" x14ac:dyDescent="0.2">
      <c r="B142" s="54">
        <v>708210</v>
      </c>
      <c r="C142" s="45" t="s">
        <v>156</v>
      </c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45" t="s">
        <v>41</v>
      </c>
      <c r="W142" s="78"/>
      <c r="X142" s="45" t="s">
        <v>41</v>
      </c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 t="s">
        <v>70</v>
      </c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</row>
    <row r="143" spans="2:60" x14ac:dyDescent="0.2">
      <c r="B143" s="54">
        <v>708220</v>
      </c>
      <c r="C143" s="45" t="s">
        <v>157</v>
      </c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45" t="s">
        <v>41</v>
      </c>
      <c r="W143" s="45" t="s">
        <v>41</v>
      </c>
      <c r="X143" s="45" t="s">
        <v>41</v>
      </c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 t="s">
        <v>70</v>
      </c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</row>
    <row r="144" spans="2:60" x14ac:dyDescent="0.2">
      <c r="B144" s="54">
        <v>708230</v>
      </c>
      <c r="C144" s="45" t="s">
        <v>158</v>
      </c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45" t="s">
        <v>41</v>
      </c>
      <c r="W144" s="45" t="s">
        <v>41</v>
      </c>
      <c r="X144" s="45" t="s">
        <v>41</v>
      </c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 t="s">
        <v>70</v>
      </c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</row>
    <row r="145" spans="2:60" x14ac:dyDescent="0.2">
      <c r="B145" s="54">
        <v>708240</v>
      </c>
      <c r="C145" s="45" t="s">
        <v>159</v>
      </c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45" t="s">
        <v>41</v>
      </c>
      <c r="W145" s="45" t="s">
        <v>41</v>
      </c>
      <c r="X145" s="45" t="s">
        <v>41</v>
      </c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 t="s">
        <v>70</v>
      </c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</row>
    <row r="146" spans="2:60" x14ac:dyDescent="0.2">
      <c r="B146" s="54">
        <v>708250</v>
      </c>
      <c r="C146" s="45" t="s">
        <v>160</v>
      </c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45" t="s">
        <v>41</v>
      </c>
      <c r="W146" s="45" t="s">
        <v>41</v>
      </c>
      <c r="X146" s="45" t="s">
        <v>41</v>
      </c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 t="s">
        <v>70</v>
      </c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</row>
    <row r="147" spans="2:60" x14ac:dyDescent="0.2">
      <c r="B147" s="54">
        <v>228110</v>
      </c>
      <c r="C147" s="46" t="s">
        <v>455</v>
      </c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45" t="s">
        <v>41</v>
      </c>
      <c r="W147" s="45" t="s">
        <v>41</v>
      </c>
      <c r="X147" s="45" t="s">
        <v>41</v>
      </c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 t="s">
        <v>504</v>
      </c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</row>
    <row r="148" spans="2:60" x14ac:dyDescent="0.2">
      <c r="B148" s="54">
        <v>228120</v>
      </c>
      <c r="C148" s="45" t="s">
        <v>161</v>
      </c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45" t="s">
        <v>41</v>
      </c>
      <c r="W148" s="45" t="s">
        <v>41</v>
      </c>
      <c r="X148" s="45" t="s">
        <v>41</v>
      </c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 t="s">
        <v>504</v>
      </c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</row>
    <row r="149" spans="2:60" x14ac:dyDescent="0.2">
      <c r="B149" s="54">
        <v>648210</v>
      </c>
      <c r="C149" s="45" t="s">
        <v>162</v>
      </c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45" t="s">
        <v>41</v>
      </c>
      <c r="W149" s="45" t="s">
        <v>41</v>
      </c>
      <c r="X149" s="45" t="s">
        <v>41</v>
      </c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 t="s">
        <v>410</v>
      </c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</row>
    <row r="150" spans="2:60" x14ac:dyDescent="0.2">
      <c r="B150" s="54">
        <v>648220</v>
      </c>
      <c r="C150" s="45" t="s">
        <v>163</v>
      </c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45" t="s">
        <v>41</v>
      </c>
      <c r="W150" s="45" t="s">
        <v>41</v>
      </c>
      <c r="X150" s="45" t="s">
        <v>41</v>
      </c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 t="s">
        <v>410</v>
      </c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</row>
    <row r="151" spans="2:60" x14ac:dyDescent="0.2">
      <c r="B151" s="54">
        <v>648230</v>
      </c>
      <c r="C151" s="45" t="s">
        <v>164</v>
      </c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45" t="s">
        <v>41</v>
      </c>
      <c r="W151" s="45" t="s">
        <v>41</v>
      </c>
      <c r="X151" s="45" t="s">
        <v>41</v>
      </c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 t="s">
        <v>410</v>
      </c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</row>
    <row r="152" spans="2:60" x14ac:dyDescent="0.2">
      <c r="B152" s="54">
        <v>648240</v>
      </c>
      <c r="C152" s="45" t="s">
        <v>165</v>
      </c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45" t="s">
        <v>41</v>
      </c>
      <c r="W152" s="45" t="s">
        <v>41</v>
      </c>
      <c r="X152" s="45" t="s">
        <v>41</v>
      </c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 t="s">
        <v>410</v>
      </c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</row>
    <row r="153" spans="2:60" x14ac:dyDescent="0.2">
      <c r="B153" s="54">
        <v>648250</v>
      </c>
      <c r="C153" s="45" t="s">
        <v>166</v>
      </c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45" t="s">
        <v>41</v>
      </c>
      <c r="W153" s="45" t="s">
        <v>41</v>
      </c>
      <c r="X153" s="45" t="s">
        <v>41</v>
      </c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 t="s">
        <v>410</v>
      </c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</row>
    <row r="154" spans="2:60" x14ac:dyDescent="0.2">
      <c r="B154" s="54">
        <v>648260</v>
      </c>
      <c r="C154" s="45" t="s">
        <v>167</v>
      </c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45" t="s">
        <v>41</v>
      </c>
      <c r="W154" s="45" t="s">
        <v>41</v>
      </c>
      <c r="X154" s="45" t="s">
        <v>41</v>
      </c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 t="s">
        <v>410</v>
      </c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</row>
    <row r="155" spans="2:60" x14ac:dyDescent="0.2">
      <c r="B155" s="54">
        <v>708260</v>
      </c>
      <c r="C155" s="45" t="s">
        <v>168</v>
      </c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45" t="s">
        <v>41</v>
      </c>
      <c r="W155" s="45" t="s">
        <v>41</v>
      </c>
      <c r="X155" s="45" t="s">
        <v>41</v>
      </c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 t="s">
        <v>70</v>
      </c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</row>
    <row r="156" spans="2:60" x14ac:dyDescent="0.2">
      <c r="B156" s="54">
        <v>648270</v>
      </c>
      <c r="C156" s="45" t="s">
        <v>169</v>
      </c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45" t="s">
        <v>41</v>
      </c>
      <c r="W156" s="45" t="s">
        <v>41</v>
      </c>
      <c r="X156" s="45" t="s">
        <v>41</v>
      </c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 t="s">
        <v>410</v>
      </c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</row>
    <row r="157" spans="2:60" x14ac:dyDescent="0.2">
      <c r="B157" s="54">
        <v>708270</v>
      </c>
      <c r="C157" s="45" t="s">
        <v>67</v>
      </c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45" t="s">
        <v>41</v>
      </c>
      <c r="W157" s="45" t="s">
        <v>41</v>
      </c>
      <c r="X157" s="45" t="s">
        <v>41</v>
      </c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 t="s">
        <v>70</v>
      </c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</row>
    <row r="158" spans="2:60" x14ac:dyDescent="0.2">
      <c r="B158" s="54">
        <v>708280</v>
      </c>
      <c r="C158" s="45" t="s">
        <v>68</v>
      </c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45" t="s">
        <v>41</v>
      </c>
      <c r="W158" s="45" t="s">
        <v>41</v>
      </c>
      <c r="X158" s="45" t="s">
        <v>41</v>
      </c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 t="s">
        <v>70</v>
      </c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</row>
    <row r="159" spans="2:60" x14ac:dyDescent="0.2">
      <c r="B159" s="54">
        <v>708290</v>
      </c>
      <c r="C159" s="46" t="s">
        <v>66</v>
      </c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45" t="s">
        <v>41</v>
      </c>
      <c r="W159" s="45" t="s">
        <v>41</v>
      </c>
      <c r="X159" s="45" t="s">
        <v>41</v>
      </c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 t="s">
        <v>70</v>
      </c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</row>
    <row r="160" spans="2:60" x14ac:dyDescent="0.2">
      <c r="B160" s="54">
        <v>708300</v>
      </c>
      <c r="C160" s="45" t="s">
        <v>170</v>
      </c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45" t="s">
        <v>41</v>
      </c>
      <c r="W160" s="45" t="s">
        <v>41</v>
      </c>
      <c r="X160" s="45" t="s">
        <v>41</v>
      </c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 t="s">
        <v>70</v>
      </c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</row>
    <row r="161" spans="2:60" x14ac:dyDescent="0.2">
      <c r="B161" s="54">
        <v>618140</v>
      </c>
      <c r="C161" s="45" t="s">
        <v>171</v>
      </c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45" t="s">
        <v>41</v>
      </c>
      <c r="W161" s="45" t="s">
        <v>41</v>
      </c>
      <c r="X161" s="45" t="s">
        <v>41</v>
      </c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 t="s">
        <v>80</v>
      </c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</row>
    <row r="162" spans="2:60" x14ac:dyDescent="0.2">
      <c r="B162" s="54">
        <v>938120</v>
      </c>
      <c r="C162" s="45" t="s">
        <v>172</v>
      </c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45" t="s">
        <v>41</v>
      </c>
      <c r="W162" s="45" t="s">
        <v>41</v>
      </c>
      <c r="X162" s="45" t="s">
        <v>41</v>
      </c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 t="s">
        <v>502</v>
      </c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</row>
    <row r="163" spans="2:60" x14ac:dyDescent="0.2">
      <c r="B163" s="54">
        <v>408110</v>
      </c>
      <c r="C163" s="45" t="s">
        <v>173</v>
      </c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45" t="s">
        <v>41</v>
      </c>
      <c r="W163" s="45" t="s">
        <v>41</v>
      </c>
      <c r="X163" s="45" t="s">
        <v>41</v>
      </c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 t="s">
        <v>506</v>
      </c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</row>
    <row r="164" spans="2:60" x14ac:dyDescent="0.2">
      <c r="B164" s="54">
        <v>408120</v>
      </c>
      <c r="C164" s="45" t="s">
        <v>174</v>
      </c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45" t="s">
        <v>512</v>
      </c>
      <c r="W164" s="45" t="s">
        <v>512</v>
      </c>
      <c r="X164" s="45" t="s">
        <v>512</v>
      </c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 t="s">
        <v>506</v>
      </c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</row>
    <row r="165" spans="2:60" x14ac:dyDescent="0.2">
      <c r="B165" s="54">
        <v>408130</v>
      </c>
      <c r="C165" s="45" t="s">
        <v>175</v>
      </c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45" t="s">
        <v>512</v>
      </c>
      <c r="W165" s="45" t="s">
        <v>512</v>
      </c>
      <c r="X165" s="45" t="s">
        <v>512</v>
      </c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 t="s">
        <v>506</v>
      </c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</row>
    <row r="166" spans="2:60" x14ac:dyDescent="0.2">
      <c r="B166" s="54">
        <v>408140</v>
      </c>
      <c r="C166" s="45" t="s">
        <v>176</v>
      </c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45" t="s">
        <v>512</v>
      </c>
      <c r="W166" s="45" t="s">
        <v>512</v>
      </c>
      <c r="X166" s="45" t="s">
        <v>512</v>
      </c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 t="s">
        <v>506</v>
      </c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</row>
    <row r="167" spans="2:60" x14ac:dyDescent="0.2">
      <c r="B167" s="54">
        <v>238110</v>
      </c>
      <c r="C167" s="45" t="s">
        <v>177</v>
      </c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45" t="s">
        <v>512</v>
      </c>
      <c r="W167" s="45" t="s">
        <v>512</v>
      </c>
      <c r="X167" s="45" t="s">
        <v>512</v>
      </c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 t="s">
        <v>505</v>
      </c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</row>
    <row r="168" spans="2:60" x14ac:dyDescent="0.2">
      <c r="B168" s="54">
        <v>238120</v>
      </c>
      <c r="C168" s="46" t="s">
        <v>456</v>
      </c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45" t="s">
        <v>512</v>
      </c>
      <c r="W168" s="45" t="s">
        <v>512</v>
      </c>
      <c r="X168" s="45" t="s">
        <v>512</v>
      </c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 t="s">
        <v>505</v>
      </c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</row>
    <row r="169" spans="2:60" x14ac:dyDescent="0.2">
      <c r="B169" s="54">
        <v>238130</v>
      </c>
      <c r="C169" s="45" t="s">
        <v>178</v>
      </c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45" t="s">
        <v>512</v>
      </c>
      <c r="W169" s="45" t="s">
        <v>512</v>
      </c>
      <c r="X169" s="45" t="s">
        <v>512</v>
      </c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 t="s">
        <v>505</v>
      </c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</row>
    <row r="170" spans="2:60" x14ac:dyDescent="0.2">
      <c r="B170" s="54">
        <v>238140</v>
      </c>
      <c r="C170" s="45" t="s">
        <v>179</v>
      </c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45" t="s">
        <v>41</v>
      </c>
      <c r="W170" s="45" t="s">
        <v>41</v>
      </c>
      <c r="X170" s="45" t="s">
        <v>41</v>
      </c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 t="s">
        <v>505</v>
      </c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</row>
    <row r="171" spans="2:60" x14ac:dyDescent="0.2">
      <c r="B171" s="54">
        <v>318110</v>
      </c>
      <c r="C171" s="45" t="s">
        <v>86</v>
      </c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45" t="s">
        <v>512</v>
      </c>
      <c r="W171" s="45" t="s">
        <v>512</v>
      </c>
      <c r="X171" s="45" t="s">
        <v>512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 t="s">
        <v>508</v>
      </c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</row>
    <row r="172" spans="2:60" x14ac:dyDescent="0.2">
      <c r="B172" s="54">
        <v>318120</v>
      </c>
      <c r="C172" s="46" t="s">
        <v>85</v>
      </c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45" t="s">
        <v>512</v>
      </c>
      <c r="W172" s="45" t="s">
        <v>512</v>
      </c>
      <c r="X172" s="45" t="s">
        <v>512</v>
      </c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 t="s">
        <v>508</v>
      </c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</row>
    <row r="173" spans="2:60" x14ac:dyDescent="0.2">
      <c r="B173" s="54">
        <v>318130</v>
      </c>
      <c r="C173" s="45" t="s">
        <v>180</v>
      </c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45" t="s">
        <v>512</v>
      </c>
      <c r="W173" s="45" t="s">
        <v>512</v>
      </c>
      <c r="X173" s="45" t="s">
        <v>512</v>
      </c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 t="s">
        <v>508</v>
      </c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</row>
    <row r="174" spans="2:60" x14ac:dyDescent="0.2">
      <c r="B174" s="54">
        <v>318140</v>
      </c>
      <c r="C174" s="45" t="s">
        <v>181</v>
      </c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45" t="s">
        <v>512</v>
      </c>
      <c r="W174" s="45" t="s">
        <v>512</v>
      </c>
      <c r="X174" s="45" t="s">
        <v>512</v>
      </c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 t="s">
        <v>508</v>
      </c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</row>
    <row r="175" spans="2:60" x14ac:dyDescent="0.2">
      <c r="B175" s="54">
        <v>318150</v>
      </c>
      <c r="C175" s="45" t="s">
        <v>182</v>
      </c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45" t="s">
        <v>512</v>
      </c>
      <c r="W175" s="45" t="s">
        <v>512</v>
      </c>
      <c r="X175" s="45" t="s">
        <v>512</v>
      </c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 t="s">
        <v>508</v>
      </c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</row>
    <row r="176" spans="2:60" x14ac:dyDescent="0.2">
      <c r="B176" s="54">
        <v>318160</v>
      </c>
      <c r="C176" s="45" t="s">
        <v>183</v>
      </c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45" t="s">
        <v>512</v>
      </c>
      <c r="W176" s="45" t="s">
        <v>512</v>
      </c>
      <c r="X176" s="45" t="s">
        <v>512</v>
      </c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 t="s">
        <v>508</v>
      </c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</row>
    <row r="177" spans="2:60" x14ac:dyDescent="0.2">
      <c r="B177" s="54">
        <v>318170</v>
      </c>
      <c r="C177" s="45" t="s">
        <v>184</v>
      </c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45" t="s">
        <v>512</v>
      </c>
      <c r="W177" s="45" t="s">
        <v>512</v>
      </c>
      <c r="X177" s="45" t="s">
        <v>512</v>
      </c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 t="s">
        <v>508</v>
      </c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</row>
    <row r="178" spans="2:60" x14ac:dyDescent="0.2">
      <c r="B178" s="54">
        <v>318180</v>
      </c>
      <c r="C178" s="46" t="s">
        <v>457</v>
      </c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45" t="s">
        <v>512</v>
      </c>
      <c r="W178" s="45" t="s">
        <v>512</v>
      </c>
      <c r="X178" s="45" t="s">
        <v>512</v>
      </c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 t="s">
        <v>508</v>
      </c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</row>
    <row r="179" spans="2:60" x14ac:dyDescent="0.2">
      <c r="B179" s="54">
        <v>318190</v>
      </c>
      <c r="C179" s="45" t="s">
        <v>185</v>
      </c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45" t="s">
        <v>512</v>
      </c>
      <c r="W179" s="45" t="s">
        <v>512</v>
      </c>
      <c r="X179" s="45" t="s">
        <v>512</v>
      </c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 t="s">
        <v>508</v>
      </c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</row>
    <row r="180" spans="2:60" x14ac:dyDescent="0.2">
      <c r="B180" s="54">
        <v>318200</v>
      </c>
      <c r="C180" s="45" t="s">
        <v>186</v>
      </c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45" t="s">
        <v>512</v>
      </c>
      <c r="W180" s="45" t="s">
        <v>512</v>
      </c>
      <c r="X180" s="45" t="s">
        <v>512</v>
      </c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 t="s">
        <v>508</v>
      </c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</row>
    <row r="181" spans="2:60" x14ac:dyDescent="0.2">
      <c r="B181" s="54">
        <v>318210</v>
      </c>
      <c r="C181" s="45" t="s">
        <v>88</v>
      </c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45" t="s">
        <v>512</v>
      </c>
      <c r="W181" s="45" t="s">
        <v>512</v>
      </c>
      <c r="X181" s="45" t="s">
        <v>512</v>
      </c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 t="s">
        <v>508</v>
      </c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</row>
    <row r="182" spans="2:60" x14ac:dyDescent="0.2">
      <c r="B182" s="54">
        <v>318220</v>
      </c>
      <c r="C182" s="45" t="s">
        <v>187</v>
      </c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45" t="s">
        <v>512</v>
      </c>
      <c r="W182" s="45" t="s">
        <v>512</v>
      </c>
      <c r="X182" s="45" t="s">
        <v>512</v>
      </c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 t="s">
        <v>508</v>
      </c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</row>
    <row r="183" spans="2:60" x14ac:dyDescent="0.2">
      <c r="B183" s="54">
        <v>318230</v>
      </c>
      <c r="C183" s="45" t="s">
        <v>188</v>
      </c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45" t="s">
        <v>512</v>
      </c>
      <c r="W183" s="45" t="s">
        <v>512</v>
      </c>
      <c r="X183" s="45" t="s">
        <v>512</v>
      </c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 t="s">
        <v>508</v>
      </c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</row>
    <row r="184" spans="2:60" x14ac:dyDescent="0.2">
      <c r="B184" s="54">
        <v>318240</v>
      </c>
      <c r="C184" s="45" t="s">
        <v>189</v>
      </c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45" t="s">
        <v>512</v>
      </c>
      <c r="W184" s="45" t="s">
        <v>512</v>
      </c>
      <c r="X184" s="45" t="s">
        <v>512</v>
      </c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 t="s">
        <v>508</v>
      </c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</row>
    <row r="185" spans="2:60" x14ac:dyDescent="0.2">
      <c r="B185" s="54">
        <v>318250</v>
      </c>
      <c r="C185" s="45" t="s">
        <v>190</v>
      </c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45" t="s">
        <v>512</v>
      </c>
      <c r="W185" s="45" t="s">
        <v>512</v>
      </c>
      <c r="X185" s="45" t="s">
        <v>512</v>
      </c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 t="s">
        <v>508</v>
      </c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</row>
    <row r="186" spans="2:60" x14ac:dyDescent="0.2">
      <c r="B186" s="54">
        <v>318260</v>
      </c>
      <c r="C186" s="45" t="s">
        <v>191</v>
      </c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45" t="s">
        <v>512</v>
      </c>
      <c r="W186" s="45" t="s">
        <v>512</v>
      </c>
      <c r="X186" s="45" t="s">
        <v>512</v>
      </c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 t="s">
        <v>508</v>
      </c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</row>
    <row r="187" spans="2:60" x14ac:dyDescent="0.2">
      <c r="B187" s="54">
        <v>318270</v>
      </c>
      <c r="C187" s="45" t="s">
        <v>192</v>
      </c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45" t="s">
        <v>512</v>
      </c>
      <c r="W187" s="45" t="s">
        <v>512</v>
      </c>
      <c r="X187" s="45" t="s">
        <v>512</v>
      </c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 t="s">
        <v>508</v>
      </c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</row>
    <row r="188" spans="2:60" x14ac:dyDescent="0.2">
      <c r="B188" s="54">
        <v>318280</v>
      </c>
      <c r="C188" s="45" t="s">
        <v>458</v>
      </c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45" t="s">
        <v>512</v>
      </c>
      <c r="W188" s="45" t="s">
        <v>512</v>
      </c>
      <c r="X188" s="45" t="s">
        <v>512</v>
      </c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 t="s">
        <v>508</v>
      </c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</row>
    <row r="189" spans="2:60" x14ac:dyDescent="0.2">
      <c r="B189" s="54">
        <v>318290</v>
      </c>
      <c r="C189" s="45" t="s">
        <v>459</v>
      </c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45" t="s">
        <v>512</v>
      </c>
      <c r="W189" s="45" t="s">
        <v>512</v>
      </c>
      <c r="X189" s="45" t="s">
        <v>512</v>
      </c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 t="s">
        <v>508</v>
      </c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</row>
    <row r="190" spans="2:60" x14ac:dyDescent="0.2">
      <c r="B190" s="54">
        <v>318300</v>
      </c>
      <c r="C190" s="45" t="s">
        <v>460</v>
      </c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45" t="s">
        <v>512</v>
      </c>
      <c r="W190" s="45" t="s">
        <v>512</v>
      </c>
      <c r="X190" s="45" t="s">
        <v>512</v>
      </c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 t="s">
        <v>508</v>
      </c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</row>
    <row r="191" spans="2:60" x14ac:dyDescent="0.2">
      <c r="B191" s="54">
        <v>348110</v>
      </c>
      <c r="C191" s="45" t="s">
        <v>461</v>
      </c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45" t="s">
        <v>512</v>
      </c>
      <c r="W191" s="45" t="s">
        <v>512</v>
      </c>
      <c r="X191" s="45" t="s">
        <v>512</v>
      </c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 t="s">
        <v>509</v>
      </c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</row>
    <row r="192" spans="2:60" x14ac:dyDescent="0.2">
      <c r="B192" s="54">
        <v>348120</v>
      </c>
      <c r="C192" s="45" t="s">
        <v>462</v>
      </c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45" t="s">
        <v>512</v>
      </c>
      <c r="W192" s="45" t="s">
        <v>512</v>
      </c>
      <c r="X192" s="45" t="s">
        <v>512</v>
      </c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 t="s">
        <v>509</v>
      </c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</row>
    <row r="193" spans="2:60" x14ac:dyDescent="0.2">
      <c r="B193" s="54">
        <v>348130</v>
      </c>
      <c r="C193" s="45" t="s">
        <v>463</v>
      </c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45" t="s">
        <v>512</v>
      </c>
      <c r="W193" s="45" t="s">
        <v>512</v>
      </c>
      <c r="X193" s="45" t="s">
        <v>512</v>
      </c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 t="s">
        <v>509</v>
      </c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</row>
    <row r="194" spans="2:60" x14ac:dyDescent="0.2">
      <c r="B194" s="54">
        <v>348140</v>
      </c>
      <c r="C194" s="45" t="s">
        <v>464</v>
      </c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45" t="s">
        <v>512</v>
      </c>
      <c r="W194" s="45" t="s">
        <v>512</v>
      </c>
      <c r="X194" s="45" t="s">
        <v>512</v>
      </c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 t="s">
        <v>509</v>
      </c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</row>
    <row r="195" spans="2:60" x14ac:dyDescent="0.2">
      <c r="B195" s="54">
        <v>348150</v>
      </c>
      <c r="C195" s="45" t="s">
        <v>465</v>
      </c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45" t="s">
        <v>512</v>
      </c>
      <c r="W195" s="45" t="s">
        <v>512</v>
      </c>
      <c r="X195" s="45" t="s">
        <v>512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 t="s">
        <v>509</v>
      </c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</row>
    <row r="196" spans="2:60" x14ac:dyDescent="0.2">
      <c r="B196" s="54">
        <v>348160</v>
      </c>
      <c r="C196" s="45" t="s">
        <v>466</v>
      </c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45" t="s">
        <v>512</v>
      </c>
      <c r="W196" s="45" t="s">
        <v>512</v>
      </c>
      <c r="X196" s="45" t="s">
        <v>512</v>
      </c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 t="s">
        <v>509</v>
      </c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</row>
    <row r="197" spans="2:60" x14ac:dyDescent="0.2">
      <c r="B197" s="54">
        <v>348170</v>
      </c>
      <c r="C197" s="45" t="s">
        <v>467</v>
      </c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45" t="s">
        <v>512</v>
      </c>
      <c r="W197" s="45" t="s">
        <v>512</v>
      </c>
      <c r="X197" s="45" t="s">
        <v>512</v>
      </c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 t="s">
        <v>509</v>
      </c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</row>
    <row r="198" spans="2:60" x14ac:dyDescent="0.2">
      <c r="B198" s="54">
        <v>368290</v>
      </c>
      <c r="C198" s="45" t="s">
        <v>513</v>
      </c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45" t="s">
        <v>512</v>
      </c>
      <c r="W198" s="45" t="s">
        <v>512</v>
      </c>
      <c r="X198" s="45" t="s">
        <v>512</v>
      </c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 t="s">
        <v>424</v>
      </c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</row>
    <row r="199" spans="2:60" x14ac:dyDescent="0.2">
      <c r="B199" s="54">
        <v>318310</v>
      </c>
      <c r="C199" s="45" t="s">
        <v>193</v>
      </c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45" t="s">
        <v>41</v>
      </c>
      <c r="W199" s="45" t="s">
        <v>41</v>
      </c>
      <c r="X199" s="45" t="s">
        <v>41</v>
      </c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 t="s">
        <v>508</v>
      </c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</row>
    <row r="200" spans="2:60" x14ac:dyDescent="0.2">
      <c r="B200" s="54">
        <v>318320</v>
      </c>
      <c r="C200" s="46" t="s">
        <v>468</v>
      </c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45" t="s">
        <v>41</v>
      </c>
      <c r="W200" s="45" t="s">
        <v>41</v>
      </c>
      <c r="X200" s="45" t="s">
        <v>41</v>
      </c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 t="s">
        <v>508</v>
      </c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</row>
    <row r="201" spans="2:60" x14ac:dyDescent="0.2">
      <c r="B201" s="54">
        <v>318330</v>
      </c>
      <c r="C201" s="45" t="s">
        <v>194</v>
      </c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45" t="s">
        <v>41</v>
      </c>
      <c r="W201" s="45" t="s">
        <v>41</v>
      </c>
      <c r="X201" s="45" t="s">
        <v>41</v>
      </c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 t="s">
        <v>508</v>
      </c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</row>
    <row r="202" spans="2:60" x14ac:dyDescent="0.2">
      <c r="B202" s="54">
        <v>318340</v>
      </c>
      <c r="C202" s="45" t="s">
        <v>195</v>
      </c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45" t="s">
        <v>41</v>
      </c>
      <c r="W202" s="45" t="s">
        <v>41</v>
      </c>
      <c r="X202" s="45" t="s">
        <v>41</v>
      </c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 t="s">
        <v>508</v>
      </c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</row>
    <row r="203" spans="2:60" x14ac:dyDescent="0.2">
      <c r="B203" s="54">
        <v>318350</v>
      </c>
      <c r="C203" s="45" t="s">
        <v>196</v>
      </c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45" t="s">
        <v>41</v>
      </c>
      <c r="W203" s="45" t="s">
        <v>41</v>
      </c>
      <c r="X203" s="45" t="s">
        <v>41</v>
      </c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 t="s">
        <v>508</v>
      </c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</row>
    <row r="204" spans="2:60" x14ac:dyDescent="0.2">
      <c r="B204" s="54">
        <v>318360</v>
      </c>
      <c r="C204" s="46" t="s">
        <v>469</v>
      </c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45" t="s">
        <v>41</v>
      </c>
      <c r="W204" s="45" t="s">
        <v>41</v>
      </c>
      <c r="X204" s="45" t="s">
        <v>41</v>
      </c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 t="s">
        <v>508</v>
      </c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</row>
    <row r="205" spans="2:60" x14ac:dyDescent="0.2">
      <c r="B205" s="54">
        <v>708310</v>
      </c>
      <c r="C205" s="45" t="s">
        <v>197</v>
      </c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45" t="s">
        <v>41</v>
      </c>
      <c r="W205" s="45" t="s">
        <v>41</v>
      </c>
      <c r="X205" s="45" t="s">
        <v>41</v>
      </c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 t="s">
        <v>70</v>
      </c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</row>
    <row r="206" spans="2:60" x14ac:dyDescent="0.2">
      <c r="B206" s="54">
        <v>238150</v>
      </c>
      <c r="C206" s="45" t="s">
        <v>198</v>
      </c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45" t="s">
        <v>512</v>
      </c>
      <c r="W206" s="45" t="s">
        <v>512</v>
      </c>
      <c r="X206" s="45" t="s">
        <v>512</v>
      </c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 t="s">
        <v>505</v>
      </c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</row>
    <row r="207" spans="2:60" x14ac:dyDescent="0.2">
      <c r="B207" s="54">
        <v>238160</v>
      </c>
      <c r="C207" s="45" t="s">
        <v>199</v>
      </c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45" t="s">
        <v>512</v>
      </c>
      <c r="W207" s="45" t="s">
        <v>512</v>
      </c>
      <c r="X207" s="45" t="s">
        <v>512</v>
      </c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 t="s">
        <v>505</v>
      </c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</row>
    <row r="208" spans="2:60" x14ac:dyDescent="0.2">
      <c r="B208" s="54">
        <v>238170</v>
      </c>
      <c r="C208" s="45" t="s">
        <v>200</v>
      </c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45" t="s">
        <v>512</v>
      </c>
      <c r="W208" s="45" t="s">
        <v>512</v>
      </c>
      <c r="X208" s="45" t="s">
        <v>512</v>
      </c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 t="s">
        <v>505</v>
      </c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</row>
    <row r="209" spans="2:60" x14ac:dyDescent="0.2">
      <c r="B209" s="54">
        <v>238180</v>
      </c>
      <c r="C209" s="45" t="s">
        <v>201</v>
      </c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45" t="s">
        <v>512</v>
      </c>
      <c r="W209" s="45" t="s">
        <v>512</v>
      </c>
      <c r="X209" s="45" t="s">
        <v>512</v>
      </c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 t="s">
        <v>505</v>
      </c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</row>
    <row r="210" spans="2:60" x14ac:dyDescent="0.2">
      <c r="B210" s="54">
        <v>238190</v>
      </c>
      <c r="C210" s="45" t="s">
        <v>514</v>
      </c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45" t="s">
        <v>512</v>
      </c>
      <c r="W210" s="45" t="s">
        <v>512</v>
      </c>
      <c r="X210" s="45" t="s">
        <v>512</v>
      </c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 t="s">
        <v>505</v>
      </c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</row>
    <row r="211" spans="2:60" x14ac:dyDescent="0.2">
      <c r="B211" s="54">
        <v>238200</v>
      </c>
      <c r="C211" s="45" t="s">
        <v>202</v>
      </c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45" t="s">
        <v>41</v>
      </c>
      <c r="W211" s="45" t="s">
        <v>41</v>
      </c>
      <c r="X211" s="45" t="s">
        <v>41</v>
      </c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 t="s">
        <v>505</v>
      </c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</row>
    <row r="212" spans="2:60" x14ac:dyDescent="0.2">
      <c r="B212" s="54">
        <v>238210</v>
      </c>
      <c r="C212" s="46" t="s">
        <v>470</v>
      </c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45" t="s">
        <v>512</v>
      </c>
      <c r="W212" s="45" t="s">
        <v>512</v>
      </c>
      <c r="X212" s="45" t="s">
        <v>512</v>
      </c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 t="s">
        <v>505</v>
      </c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</row>
    <row r="213" spans="2:60" x14ac:dyDescent="0.2">
      <c r="B213" s="54">
        <v>238220</v>
      </c>
      <c r="C213" s="46" t="s">
        <v>471</v>
      </c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45" t="s">
        <v>512</v>
      </c>
      <c r="W213" s="45" t="s">
        <v>512</v>
      </c>
      <c r="X213" s="45" t="s">
        <v>512</v>
      </c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 t="s">
        <v>505</v>
      </c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</row>
    <row r="214" spans="2:60" x14ac:dyDescent="0.2">
      <c r="B214" s="54">
        <v>238230</v>
      </c>
      <c r="C214" s="45" t="s">
        <v>203</v>
      </c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45" t="s">
        <v>512</v>
      </c>
      <c r="W214" s="45" t="s">
        <v>512</v>
      </c>
      <c r="X214" s="45" t="s">
        <v>512</v>
      </c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 t="s">
        <v>505</v>
      </c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</row>
    <row r="215" spans="2:60" x14ac:dyDescent="0.2">
      <c r="B215" s="54">
        <v>238240</v>
      </c>
      <c r="C215" s="45" t="s">
        <v>204</v>
      </c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45" t="s">
        <v>512</v>
      </c>
      <c r="W215" s="45" t="s">
        <v>512</v>
      </c>
      <c r="X215" s="45" t="s">
        <v>512</v>
      </c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 t="s">
        <v>505</v>
      </c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</row>
    <row r="216" spans="2:60" x14ac:dyDescent="0.2">
      <c r="B216" s="54">
        <v>798130</v>
      </c>
      <c r="C216" s="45" t="s">
        <v>205</v>
      </c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45" t="s">
        <v>41</v>
      </c>
      <c r="W216" s="45" t="s">
        <v>41</v>
      </c>
      <c r="X216" s="45" t="s">
        <v>41</v>
      </c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 t="s">
        <v>423</v>
      </c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</row>
    <row r="217" spans="2:60" x14ac:dyDescent="0.2">
      <c r="B217" s="54">
        <v>218210</v>
      </c>
      <c r="C217" s="45" t="s">
        <v>206</v>
      </c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45" t="s">
        <v>512</v>
      </c>
      <c r="W217" s="45" t="s">
        <v>512</v>
      </c>
      <c r="X217" s="45" t="s">
        <v>512</v>
      </c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 t="s">
        <v>78</v>
      </c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</row>
    <row r="218" spans="2:60" x14ac:dyDescent="0.2">
      <c r="B218" s="54">
        <v>218220</v>
      </c>
      <c r="C218" s="45" t="s">
        <v>207</v>
      </c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45" t="s">
        <v>512</v>
      </c>
      <c r="W218" s="45" t="s">
        <v>512</v>
      </c>
      <c r="X218" s="45" t="s">
        <v>512</v>
      </c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 t="s">
        <v>78</v>
      </c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</row>
    <row r="219" spans="2:60" x14ac:dyDescent="0.2">
      <c r="B219" s="54">
        <v>438140</v>
      </c>
      <c r="C219" s="45" t="s">
        <v>208</v>
      </c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45" t="s">
        <v>41</v>
      </c>
      <c r="W219" s="45" t="s">
        <v>41</v>
      </c>
      <c r="X219" s="45" t="s">
        <v>41</v>
      </c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 t="s">
        <v>404</v>
      </c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</row>
    <row r="220" spans="2:60" x14ac:dyDescent="0.2">
      <c r="B220" s="54">
        <v>438150</v>
      </c>
      <c r="C220" s="45" t="s">
        <v>209</v>
      </c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45" t="s">
        <v>41</v>
      </c>
      <c r="W220" s="45" t="s">
        <v>41</v>
      </c>
      <c r="X220" s="45" t="s">
        <v>41</v>
      </c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 t="s">
        <v>404</v>
      </c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</row>
    <row r="221" spans="2:60" x14ac:dyDescent="0.2">
      <c r="B221" s="54">
        <v>438160</v>
      </c>
      <c r="C221" s="45" t="s">
        <v>210</v>
      </c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45" t="s">
        <v>41</v>
      </c>
      <c r="W221" s="45" t="s">
        <v>41</v>
      </c>
      <c r="X221" s="45" t="s">
        <v>41</v>
      </c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 t="s">
        <v>404</v>
      </c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</row>
    <row r="222" spans="2:60" x14ac:dyDescent="0.2">
      <c r="B222" s="54">
        <v>438170</v>
      </c>
      <c r="C222" s="45" t="s">
        <v>211</v>
      </c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9" t="s">
        <v>41</v>
      </c>
      <c r="W222" s="79" t="s">
        <v>41</v>
      </c>
      <c r="X222" s="79" t="s">
        <v>41</v>
      </c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 t="s">
        <v>404</v>
      </c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</row>
    <row r="223" spans="2:60" x14ac:dyDescent="0.2">
      <c r="B223" s="54">
        <v>218230</v>
      </c>
      <c r="C223" s="45" t="s">
        <v>212</v>
      </c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9" t="s">
        <v>512</v>
      </c>
      <c r="W223" s="79" t="s">
        <v>512</v>
      </c>
      <c r="X223" s="79" t="s">
        <v>512</v>
      </c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 t="s">
        <v>78</v>
      </c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</row>
    <row r="224" spans="2:60" x14ac:dyDescent="0.2">
      <c r="B224" s="54">
        <v>228130</v>
      </c>
      <c r="C224" s="46" t="s">
        <v>79</v>
      </c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9" t="s">
        <v>41</v>
      </c>
      <c r="W224" s="79" t="s">
        <v>41</v>
      </c>
      <c r="X224" s="79" t="s">
        <v>41</v>
      </c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 t="s">
        <v>504</v>
      </c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</row>
    <row r="225" spans="2:60" x14ac:dyDescent="0.2">
      <c r="B225" s="54">
        <v>228140</v>
      </c>
      <c r="C225" s="46" t="s">
        <v>472</v>
      </c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9" t="s">
        <v>41</v>
      </c>
      <c r="W225" s="79" t="s">
        <v>41</v>
      </c>
      <c r="X225" s="79" t="s">
        <v>41</v>
      </c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 t="s">
        <v>504</v>
      </c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</row>
    <row r="226" spans="2:60" x14ac:dyDescent="0.2">
      <c r="B226" s="54">
        <v>228150</v>
      </c>
      <c r="C226" s="46" t="s">
        <v>473</v>
      </c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9" t="s">
        <v>41</v>
      </c>
      <c r="W226" s="79" t="s">
        <v>41</v>
      </c>
      <c r="X226" s="79" t="s">
        <v>41</v>
      </c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 t="s">
        <v>504</v>
      </c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</row>
    <row r="227" spans="2:60" x14ac:dyDescent="0.2">
      <c r="B227" s="54">
        <v>228160</v>
      </c>
      <c r="C227" s="46" t="s">
        <v>474</v>
      </c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9" t="s">
        <v>41</v>
      </c>
      <c r="W227" s="79" t="s">
        <v>41</v>
      </c>
      <c r="X227" s="79" t="s">
        <v>41</v>
      </c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 t="s">
        <v>504</v>
      </c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</row>
    <row r="228" spans="2:60" x14ac:dyDescent="0.2">
      <c r="B228" s="54">
        <v>228170</v>
      </c>
      <c r="C228" s="45" t="s">
        <v>213</v>
      </c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9" t="s">
        <v>41</v>
      </c>
      <c r="W228" s="79" t="s">
        <v>41</v>
      </c>
      <c r="X228" s="79" t="s">
        <v>41</v>
      </c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 t="s">
        <v>504</v>
      </c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</row>
    <row r="229" spans="2:60" x14ac:dyDescent="0.2">
      <c r="B229" s="54">
        <v>228180</v>
      </c>
      <c r="C229" s="46" t="s">
        <v>475</v>
      </c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9" t="s">
        <v>41</v>
      </c>
      <c r="W229" s="79" t="s">
        <v>41</v>
      </c>
      <c r="X229" s="79" t="s">
        <v>41</v>
      </c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 t="s">
        <v>504</v>
      </c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</row>
    <row r="230" spans="2:60" x14ac:dyDescent="0.2">
      <c r="B230" s="54">
        <v>228190</v>
      </c>
      <c r="C230" s="45" t="s">
        <v>214</v>
      </c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9" t="s">
        <v>41</v>
      </c>
      <c r="W230" s="79" t="s">
        <v>41</v>
      </c>
      <c r="X230" s="79" t="s">
        <v>41</v>
      </c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 t="s">
        <v>504</v>
      </c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</row>
    <row r="231" spans="2:60" x14ac:dyDescent="0.2">
      <c r="B231" s="54">
        <v>228200</v>
      </c>
      <c r="C231" s="45" t="s">
        <v>215</v>
      </c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9" t="s">
        <v>41</v>
      </c>
      <c r="W231" s="79" t="s">
        <v>41</v>
      </c>
      <c r="X231" s="79" t="s">
        <v>41</v>
      </c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 t="s">
        <v>504</v>
      </c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</row>
    <row r="232" spans="2:60" x14ac:dyDescent="0.2">
      <c r="B232" s="54">
        <v>228210</v>
      </c>
      <c r="C232" s="45" t="s">
        <v>216</v>
      </c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9" t="s">
        <v>41</v>
      </c>
      <c r="W232" s="79" t="s">
        <v>41</v>
      </c>
      <c r="X232" s="79" t="s">
        <v>41</v>
      </c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 t="s">
        <v>504</v>
      </c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</row>
    <row r="233" spans="2:60" x14ac:dyDescent="0.2">
      <c r="B233" s="54">
        <v>228220</v>
      </c>
      <c r="C233" s="45" t="s">
        <v>217</v>
      </c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9" t="s">
        <v>41</v>
      </c>
      <c r="W233" s="79" t="s">
        <v>41</v>
      </c>
      <c r="X233" s="79" t="s">
        <v>41</v>
      </c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 t="s">
        <v>504</v>
      </c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</row>
    <row r="234" spans="2:60" x14ac:dyDescent="0.2">
      <c r="B234" s="54">
        <v>918160</v>
      </c>
      <c r="C234" s="45" t="s">
        <v>218</v>
      </c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9" t="s">
        <v>41</v>
      </c>
      <c r="W234" s="79" t="s">
        <v>41</v>
      </c>
      <c r="X234" s="79" t="s">
        <v>41</v>
      </c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 t="s">
        <v>84</v>
      </c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</row>
    <row r="235" spans="2:60" x14ac:dyDescent="0.2">
      <c r="B235" s="54">
        <v>918170</v>
      </c>
      <c r="C235" s="45" t="s">
        <v>219</v>
      </c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9" t="s">
        <v>41</v>
      </c>
      <c r="W235" s="79" t="s">
        <v>41</v>
      </c>
      <c r="X235" s="79" t="s">
        <v>41</v>
      </c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 t="s">
        <v>84</v>
      </c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</row>
    <row r="236" spans="2:60" x14ac:dyDescent="0.2">
      <c r="B236" s="54">
        <v>438180</v>
      </c>
      <c r="C236" s="45" t="s">
        <v>220</v>
      </c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9" t="s">
        <v>41</v>
      </c>
      <c r="W236" s="79" t="s">
        <v>41</v>
      </c>
      <c r="X236" s="79" t="s">
        <v>41</v>
      </c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 t="s">
        <v>404</v>
      </c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</row>
    <row r="237" spans="2:60" x14ac:dyDescent="0.2">
      <c r="B237" s="54">
        <v>438190</v>
      </c>
      <c r="C237" s="45" t="s">
        <v>221</v>
      </c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9" t="s">
        <v>41</v>
      </c>
      <c r="W237" s="79" t="s">
        <v>41</v>
      </c>
      <c r="X237" s="79" t="s">
        <v>41</v>
      </c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 t="s">
        <v>404</v>
      </c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</row>
    <row r="238" spans="2:60" x14ac:dyDescent="0.2">
      <c r="B238" s="54">
        <v>218240</v>
      </c>
      <c r="C238" s="45" t="s">
        <v>222</v>
      </c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9" t="s">
        <v>512</v>
      </c>
      <c r="W238" s="79" t="s">
        <v>512</v>
      </c>
      <c r="X238" s="79" t="s">
        <v>512</v>
      </c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 t="s">
        <v>78</v>
      </c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</row>
    <row r="239" spans="2:60" x14ac:dyDescent="0.2">
      <c r="B239" s="54">
        <v>218250</v>
      </c>
      <c r="C239" s="45" t="s">
        <v>223</v>
      </c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9" t="s">
        <v>512</v>
      </c>
      <c r="W239" s="79" t="s">
        <v>512</v>
      </c>
      <c r="X239" s="79" t="s">
        <v>512</v>
      </c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 t="s">
        <v>78</v>
      </c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</row>
    <row r="240" spans="2:60" x14ac:dyDescent="0.2">
      <c r="B240" s="54">
        <v>218260</v>
      </c>
      <c r="C240" s="46" t="s">
        <v>224</v>
      </c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9" t="s">
        <v>512</v>
      </c>
      <c r="W240" s="79" t="s">
        <v>512</v>
      </c>
      <c r="X240" s="79" t="s">
        <v>512</v>
      </c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 t="s">
        <v>78</v>
      </c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</row>
    <row r="241" spans="2:60" x14ac:dyDescent="0.2">
      <c r="B241" s="54">
        <v>218270</v>
      </c>
      <c r="C241" s="46" t="s">
        <v>225</v>
      </c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9" t="s">
        <v>512</v>
      </c>
      <c r="W241" s="79" t="s">
        <v>512</v>
      </c>
      <c r="X241" s="79" t="s">
        <v>512</v>
      </c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 t="s">
        <v>78</v>
      </c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</row>
    <row r="242" spans="2:60" x14ac:dyDescent="0.2">
      <c r="B242" s="54">
        <v>218280</v>
      </c>
      <c r="C242" s="45" t="s">
        <v>226</v>
      </c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9" t="s">
        <v>512</v>
      </c>
      <c r="W242" s="79" t="s">
        <v>512</v>
      </c>
      <c r="X242" s="79" t="s">
        <v>512</v>
      </c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 t="s">
        <v>78</v>
      </c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</row>
    <row r="243" spans="2:60" x14ac:dyDescent="0.2">
      <c r="B243" s="54">
        <v>218290</v>
      </c>
      <c r="C243" s="46" t="s">
        <v>227</v>
      </c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9" t="s">
        <v>512</v>
      </c>
      <c r="W243" s="79" t="s">
        <v>512</v>
      </c>
      <c r="X243" s="79" t="s">
        <v>512</v>
      </c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 t="s">
        <v>78</v>
      </c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</row>
    <row r="244" spans="2:60" x14ac:dyDescent="0.2">
      <c r="B244" s="54">
        <v>218300</v>
      </c>
      <c r="C244" s="46" t="s">
        <v>476</v>
      </c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9" t="s">
        <v>512</v>
      </c>
      <c r="W244" s="79" t="s">
        <v>512</v>
      </c>
      <c r="X244" s="79" t="s">
        <v>512</v>
      </c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 t="s">
        <v>78</v>
      </c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</row>
    <row r="245" spans="2:60" x14ac:dyDescent="0.2">
      <c r="B245" s="54">
        <v>218310</v>
      </c>
      <c r="C245" s="46" t="s">
        <v>477</v>
      </c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9" t="s">
        <v>512</v>
      </c>
      <c r="W245" s="79" t="s">
        <v>512</v>
      </c>
      <c r="X245" s="79" t="s">
        <v>512</v>
      </c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 t="s">
        <v>78</v>
      </c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</row>
    <row r="246" spans="2:60" x14ac:dyDescent="0.2">
      <c r="B246" s="54">
        <v>218320</v>
      </c>
      <c r="C246" s="46" t="s">
        <v>228</v>
      </c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9" t="s">
        <v>512</v>
      </c>
      <c r="W246" s="79" t="s">
        <v>512</v>
      </c>
      <c r="X246" s="79" t="s">
        <v>512</v>
      </c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 t="s">
        <v>78</v>
      </c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</row>
    <row r="247" spans="2:60" x14ac:dyDescent="0.2">
      <c r="B247" s="54">
        <v>218330</v>
      </c>
      <c r="C247" s="46" t="s">
        <v>229</v>
      </c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9" t="s">
        <v>512</v>
      </c>
      <c r="W247" s="79" t="s">
        <v>512</v>
      </c>
      <c r="X247" s="79" t="s">
        <v>512</v>
      </c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 t="s">
        <v>78</v>
      </c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</row>
    <row r="248" spans="2:60" x14ac:dyDescent="0.2">
      <c r="B248" s="54">
        <v>218340</v>
      </c>
      <c r="C248" s="46" t="s">
        <v>230</v>
      </c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9" t="s">
        <v>512</v>
      </c>
      <c r="W248" s="79" t="s">
        <v>512</v>
      </c>
      <c r="X248" s="79" t="s">
        <v>512</v>
      </c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 t="s">
        <v>78</v>
      </c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</row>
    <row r="249" spans="2:60" x14ac:dyDescent="0.2">
      <c r="B249" s="54">
        <v>218350</v>
      </c>
      <c r="C249" s="46" t="s">
        <v>478</v>
      </c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9" t="s">
        <v>512</v>
      </c>
      <c r="W249" s="79" t="s">
        <v>512</v>
      </c>
      <c r="X249" s="79" t="s">
        <v>512</v>
      </c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 t="s">
        <v>78</v>
      </c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</row>
    <row r="250" spans="2:60" x14ac:dyDescent="0.2">
      <c r="B250" s="54">
        <v>218360</v>
      </c>
      <c r="C250" s="46" t="s">
        <v>231</v>
      </c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9" t="s">
        <v>512</v>
      </c>
      <c r="W250" s="79" t="s">
        <v>512</v>
      </c>
      <c r="X250" s="79" t="s">
        <v>512</v>
      </c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 t="s">
        <v>78</v>
      </c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</row>
    <row r="251" spans="2:60" x14ac:dyDescent="0.2">
      <c r="B251" s="54">
        <v>218370</v>
      </c>
      <c r="C251" s="46" t="s">
        <v>232</v>
      </c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9" t="s">
        <v>512</v>
      </c>
      <c r="W251" s="79" t="s">
        <v>512</v>
      </c>
      <c r="X251" s="79" t="s">
        <v>512</v>
      </c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 t="s">
        <v>78</v>
      </c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</row>
    <row r="252" spans="2:60" x14ac:dyDescent="0.2">
      <c r="B252" s="54">
        <v>218380</v>
      </c>
      <c r="C252" s="45" t="s">
        <v>233</v>
      </c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9" t="s">
        <v>512</v>
      </c>
      <c r="W252" s="79" t="s">
        <v>512</v>
      </c>
      <c r="X252" s="79" t="s">
        <v>512</v>
      </c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 t="s">
        <v>78</v>
      </c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</row>
    <row r="253" spans="2:60" x14ac:dyDescent="0.2">
      <c r="B253" s="54">
        <v>218390</v>
      </c>
      <c r="C253" s="45" t="s">
        <v>234</v>
      </c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9" t="s">
        <v>512</v>
      </c>
      <c r="W253" s="79" t="s">
        <v>512</v>
      </c>
      <c r="X253" s="79" t="s">
        <v>512</v>
      </c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 t="s">
        <v>78</v>
      </c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</row>
    <row r="254" spans="2:60" x14ac:dyDescent="0.2">
      <c r="B254" s="54">
        <v>218400</v>
      </c>
      <c r="C254" s="45" t="s">
        <v>235</v>
      </c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9" t="s">
        <v>512</v>
      </c>
      <c r="W254" s="79" t="s">
        <v>512</v>
      </c>
      <c r="X254" s="79" t="s">
        <v>512</v>
      </c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 t="s">
        <v>78</v>
      </c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</row>
    <row r="255" spans="2:60" x14ac:dyDescent="0.2">
      <c r="B255" s="54">
        <v>238250</v>
      </c>
      <c r="C255" s="45" t="s">
        <v>236</v>
      </c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9" t="s">
        <v>512</v>
      </c>
      <c r="W255" s="79" t="s">
        <v>512</v>
      </c>
      <c r="X255" s="79" t="s">
        <v>512</v>
      </c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 t="s">
        <v>505</v>
      </c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</row>
    <row r="256" spans="2:60" x14ac:dyDescent="0.2">
      <c r="B256" s="54">
        <v>238260</v>
      </c>
      <c r="C256" s="45" t="s">
        <v>237</v>
      </c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9" t="s">
        <v>512</v>
      </c>
      <c r="W256" s="79" t="s">
        <v>512</v>
      </c>
      <c r="X256" s="79" t="s">
        <v>512</v>
      </c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 t="s">
        <v>505</v>
      </c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</row>
    <row r="257" spans="2:60" x14ac:dyDescent="0.2">
      <c r="B257" s="54">
        <v>238270</v>
      </c>
      <c r="C257" s="45" t="s">
        <v>238</v>
      </c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9" t="s">
        <v>512</v>
      </c>
      <c r="W257" s="79" t="s">
        <v>512</v>
      </c>
      <c r="X257" s="79" t="s">
        <v>512</v>
      </c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 t="s">
        <v>505</v>
      </c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</row>
    <row r="258" spans="2:60" x14ac:dyDescent="0.2">
      <c r="B258" s="54">
        <v>238280</v>
      </c>
      <c r="C258" s="45" t="s">
        <v>239</v>
      </c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9" t="s">
        <v>41</v>
      </c>
      <c r="W258" s="79" t="s">
        <v>41</v>
      </c>
      <c r="X258" s="79" t="s">
        <v>41</v>
      </c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 t="s">
        <v>505</v>
      </c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</row>
    <row r="259" spans="2:60" x14ac:dyDescent="0.2">
      <c r="B259" s="54">
        <v>238290</v>
      </c>
      <c r="C259" s="45" t="s">
        <v>240</v>
      </c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9" t="s">
        <v>512</v>
      </c>
      <c r="W259" s="79" t="s">
        <v>512</v>
      </c>
      <c r="X259" s="79" t="s">
        <v>512</v>
      </c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 t="s">
        <v>505</v>
      </c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</row>
    <row r="260" spans="2:60" x14ac:dyDescent="0.2">
      <c r="B260" s="54">
        <v>238300</v>
      </c>
      <c r="C260" s="45" t="s">
        <v>241</v>
      </c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9" t="s">
        <v>41</v>
      </c>
      <c r="W260" s="79" t="s">
        <v>41</v>
      </c>
      <c r="X260" s="79" t="s">
        <v>41</v>
      </c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 t="s">
        <v>505</v>
      </c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</row>
    <row r="261" spans="2:60" x14ac:dyDescent="0.2">
      <c r="B261" s="54">
        <v>238310</v>
      </c>
      <c r="C261" s="45" t="s">
        <v>242</v>
      </c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9" t="s">
        <v>41</v>
      </c>
      <c r="W261" s="79" t="s">
        <v>41</v>
      </c>
      <c r="X261" s="79" t="s">
        <v>41</v>
      </c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 t="s">
        <v>505</v>
      </c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</row>
    <row r="262" spans="2:60" x14ac:dyDescent="0.2">
      <c r="B262" s="54">
        <v>238320</v>
      </c>
      <c r="C262" s="45" t="s">
        <v>243</v>
      </c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9" t="s">
        <v>41</v>
      </c>
      <c r="W262" s="79" t="s">
        <v>41</v>
      </c>
      <c r="X262" s="79" t="s">
        <v>41</v>
      </c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 t="s">
        <v>505</v>
      </c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</row>
    <row r="263" spans="2:60" x14ac:dyDescent="0.2">
      <c r="B263" s="54">
        <v>238330</v>
      </c>
      <c r="C263" s="45" t="s">
        <v>244</v>
      </c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9" t="s">
        <v>41</v>
      </c>
      <c r="W263" s="79" t="s">
        <v>41</v>
      </c>
      <c r="X263" s="79" t="s">
        <v>41</v>
      </c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 t="s">
        <v>505</v>
      </c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</row>
    <row r="264" spans="2:60" x14ac:dyDescent="0.2">
      <c r="B264" s="54">
        <v>238340</v>
      </c>
      <c r="C264" s="45" t="s">
        <v>245</v>
      </c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9" t="s">
        <v>41</v>
      </c>
      <c r="W264" s="79" t="s">
        <v>41</v>
      </c>
      <c r="X264" s="79" t="s">
        <v>41</v>
      </c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 t="s">
        <v>505</v>
      </c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</row>
    <row r="265" spans="2:60" x14ac:dyDescent="0.2">
      <c r="B265" s="54">
        <v>238350</v>
      </c>
      <c r="C265" s="45" t="s">
        <v>246</v>
      </c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9" t="s">
        <v>41</v>
      </c>
      <c r="W265" s="79" t="s">
        <v>41</v>
      </c>
      <c r="X265" s="79" t="s">
        <v>41</v>
      </c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 t="s">
        <v>505</v>
      </c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</row>
    <row r="266" spans="2:60" x14ac:dyDescent="0.2">
      <c r="B266" s="54">
        <v>238360</v>
      </c>
      <c r="C266" s="45" t="s">
        <v>247</v>
      </c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9" t="s">
        <v>41</v>
      </c>
      <c r="W266" s="79" t="s">
        <v>41</v>
      </c>
      <c r="X266" s="79" t="s">
        <v>41</v>
      </c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 t="s">
        <v>505</v>
      </c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</row>
    <row r="267" spans="2:60" x14ac:dyDescent="0.2">
      <c r="B267" s="54">
        <v>238370</v>
      </c>
      <c r="C267" s="45" t="s">
        <v>248</v>
      </c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9" t="s">
        <v>512</v>
      </c>
      <c r="W267" s="79" t="s">
        <v>512</v>
      </c>
      <c r="X267" s="79" t="s">
        <v>512</v>
      </c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 t="s">
        <v>505</v>
      </c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</row>
    <row r="268" spans="2:60" x14ac:dyDescent="0.2">
      <c r="B268" s="54">
        <v>238380</v>
      </c>
      <c r="C268" s="45" t="s">
        <v>249</v>
      </c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9" t="s">
        <v>41</v>
      </c>
      <c r="W268" s="79" t="s">
        <v>41</v>
      </c>
      <c r="X268" s="79" t="s">
        <v>41</v>
      </c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 t="s">
        <v>505</v>
      </c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</row>
    <row r="269" spans="2:60" x14ac:dyDescent="0.2">
      <c r="B269" s="54">
        <v>238390</v>
      </c>
      <c r="C269" s="45" t="s">
        <v>250</v>
      </c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9" t="s">
        <v>41</v>
      </c>
      <c r="W269" s="79" t="s">
        <v>41</v>
      </c>
      <c r="X269" s="79" t="s">
        <v>41</v>
      </c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 t="s">
        <v>505</v>
      </c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</row>
    <row r="270" spans="2:60" x14ac:dyDescent="0.2">
      <c r="B270" s="54">
        <v>238400</v>
      </c>
      <c r="C270" s="45" t="s">
        <v>251</v>
      </c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9" t="s">
        <v>512</v>
      </c>
      <c r="W270" s="79" t="s">
        <v>512</v>
      </c>
      <c r="X270" s="79" t="s">
        <v>512</v>
      </c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 t="s">
        <v>505</v>
      </c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</row>
    <row r="271" spans="2:60" x14ac:dyDescent="0.2">
      <c r="B271" s="54">
        <v>238410</v>
      </c>
      <c r="C271" s="45" t="s">
        <v>252</v>
      </c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9" t="s">
        <v>41</v>
      </c>
      <c r="W271" s="79" t="s">
        <v>41</v>
      </c>
      <c r="X271" s="79" t="s">
        <v>41</v>
      </c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 t="s">
        <v>505</v>
      </c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</row>
    <row r="272" spans="2:60" x14ac:dyDescent="0.2">
      <c r="B272" s="54">
        <v>238420</v>
      </c>
      <c r="C272" s="45" t="s">
        <v>253</v>
      </c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9" t="s">
        <v>41</v>
      </c>
      <c r="W272" s="79" t="s">
        <v>41</v>
      </c>
      <c r="X272" s="79" t="s">
        <v>41</v>
      </c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 t="s">
        <v>505</v>
      </c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</row>
    <row r="273" spans="2:60" x14ac:dyDescent="0.2">
      <c r="B273" s="54">
        <v>238430</v>
      </c>
      <c r="C273" s="45" t="s">
        <v>254</v>
      </c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9" t="s">
        <v>512</v>
      </c>
      <c r="W273" s="79" t="s">
        <v>512</v>
      </c>
      <c r="X273" s="79" t="s">
        <v>512</v>
      </c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 t="s">
        <v>505</v>
      </c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</row>
    <row r="274" spans="2:60" x14ac:dyDescent="0.2">
      <c r="B274" s="54">
        <v>238440</v>
      </c>
      <c r="C274" s="45" t="s">
        <v>255</v>
      </c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9" t="s">
        <v>512</v>
      </c>
      <c r="W274" s="79" t="s">
        <v>512</v>
      </c>
      <c r="X274" s="79" t="s">
        <v>512</v>
      </c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 t="s">
        <v>505</v>
      </c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</row>
    <row r="275" spans="2:60" x14ac:dyDescent="0.2">
      <c r="B275" s="54">
        <v>818130</v>
      </c>
      <c r="C275" s="45" t="s">
        <v>256</v>
      </c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9" t="s">
        <v>41</v>
      </c>
      <c r="W275" s="79" t="s">
        <v>41</v>
      </c>
      <c r="X275" s="79" t="s">
        <v>41</v>
      </c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 t="s">
        <v>500</v>
      </c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</row>
    <row r="276" spans="2:60" x14ac:dyDescent="0.2">
      <c r="B276" s="54">
        <v>798140</v>
      </c>
      <c r="C276" s="45" t="s">
        <v>257</v>
      </c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9" t="s">
        <v>41</v>
      </c>
      <c r="W276" s="79" t="s">
        <v>41</v>
      </c>
      <c r="X276" s="79" t="s">
        <v>41</v>
      </c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 t="s">
        <v>423</v>
      </c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</row>
    <row r="277" spans="2:60" x14ac:dyDescent="0.2">
      <c r="B277" s="54">
        <v>218410</v>
      </c>
      <c r="C277" s="45" t="s">
        <v>258</v>
      </c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9" t="s">
        <v>512</v>
      </c>
      <c r="W277" s="79" t="s">
        <v>512</v>
      </c>
      <c r="X277" s="79" t="s">
        <v>512</v>
      </c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 t="s">
        <v>78</v>
      </c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</row>
    <row r="278" spans="2:60" x14ac:dyDescent="0.2">
      <c r="B278" s="54">
        <v>218420</v>
      </c>
      <c r="C278" s="45" t="s">
        <v>259</v>
      </c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9" t="s">
        <v>512</v>
      </c>
      <c r="W278" s="79" t="s">
        <v>512</v>
      </c>
      <c r="X278" s="79" t="s">
        <v>512</v>
      </c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 t="s">
        <v>78</v>
      </c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</row>
    <row r="279" spans="2:60" x14ac:dyDescent="0.2">
      <c r="B279" s="54">
        <v>938130</v>
      </c>
      <c r="C279" s="45" t="s">
        <v>260</v>
      </c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9" t="s">
        <v>41</v>
      </c>
      <c r="W279" s="79" t="s">
        <v>41</v>
      </c>
      <c r="X279" s="79" t="s">
        <v>41</v>
      </c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 t="s">
        <v>502</v>
      </c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</row>
    <row r="280" spans="2:60" x14ac:dyDescent="0.2">
      <c r="B280" s="54">
        <v>938140</v>
      </c>
      <c r="C280" s="45" t="s">
        <v>261</v>
      </c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9" t="s">
        <v>41</v>
      </c>
      <c r="W280" s="79" t="s">
        <v>41</v>
      </c>
      <c r="X280" s="79" t="s">
        <v>41</v>
      </c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 t="s">
        <v>502</v>
      </c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</row>
    <row r="281" spans="2:60" x14ac:dyDescent="0.2">
      <c r="B281" s="54">
        <v>938150</v>
      </c>
      <c r="C281" s="45" t="s">
        <v>262</v>
      </c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9" t="s">
        <v>41</v>
      </c>
      <c r="W281" s="79" t="s">
        <v>518</v>
      </c>
      <c r="X281" s="79" t="s">
        <v>41</v>
      </c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 t="s">
        <v>502</v>
      </c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</row>
    <row r="282" spans="2:60" x14ac:dyDescent="0.2">
      <c r="B282" s="54">
        <v>938160</v>
      </c>
      <c r="C282" s="45" t="s">
        <v>263</v>
      </c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9" t="s">
        <v>41</v>
      </c>
      <c r="W282" s="79" t="s">
        <v>41</v>
      </c>
      <c r="X282" s="79" t="s">
        <v>41</v>
      </c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 t="s">
        <v>502</v>
      </c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</row>
    <row r="283" spans="2:60" x14ac:dyDescent="0.2">
      <c r="B283" s="54">
        <v>708320</v>
      </c>
      <c r="C283" s="45" t="s">
        <v>264</v>
      </c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9" t="s">
        <v>41</v>
      </c>
      <c r="W283" s="79" t="s">
        <v>41</v>
      </c>
      <c r="X283" s="79" t="s">
        <v>41</v>
      </c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 t="s">
        <v>70</v>
      </c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</row>
    <row r="284" spans="2:60" x14ac:dyDescent="0.2">
      <c r="B284" s="54">
        <v>318370</v>
      </c>
      <c r="C284" s="45" t="s">
        <v>265</v>
      </c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9" t="s">
        <v>41</v>
      </c>
      <c r="W284" s="79" t="s">
        <v>41</v>
      </c>
      <c r="X284" s="79" t="s">
        <v>41</v>
      </c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 t="s">
        <v>508</v>
      </c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</row>
    <row r="285" spans="2:60" x14ac:dyDescent="0.2">
      <c r="B285" s="54">
        <v>648280</v>
      </c>
      <c r="C285" s="46" t="s">
        <v>479</v>
      </c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9" t="s">
        <v>41</v>
      </c>
      <c r="W285" s="79" t="s">
        <v>41</v>
      </c>
      <c r="X285" s="79" t="s">
        <v>41</v>
      </c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 t="s">
        <v>410</v>
      </c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</row>
    <row r="286" spans="2:60" x14ac:dyDescent="0.2">
      <c r="B286" s="54">
        <v>818140</v>
      </c>
      <c r="C286" s="45" t="s">
        <v>266</v>
      </c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9" t="s">
        <v>41</v>
      </c>
      <c r="W286" s="79" t="s">
        <v>41</v>
      </c>
      <c r="X286" s="79" t="s">
        <v>41</v>
      </c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 t="s">
        <v>500</v>
      </c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</row>
    <row r="287" spans="2:60" x14ac:dyDescent="0.2">
      <c r="B287" s="54">
        <v>628120</v>
      </c>
      <c r="C287" s="45" t="s">
        <v>267</v>
      </c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9" t="s">
        <v>41</v>
      </c>
      <c r="W287" s="79" t="s">
        <v>41</v>
      </c>
      <c r="X287" s="79" t="s">
        <v>41</v>
      </c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 t="s">
        <v>408</v>
      </c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</row>
    <row r="288" spans="2:60" x14ac:dyDescent="0.2">
      <c r="B288" s="54">
        <v>828140</v>
      </c>
      <c r="C288" s="46" t="s">
        <v>480</v>
      </c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9" t="s">
        <v>41</v>
      </c>
      <c r="W288" s="79" t="s">
        <v>41</v>
      </c>
      <c r="X288" s="79" t="s">
        <v>41</v>
      </c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 t="s">
        <v>510</v>
      </c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</row>
    <row r="289" spans="2:60" x14ac:dyDescent="0.2">
      <c r="B289" s="54">
        <v>938170</v>
      </c>
      <c r="C289" s="45" t="s">
        <v>268</v>
      </c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9" t="s">
        <v>41</v>
      </c>
      <c r="W289" s="79" t="s">
        <v>41</v>
      </c>
      <c r="X289" s="79" t="s">
        <v>41</v>
      </c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 t="s">
        <v>502</v>
      </c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</row>
    <row r="290" spans="2:60" x14ac:dyDescent="0.2">
      <c r="B290" s="54">
        <v>218430</v>
      </c>
      <c r="C290" s="46" t="s">
        <v>481</v>
      </c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9" t="s">
        <v>512</v>
      </c>
      <c r="W290" s="79" t="s">
        <v>512</v>
      </c>
      <c r="X290" s="79" t="s">
        <v>512</v>
      </c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 t="s">
        <v>78</v>
      </c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</row>
    <row r="291" spans="2:60" x14ac:dyDescent="0.2">
      <c r="B291" s="54">
        <v>218440</v>
      </c>
      <c r="C291" s="45" t="s">
        <v>482</v>
      </c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9" t="s">
        <v>512</v>
      </c>
      <c r="W291" s="79" t="s">
        <v>512</v>
      </c>
      <c r="X291" s="79" t="s">
        <v>512</v>
      </c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 t="s">
        <v>78</v>
      </c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</row>
    <row r="292" spans="2:60" x14ac:dyDescent="0.2">
      <c r="B292" s="54">
        <v>938180</v>
      </c>
      <c r="C292" s="45" t="s">
        <v>269</v>
      </c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9" t="s">
        <v>41</v>
      </c>
      <c r="W292" s="79" t="s">
        <v>41</v>
      </c>
      <c r="X292" s="79" t="s">
        <v>41</v>
      </c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 t="s">
        <v>502</v>
      </c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</row>
    <row r="293" spans="2:60" x14ac:dyDescent="0.2">
      <c r="B293" s="54">
        <v>938190</v>
      </c>
      <c r="C293" s="45" t="s">
        <v>270</v>
      </c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9" t="s">
        <v>41</v>
      </c>
      <c r="W293" s="79" t="s">
        <v>41</v>
      </c>
      <c r="X293" s="79" t="s">
        <v>41</v>
      </c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 t="s">
        <v>502</v>
      </c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</row>
    <row r="294" spans="2:60" x14ac:dyDescent="0.2">
      <c r="B294" s="54">
        <v>648290</v>
      </c>
      <c r="C294" s="45" t="s">
        <v>271</v>
      </c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9" t="s">
        <v>41</v>
      </c>
      <c r="W294" s="79" t="s">
        <v>41</v>
      </c>
      <c r="X294" s="79" t="s">
        <v>41</v>
      </c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 t="s">
        <v>410</v>
      </c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</row>
    <row r="295" spans="2:60" x14ac:dyDescent="0.2">
      <c r="B295" s="54">
        <v>798150</v>
      </c>
      <c r="C295" s="45" t="s">
        <v>272</v>
      </c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9" t="s">
        <v>41</v>
      </c>
      <c r="W295" s="79" t="s">
        <v>41</v>
      </c>
      <c r="X295" s="79" t="s">
        <v>41</v>
      </c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 t="s">
        <v>423</v>
      </c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</row>
    <row r="296" spans="2:60" x14ac:dyDescent="0.2">
      <c r="B296" s="54">
        <v>228230</v>
      </c>
      <c r="C296" s="45" t="s">
        <v>273</v>
      </c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9" t="s">
        <v>41</v>
      </c>
      <c r="W296" s="79" t="s">
        <v>41</v>
      </c>
      <c r="X296" s="79" t="s">
        <v>41</v>
      </c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 t="s">
        <v>504</v>
      </c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</row>
    <row r="297" spans="2:60" x14ac:dyDescent="0.2">
      <c r="B297" s="54">
        <v>438200</v>
      </c>
      <c r="C297" s="46" t="s">
        <v>274</v>
      </c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9" t="s">
        <v>41</v>
      </c>
      <c r="W297" s="79" t="s">
        <v>41</v>
      </c>
      <c r="X297" s="79" t="s">
        <v>41</v>
      </c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 t="s">
        <v>404</v>
      </c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</row>
    <row r="298" spans="2:60" x14ac:dyDescent="0.2">
      <c r="B298" s="54">
        <v>918180</v>
      </c>
      <c r="C298" s="46" t="s">
        <v>82</v>
      </c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9" t="s">
        <v>517</v>
      </c>
      <c r="W298" s="79" t="s">
        <v>517</v>
      </c>
      <c r="X298" s="79" t="s">
        <v>517</v>
      </c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 t="s">
        <v>84</v>
      </c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</row>
    <row r="299" spans="2:60" x14ac:dyDescent="0.2">
      <c r="B299" s="54">
        <v>918190</v>
      </c>
      <c r="C299" s="45" t="s">
        <v>275</v>
      </c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9" t="s">
        <v>517</v>
      </c>
      <c r="W299" s="79" t="s">
        <v>517</v>
      </c>
      <c r="X299" s="79" t="s">
        <v>517</v>
      </c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 t="s">
        <v>84</v>
      </c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</row>
    <row r="300" spans="2:60" x14ac:dyDescent="0.2">
      <c r="B300" s="54">
        <v>918200</v>
      </c>
      <c r="C300" s="46" t="s">
        <v>83</v>
      </c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9" t="s">
        <v>517</v>
      </c>
      <c r="W300" s="79" t="s">
        <v>517</v>
      </c>
      <c r="X300" s="79" t="s">
        <v>517</v>
      </c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 t="s">
        <v>84</v>
      </c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</row>
    <row r="301" spans="2:60" x14ac:dyDescent="0.2">
      <c r="B301" s="54">
        <v>708330</v>
      </c>
      <c r="C301" s="45" t="s">
        <v>276</v>
      </c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9" t="s">
        <v>41</v>
      </c>
      <c r="W301" s="79" t="s">
        <v>41</v>
      </c>
      <c r="X301" s="79" t="s">
        <v>41</v>
      </c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 t="s">
        <v>70</v>
      </c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</row>
    <row r="302" spans="2:60" x14ac:dyDescent="0.2">
      <c r="B302" s="54">
        <v>708340</v>
      </c>
      <c r="C302" s="45" t="s">
        <v>277</v>
      </c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9" t="s">
        <v>41</v>
      </c>
      <c r="W302" s="79" t="s">
        <v>41</v>
      </c>
      <c r="X302" s="79" t="s">
        <v>41</v>
      </c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 t="s">
        <v>70</v>
      </c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</row>
    <row r="303" spans="2:60" x14ac:dyDescent="0.2">
      <c r="B303" s="54">
        <v>708350</v>
      </c>
      <c r="C303" s="46" t="s">
        <v>278</v>
      </c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9" t="s">
        <v>41</v>
      </c>
      <c r="W303" s="79" t="s">
        <v>41</v>
      </c>
      <c r="X303" s="79" t="s">
        <v>41</v>
      </c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 t="s">
        <v>70</v>
      </c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</row>
    <row r="304" spans="2:60" x14ac:dyDescent="0.2">
      <c r="B304" s="54">
        <v>938200</v>
      </c>
      <c r="C304" s="46" t="s">
        <v>483</v>
      </c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9" t="s">
        <v>41</v>
      </c>
      <c r="W304" s="79" t="s">
        <v>41</v>
      </c>
      <c r="X304" s="79" t="s">
        <v>41</v>
      </c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 t="s">
        <v>502</v>
      </c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</row>
    <row r="305" spans="2:60" x14ac:dyDescent="0.2">
      <c r="B305" s="54">
        <v>938210</v>
      </c>
      <c r="C305" s="46" t="s">
        <v>484</v>
      </c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9" t="s">
        <v>41</v>
      </c>
      <c r="W305" s="79" t="s">
        <v>41</v>
      </c>
      <c r="X305" s="79" t="s">
        <v>41</v>
      </c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 t="s">
        <v>502</v>
      </c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</row>
    <row r="306" spans="2:60" x14ac:dyDescent="0.2">
      <c r="B306" s="54">
        <v>938220</v>
      </c>
      <c r="C306" s="45" t="s">
        <v>279</v>
      </c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9" t="s">
        <v>41</v>
      </c>
      <c r="W306" s="79" t="s">
        <v>41</v>
      </c>
      <c r="X306" s="79" t="s">
        <v>41</v>
      </c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 t="s">
        <v>502</v>
      </c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</row>
    <row r="307" spans="2:60" x14ac:dyDescent="0.2">
      <c r="B307" s="54">
        <v>938230</v>
      </c>
      <c r="C307" s="45" t="s">
        <v>280</v>
      </c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9" t="s">
        <v>41</v>
      </c>
      <c r="W307" s="79" t="s">
        <v>41</v>
      </c>
      <c r="X307" s="79" t="s">
        <v>41</v>
      </c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 t="s">
        <v>502</v>
      </c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</row>
    <row r="308" spans="2:60" x14ac:dyDescent="0.2">
      <c r="B308" s="54">
        <v>938240</v>
      </c>
      <c r="C308" s="45" t="s">
        <v>281</v>
      </c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9" t="s">
        <v>41</v>
      </c>
      <c r="W308" s="79" t="s">
        <v>41</v>
      </c>
      <c r="X308" s="79" t="s">
        <v>41</v>
      </c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 t="s">
        <v>502</v>
      </c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</row>
    <row r="309" spans="2:60" x14ac:dyDescent="0.2">
      <c r="B309" s="54">
        <v>648300</v>
      </c>
      <c r="C309" s="46" t="s">
        <v>485</v>
      </c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9" t="s">
        <v>41</v>
      </c>
      <c r="W309" s="79" t="s">
        <v>41</v>
      </c>
      <c r="X309" s="79" t="s">
        <v>41</v>
      </c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 t="s">
        <v>410</v>
      </c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</row>
    <row r="310" spans="2:60" x14ac:dyDescent="0.2">
      <c r="B310" s="54">
        <v>648310</v>
      </c>
      <c r="C310" s="45" t="s">
        <v>282</v>
      </c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9" t="s">
        <v>41</v>
      </c>
      <c r="W310" s="79" t="s">
        <v>41</v>
      </c>
      <c r="X310" s="79" t="s">
        <v>41</v>
      </c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 t="s">
        <v>410</v>
      </c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</row>
    <row r="311" spans="2:60" x14ac:dyDescent="0.2">
      <c r="B311" s="54">
        <v>438210</v>
      </c>
      <c r="C311" s="45" t="s">
        <v>283</v>
      </c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9" t="s">
        <v>41</v>
      </c>
      <c r="W311" s="79" t="s">
        <v>41</v>
      </c>
      <c r="X311" s="79" t="s">
        <v>41</v>
      </c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 t="s">
        <v>404</v>
      </c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</row>
    <row r="312" spans="2:60" x14ac:dyDescent="0.2">
      <c r="B312" s="54">
        <v>438220</v>
      </c>
      <c r="C312" s="45" t="s">
        <v>284</v>
      </c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9" t="s">
        <v>41</v>
      </c>
      <c r="W312" s="79" t="s">
        <v>41</v>
      </c>
      <c r="X312" s="79" t="s">
        <v>41</v>
      </c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 t="s">
        <v>404</v>
      </c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</row>
    <row r="313" spans="2:60" x14ac:dyDescent="0.2">
      <c r="B313" s="54">
        <v>708360</v>
      </c>
      <c r="C313" s="45" t="s">
        <v>285</v>
      </c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9" t="s">
        <v>41</v>
      </c>
      <c r="W313" s="79" t="s">
        <v>41</v>
      </c>
      <c r="X313" s="79" t="s">
        <v>41</v>
      </c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 t="s">
        <v>70</v>
      </c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</row>
    <row r="314" spans="2:60" x14ac:dyDescent="0.2">
      <c r="B314" s="54">
        <v>798160</v>
      </c>
      <c r="C314" s="45" t="s">
        <v>286</v>
      </c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9" t="s">
        <v>41</v>
      </c>
      <c r="W314" s="79" t="s">
        <v>41</v>
      </c>
      <c r="X314" s="79" t="s">
        <v>41</v>
      </c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 t="s">
        <v>423</v>
      </c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</row>
    <row r="315" spans="2:60" x14ac:dyDescent="0.2">
      <c r="B315" s="54">
        <v>798170</v>
      </c>
      <c r="C315" s="45" t="s">
        <v>287</v>
      </c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9" t="s">
        <v>41</v>
      </c>
      <c r="W315" s="79" t="s">
        <v>41</v>
      </c>
      <c r="X315" s="79" t="s">
        <v>41</v>
      </c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 t="s">
        <v>423</v>
      </c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</row>
    <row r="316" spans="2:60" x14ac:dyDescent="0.2">
      <c r="B316" s="54">
        <v>928230</v>
      </c>
      <c r="C316" s="45" t="s">
        <v>288</v>
      </c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9" t="s">
        <v>41</v>
      </c>
      <c r="W316" s="79" t="s">
        <v>41</v>
      </c>
      <c r="X316" s="79" t="s">
        <v>41</v>
      </c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 t="s">
        <v>499</v>
      </c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</row>
    <row r="317" spans="2:60" x14ac:dyDescent="0.2">
      <c r="B317" s="54">
        <v>928240</v>
      </c>
      <c r="C317" s="45" t="s">
        <v>289</v>
      </c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9" t="s">
        <v>41</v>
      </c>
      <c r="W317" s="79" t="s">
        <v>41</v>
      </c>
      <c r="X317" s="79" t="s">
        <v>41</v>
      </c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 t="s">
        <v>499</v>
      </c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</row>
    <row r="318" spans="2:60" x14ac:dyDescent="0.2">
      <c r="B318" s="54">
        <v>928250</v>
      </c>
      <c r="C318" s="45" t="s">
        <v>290</v>
      </c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9" t="s">
        <v>41</v>
      </c>
      <c r="W318" s="79" t="s">
        <v>41</v>
      </c>
      <c r="X318" s="79" t="s">
        <v>41</v>
      </c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 t="s">
        <v>499</v>
      </c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</row>
    <row r="319" spans="2:60" x14ac:dyDescent="0.2">
      <c r="B319" s="54">
        <v>928260</v>
      </c>
      <c r="C319" s="45" t="s">
        <v>291</v>
      </c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9" t="s">
        <v>41</v>
      </c>
      <c r="W319" s="79" t="s">
        <v>41</v>
      </c>
      <c r="X319" s="79" t="s">
        <v>41</v>
      </c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 t="s">
        <v>499</v>
      </c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</row>
    <row r="320" spans="2:60" x14ac:dyDescent="0.2">
      <c r="B320" s="54">
        <v>928270</v>
      </c>
      <c r="C320" s="45" t="s">
        <v>292</v>
      </c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9" t="s">
        <v>41</v>
      </c>
      <c r="W320" s="79" t="s">
        <v>41</v>
      </c>
      <c r="X320" s="79" t="s">
        <v>41</v>
      </c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 t="s">
        <v>499</v>
      </c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</row>
    <row r="321" spans="2:60" x14ac:dyDescent="0.2">
      <c r="B321" s="54">
        <v>928280</v>
      </c>
      <c r="C321" s="45" t="s">
        <v>293</v>
      </c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9" t="s">
        <v>41</v>
      </c>
      <c r="W321" s="79" t="s">
        <v>41</v>
      </c>
      <c r="X321" s="79" t="s">
        <v>41</v>
      </c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 t="s">
        <v>499</v>
      </c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</row>
    <row r="322" spans="2:60" x14ac:dyDescent="0.2">
      <c r="B322" s="54">
        <v>928290</v>
      </c>
      <c r="C322" s="46" t="s">
        <v>486</v>
      </c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9" t="s">
        <v>41</v>
      </c>
      <c r="W322" s="79" t="s">
        <v>41</v>
      </c>
      <c r="X322" s="79" t="s">
        <v>41</v>
      </c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 t="s">
        <v>499</v>
      </c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</row>
    <row r="323" spans="2:60" x14ac:dyDescent="0.2">
      <c r="B323" s="54">
        <v>798180</v>
      </c>
      <c r="C323" s="46" t="s">
        <v>487</v>
      </c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9" t="s">
        <v>41</v>
      </c>
      <c r="W323" s="79" t="s">
        <v>41</v>
      </c>
      <c r="X323" s="79" t="s">
        <v>41</v>
      </c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 t="s">
        <v>423</v>
      </c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</row>
    <row r="324" spans="2:60" x14ac:dyDescent="0.2">
      <c r="B324" s="54">
        <v>798190</v>
      </c>
      <c r="C324" s="46" t="s">
        <v>488</v>
      </c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9" t="s">
        <v>41</v>
      </c>
      <c r="W324" s="79" t="s">
        <v>41</v>
      </c>
      <c r="X324" s="79" t="s">
        <v>41</v>
      </c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 t="s">
        <v>423</v>
      </c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</row>
    <row r="325" spans="2:60" x14ac:dyDescent="0.2">
      <c r="B325" s="54">
        <v>918210</v>
      </c>
      <c r="C325" s="45" t="s">
        <v>294</v>
      </c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9" t="s">
        <v>41</v>
      </c>
      <c r="W325" s="79" t="s">
        <v>41</v>
      </c>
      <c r="X325" s="79" t="s">
        <v>41</v>
      </c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 t="s">
        <v>84</v>
      </c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</row>
    <row r="326" spans="2:60" x14ac:dyDescent="0.2">
      <c r="B326" s="54">
        <v>918220</v>
      </c>
      <c r="C326" s="45" t="s">
        <v>295</v>
      </c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9" t="s">
        <v>41</v>
      </c>
      <c r="W326" s="79" t="s">
        <v>41</v>
      </c>
      <c r="X326" s="79" t="s">
        <v>41</v>
      </c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 t="s">
        <v>84</v>
      </c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</row>
    <row r="327" spans="2:60" x14ac:dyDescent="0.2">
      <c r="B327" s="54">
        <v>918230</v>
      </c>
      <c r="C327" s="45" t="s">
        <v>296</v>
      </c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9" t="s">
        <v>41</v>
      </c>
      <c r="W327" s="79" t="s">
        <v>41</v>
      </c>
      <c r="X327" s="79" t="s">
        <v>41</v>
      </c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 t="s">
        <v>84</v>
      </c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</row>
    <row r="328" spans="2:60" x14ac:dyDescent="0.2">
      <c r="B328" s="54">
        <v>918240</v>
      </c>
      <c r="C328" s="45" t="s">
        <v>297</v>
      </c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9" t="s">
        <v>41</v>
      </c>
      <c r="W328" s="79" t="s">
        <v>41</v>
      </c>
      <c r="X328" s="79" t="s">
        <v>41</v>
      </c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 t="s">
        <v>84</v>
      </c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</row>
    <row r="329" spans="2:60" x14ac:dyDescent="0.2">
      <c r="B329" s="54">
        <v>918250</v>
      </c>
      <c r="C329" s="45" t="s">
        <v>298</v>
      </c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9" t="s">
        <v>41</v>
      </c>
      <c r="W329" s="79" t="s">
        <v>41</v>
      </c>
      <c r="X329" s="79" t="s">
        <v>41</v>
      </c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 t="s">
        <v>84</v>
      </c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</row>
    <row r="330" spans="2:60" x14ac:dyDescent="0.2">
      <c r="B330" s="54">
        <v>928300</v>
      </c>
      <c r="C330" s="45" t="s">
        <v>299</v>
      </c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9" t="s">
        <v>41</v>
      </c>
      <c r="W330" s="79" t="s">
        <v>41</v>
      </c>
      <c r="X330" s="79" t="s">
        <v>41</v>
      </c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 t="s">
        <v>499</v>
      </c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</row>
    <row r="331" spans="2:60" x14ac:dyDescent="0.2">
      <c r="B331" s="54">
        <v>928310</v>
      </c>
      <c r="C331" s="45" t="s">
        <v>300</v>
      </c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9" t="s">
        <v>41</v>
      </c>
      <c r="W331" s="79" t="s">
        <v>41</v>
      </c>
      <c r="X331" s="79" t="s">
        <v>41</v>
      </c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 t="s">
        <v>499</v>
      </c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</row>
    <row r="332" spans="2:60" x14ac:dyDescent="0.2">
      <c r="B332" s="54">
        <v>928320</v>
      </c>
      <c r="C332" s="45" t="s">
        <v>301</v>
      </c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9" t="s">
        <v>41</v>
      </c>
      <c r="W332" s="79" t="s">
        <v>41</v>
      </c>
      <c r="X332" s="79" t="s">
        <v>41</v>
      </c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 t="s">
        <v>499</v>
      </c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</row>
    <row r="333" spans="2:60" x14ac:dyDescent="0.2">
      <c r="B333" s="54">
        <v>928330</v>
      </c>
      <c r="C333" s="46" t="s">
        <v>302</v>
      </c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9" t="s">
        <v>41</v>
      </c>
      <c r="W333" s="79" t="s">
        <v>41</v>
      </c>
      <c r="X333" s="79" t="s">
        <v>41</v>
      </c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 t="s">
        <v>499</v>
      </c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</row>
    <row r="334" spans="2:60" x14ac:dyDescent="0.2">
      <c r="B334" s="54">
        <v>928340</v>
      </c>
      <c r="C334" s="45" t="s">
        <v>303</v>
      </c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9" t="s">
        <v>41</v>
      </c>
      <c r="W334" s="79" t="s">
        <v>41</v>
      </c>
      <c r="X334" s="79" t="s">
        <v>41</v>
      </c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 t="s">
        <v>499</v>
      </c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</row>
    <row r="335" spans="2:60" x14ac:dyDescent="0.2">
      <c r="B335" s="54">
        <v>918260</v>
      </c>
      <c r="C335" s="45" t="s">
        <v>304</v>
      </c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9" t="s">
        <v>41</v>
      </c>
      <c r="W335" s="79" t="s">
        <v>41</v>
      </c>
      <c r="X335" s="79" t="s">
        <v>41</v>
      </c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 t="s">
        <v>84</v>
      </c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</row>
    <row r="336" spans="2:60" x14ac:dyDescent="0.2">
      <c r="B336" s="54">
        <v>918270</v>
      </c>
      <c r="C336" s="45" t="s">
        <v>305</v>
      </c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9" t="s">
        <v>41</v>
      </c>
      <c r="W336" s="79" t="s">
        <v>41</v>
      </c>
      <c r="X336" s="79" t="s">
        <v>41</v>
      </c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 t="s">
        <v>84</v>
      </c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</row>
    <row r="337" spans="2:60" x14ac:dyDescent="0.2">
      <c r="B337" s="54">
        <v>918280</v>
      </c>
      <c r="C337" s="45" t="s">
        <v>306</v>
      </c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9" t="s">
        <v>41</v>
      </c>
      <c r="W337" s="79" t="s">
        <v>41</v>
      </c>
      <c r="X337" s="79" t="s">
        <v>41</v>
      </c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 t="s">
        <v>84</v>
      </c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</row>
    <row r="338" spans="2:60" x14ac:dyDescent="0.2">
      <c r="B338" s="54">
        <v>798200</v>
      </c>
      <c r="C338" s="45" t="s">
        <v>307</v>
      </c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9" t="s">
        <v>41</v>
      </c>
      <c r="W338" s="79" t="s">
        <v>41</v>
      </c>
      <c r="X338" s="79" t="s">
        <v>41</v>
      </c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 t="s">
        <v>423</v>
      </c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</row>
    <row r="339" spans="2:60" x14ac:dyDescent="0.2">
      <c r="B339" s="54">
        <v>928350</v>
      </c>
      <c r="C339" s="45" t="s">
        <v>308</v>
      </c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9" t="s">
        <v>41</v>
      </c>
      <c r="W339" s="79" t="s">
        <v>41</v>
      </c>
      <c r="X339" s="79" t="s">
        <v>41</v>
      </c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 t="s">
        <v>499</v>
      </c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</row>
    <row r="340" spans="2:60" x14ac:dyDescent="0.2">
      <c r="B340" s="54">
        <v>928360</v>
      </c>
      <c r="C340" s="45" t="s">
        <v>511</v>
      </c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9" t="s">
        <v>41</v>
      </c>
      <c r="W340" s="79" t="s">
        <v>41</v>
      </c>
      <c r="X340" s="79" t="s">
        <v>41</v>
      </c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 t="s">
        <v>499</v>
      </c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</row>
    <row r="341" spans="2:60" x14ac:dyDescent="0.2">
      <c r="B341" s="54">
        <v>928370</v>
      </c>
      <c r="C341" s="45" t="s">
        <v>309</v>
      </c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9" t="s">
        <v>41</v>
      </c>
      <c r="W341" s="79" t="s">
        <v>41</v>
      </c>
      <c r="X341" s="79" t="s">
        <v>41</v>
      </c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 t="s">
        <v>499</v>
      </c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</row>
    <row r="342" spans="2:60" x14ac:dyDescent="0.2">
      <c r="B342" s="54">
        <v>928380</v>
      </c>
      <c r="C342" s="45" t="s">
        <v>310</v>
      </c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9" t="s">
        <v>41</v>
      </c>
      <c r="W342" s="79" t="s">
        <v>41</v>
      </c>
      <c r="X342" s="79" t="s">
        <v>41</v>
      </c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 t="s">
        <v>499</v>
      </c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</row>
    <row r="343" spans="2:60" x14ac:dyDescent="0.2">
      <c r="B343" s="54">
        <v>928390</v>
      </c>
      <c r="C343" s="45" t="s">
        <v>311</v>
      </c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9" t="s">
        <v>41</v>
      </c>
      <c r="W343" s="79" t="s">
        <v>41</v>
      </c>
      <c r="X343" s="79" t="s">
        <v>41</v>
      </c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 t="s">
        <v>499</v>
      </c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</row>
    <row r="344" spans="2:60" x14ac:dyDescent="0.2">
      <c r="B344" s="54">
        <v>928400</v>
      </c>
      <c r="C344" s="45" t="s">
        <v>312</v>
      </c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9" t="s">
        <v>41</v>
      </c>
      <c r="W344" s="79" t="s">
        <v>41</v>
      </c>
      <c r="X344" s="79" t="s">
        <v>41</v>
      </c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 t="s">
        <v>499</v>
      </c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</row>
    <row r="345" spans="2:60" x14ac:dyDescent="0.2">
      <c r="B345" s="54">
        <v>928410</v>
      </c>
      <c r="C345" s="45" t="s">
        <v>313</v>
      </c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9" t="s">
        <v>41</v>
      </c>
      <c r="W345" s="79" t="s">
        <v>41</v>
      </c>
      <c r="X345" s="79" t="s">
        <v>41</v>
      </c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 t="s">
        <v>499</v>
      </c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</row>
    <row r="346" spans="2:60" x14ac:dyDescent="0.2">
      <c r="B346" s="54">
        <v>228240</v>
      </c>
      <c r="C346" s="45" t="s">
        <v>314</v>
      </c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9" t="s">
        <v>41</v>
      </c>
      <c r="W346" s="79" t="s">
        <v>41</v>
      </c>
      <c r="X346" s="79" t="s">
        <v>41</v>
      </c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 t="s">
        <v>504</v>
      </c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</row>
    <row r="347" spans="2:60" x14ac:dyDescent="0.2">
      <c r="B347" s="54">
        <v>228250</v>
      </c>
      <c r="C347" s="45" t="s">
        <v>315</v>
      </c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9" t="s">
        <v>41</v>
      </c>
      <c r="W347" s="79" t="s">
        <v>41</v>
      </c>
      <c r="X347" s="79" t="s">
        <v>41</v>
      </c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 t="s">
        <v>504</v>
      </c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</row>
    <row r="348" spans="2:60" x14ac:dyDescent="0.2">
      <c r="B348" s="54">
        <v>228260</v>
      </c>
      <c r="C348" s="45" t="s">
        <v>316</v>
      </c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9" t="s">
        <v>41</v>
      </c>
      <c r="W348" s="79" t="s">
        <v>41</v>
      </c>
      <c r="X348" s="79" t="s">
        <v>41</v>
      </c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 t="s">
        <v>504</v>
      </c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</row>
    <row r="349" spans="2:60" x14ac:dyDescent="0.2">
      <c r="B349" s="54">
        <v>228270</v>
      </c>
      <c r="C349" s="45" t="s">
        <v>317</v>
      </c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9" t="s">
        <v>41</v>
      </c>
      <c r="W349" s="79" t="s">
        <v>41</v>
      </c>
      <c r="X349" s="79" t="s">
        <v>41</v>
      </c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 t="s">
        <v>504</v>
      </c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</row>
    <row r="350" spans="2:60" x14ac:dyDescent="0.2">
      <c r="B350" s="54">
        <v>228280</v>
      </c>
      <c r="C350" s="45" t="s">
        <v>318</v>
      </c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9" t="s">
        <v>41</v>
      </c>
      <c r="W350" s="79" t="s">
        <v>41</v>
      </c>
      <c r="X350" s="79" t="s">
        <v>41</v>
      </c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 t="s">
        <v>504</v>
      </c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</row>
    <row r="351" spans="2:60" x14ac:dyDescent="0.2">
      <c r="B351" s="54">
        <v>228290</v>
      </c>
      <c r="C351" s="45" t="s">
        <v>319</v>
      </c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9" t="s">
        <v>41</v>
      </c>
      <c r="W351" s="79" t="s">
        <v>41</v>
      </c>
      <c r="X351" s="79" t="s">
        <v>41</v>
      </c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 t="s">
        <v>504</v>
      </c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</row>
    <row r="352" spans="2:60" x14ac:dyDescent="0.2">
      <c r="B352" s="54">
        <v>618150</v>
      </c>
      <c r="C352" s="45" t="s">
        <v>320</v>
      </c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9" t="s">
        <v>41</v>
      </c>
      <c r="W352" s="79" t="s">
        <v>41</v>
      </c>
      <c r="X352" s="79" t="s">
        <v>41</v>
      </c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 t="s">
        <v>80</v>
      </c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</row>
    <row r="353" spans="2:60" x14ac:dyDescent="0.2">
      <c r="B353" s="54">
        <v>618160</v>
      </c>
      <c r="C353" s="45" t="s">
        <v>321</v>
      </c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9" t="s">
        <v>41</v>
      </c>
      <c r="W353" s="79" t="s">
        <v>41</v>
      </c>
      <c r="X353" s="79" t="s">
        <v>41</v>
      </c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 t="s">
        <v>80</v>
      </c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</row>
    <row r="354" spans="2:60" x14ac:dyDescent="0.2">
      <c r="B354" s="54">
        <v>618170</v>
      </c>
      <c r="C354" s="45" t="s">
        <v>322</v>
      </c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9" t="s">
        <v>41</v>
      </c>
      <c r="W354" s="79" t="s">
        <v>41</v>
      </c>
      <c r="X354" s="79" t="s">
        <v>41</v>
      </c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 t="s">
        <v>80</v>
      </c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</row>
    <row r="355" spans="2:60" x14ac:dyDescent="0.2">
      <c r="B355" s="54">
        <v>618180</v>
      </c>
      <c r="C355" s="46" t="s">
        <v>489</v>
      </c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9" t="s">
        <v>41</v>
      </c>
      <c r="W355" s="79" t="s">
        <v>41</v>
      </c>
      <c r="X355" s="79" t="s">
        <v>41</v>
      </c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 t="s">
        <v>80</v>
      </c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</row>
    <row r="356" spans="2:60" x14ac:dyDescent="0.2">
      <c r="B356" s="54">
        <v>708370</v>
      </c>
      <c r="C356" s="45" t="s">
        <v>323</v>
      </c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9" t="s">
        <v>41</v>
      </c>
      <c r="W356" s="79" t="s">
        <v>41</v>
      </c>
      <c r="X356" s="79" t="s">
        <v>41</v>
      </c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 t="s">
        <v>70</v>
      </c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</row>
    <row r="357" spans="2:60" x14ac:dyDescent="0.2">
      <c r="B357" s="54">
        <v>798210</v>
      </c>
      <c r="C357" s="45" t="s">
        <v>324</v>
      </c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9" t="s">
        <v>41</v>
      </c>
      <c r="W357" s="79" t="s">
        <v>41</v>
      </c>
      <c r="X357" s="79" t="s">
        <v>41</v>
      </c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 t="s">
        <v>423</v>
      </c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</row>
    <row r="358" spans="2:60" x14ac:dyDescent="0.2">
      <c r="B358" s="54">
        <v>708380</v>
      </c>
      <c r="C358" s="45" t="s">
        <v>325</v>
      </c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9" t="s">
        <v>41</v>
      </c>
      <c r="W358" s="79" t="s">
        <v>41</v>
      </c>
      <c r="X358" s="79" t="s">
        <v>41</v>
      </c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 t="s">
        <v>70</v>
      </c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</row>
    <row r="359" spans="2:60" x14ac:dyDescent="0.2">
      <c r="B359" s="54">
        <v>708390</v>
      </c>
      <c r="C359" s="45" t="s">
        <v>326</v>
      </c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9" t="s">
        <v>41</v>
      </c>
      <c r="W359" s="79" t="s">
        <v>41</v>
      </c>
      <c r="X359" s="79" t="s">
        <v>41</v>
      </c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 t="s">
        <v>70</v>
      </c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</row>
    <row r="360" spans="2:60" x14ac:dyDescent="0.2">
      <c r="B360" s="54">
        <v>708400</v>
      </c>
      <c r="C360" s="45" t="s">
        <v>327</v>
      </c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9" t="s">
        <v>41</v>
      </c>
      <c r="W360" s="79" t="s">
        <v>41</v>
      </c>
      <c r="X360" s="79" t="s">
        <v>41</v>
      </c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 t="s">
        <v>70</v>
      </c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</row>
    <row r="361" spans="2:60" x14ac:dyDescent="0.2">
      <c r="B361" s="54">
        <v>708410</v>
      </c>
      <c r="C361" s="45" t="s">
        <v>328</v>
      </c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9" t="s">
        <v>41</v>
      </c>
      <c r="W361" s="79" t="s">
        <v>41</v>
      </c>
      <c r="X361" s="79" t="s">
        <v>41</v>
      </c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 t="s">
        <v>70</v>
      </c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</row>
    <row r="362" spans="2:60" x14ac:dyDescent="0.2">
      <c r="B362" s="54">
        <v>708420</v>
      </c>
      <c r="C362" s="45" t="s">
        <v>329</v>
      </c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9" t="s">
        <v>41</v>
      </c>
      <c r="W362" s="79" t="s">
        <v>41</v>
      </c>
      <c r="X362" s="79" t="s">
        <v>41</v>
      </c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 t="s">
        <v>70</v>
      </c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</row>
    <row r="363" spans="2:60" x14ac:dyDescent="0.2">
      <c r="B363" s="54">
        <v>378160</v>
      </c>
      <c r="C363" s="45" t="s">
        <v>330</v>
      </c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9" t="s">
        <v>41</v>
      </c>
      <c r="W363" s="79" t="s">
        <v>41</v>
      </c>
      <c r="X363" s="79" t="s">
        <v>41</v>
      </c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 t="s">
        <v>501</v>
      </c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</row>
    <row r="364" spans="2:60" x14ac:dyDescent="0.2">
      <c r="B364" s="54">
        <v>628130</v>
      </c>
      <c r="C364" s="45" t="s">
        <v>331</v>
      </c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9" t="s">
        <v>41</v>
      </c>
      <c r="W364" s="79" t="s">
        <v>41</v>
      </c>
      <c r="X364" s="79" t="s">
        <v>41</v>
      </c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 t="s">
        <v>408</v>
      </c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</row>
    <row r="365" spans="2:60" x14ac:dyDescent="0.2">
      <c r="B365" s="54">
        <v>438230</v>
      </c>
      <c r="C365" s="45" t="s">
        <v>332</v>
      </c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9" t="s">
        <v>41</v>
      </c>
      <c r="W365" s="79" t="s">
        <v>41</v>
      </c>
      <c r="X365" s="79" t="s">
        <v>41</v>
      </c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 t="s">
        <v>404</v>
      </c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</row>
    <row r="366" spans="2:60" x14ac:dyDescent="0.2">
      <c r="B366" s="54">
        <v>438240</v>
      </c>
      <c r="C366" s="45" t="s">
        <v>333</v>
      </c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9" t="s">
        <v>41</v>
      </c>
      <c r="W366" s="79" t="s">
        <v>41</v>
      </c>
      <c r="X366" s="79" t="s">
        <v>41</v>
      </c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 t="s">
        <v>404</v>
      </c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</row>
    <row r="367" spans="2:60" x14ac:dyDescent="0.2">
      <c r="B367" s="54">
        <v>438250</v>
      </c>
      <c r="C367" s="45" t="s">
        <v>334</v>
      </c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9" t="s">
        <v>41</v>
      </c>
      <c r="W367" s="79" t="s">
        <v>41</v>
      </c>
      <c r="X367" s="79" t="s">
        <v>41</v>
      </c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 t="s">
        <v>404</v>
      </c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</row>
    <row r="368" spans="2:60" x14ac:dyDescent="0.2">
      <c r="B368" s="54">
        <v>928420</v>
      </c>
      <c r="C368" s="45" t="s">
        <v>335</v>
      </c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9" t="s">
        <v>41</v>
      </c>
      <c r="W368" s="79" t="s">
        <v>41</v>
      </c>
      <c r="X368" s="79" t="s">
        <v>41</v>
      </c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 t="s">
        <v>499</v>
      </c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</row>
    <row r="369" spans="2:60" x14ac:dyDescent="0.2">
      <c r="B369" s="54">
        <v>928430</v>
      </c>
      <c r="C369" s="45" t="s">
        <v>336</v>
      </c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9" t="s">
        <v>41</v>
      </c>
      <c r="W369" s="79" t="s">
        <v>41</v>
      </c>
      <c r="X369" s="79" t="s">
        <v>41</v>
      </c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 t="s">
        <v>499</v>
      </c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</row>
    <row r="370" spans="2:60" x14ac:dyDescent="0.2">
      <c r="B370" s="54">
        <v>708430</v>
      </c>
      <c r="C370" s="45" t="s">
        <v>337</v>
      </c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9" t="s">
        <v>41</v>
      </c>
      <c r="W370" s="79" t="s">
        <v>41</v>
      </c>
      <c r="X370" s="79" t="s">
        <v>41</v>
      </c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 t="s">
        <v>70</v>
      </c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</row>
    <row r="371" spans="2:60" x14ac:dyDescent="0.2">
      <c r="B371" s="54">
        <v>708440</v>
      </c>
      <c r="C371" s="45" t="s">
        <v>338</v>
      </c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9" t="s">
        <v>41</v>
      </c>
      <c r="W371" s="79" t="s">
        <v>41</v>
      </c>
      <c r="X371" s="79" t="s">
        <v>41</v>
      </c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 t="s">
        <v>70</v>
      </c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</row>
    <row r="372" spans="2:60" x14ac:dyDescent="0.2">
      <c r="B372" s="54">
        <v>708450</v>
      </c>
      <c r="C372" s="45" t="s">
        <v>339</v>
      </c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9" t="s">
        <v>41</v>
      </c>
      <c r="W372" s="79" t="s">
        <v>41</v>
      </c>
      <c r="X372" s="79" t="s">
        <v>41</v>
      </c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 t="s">
        <v>70</v>
      </c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</row>
    <row r="373" spans="2:60" x14ac:dyDescent="0.2">
      <c r="B373" s="54">
        <v>708460</v>
      </c>
      <c r="C373" s="45" t="s">
        <v>340</v>
      </c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9" t="s">
        <v>41</v>
      </c>
      <c r="W373" s="79" t="s">
        <v>41</v>
      </c>
      <c r="X373" s="79" t="s">
        <v>41</v>
      </c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 t="s">
        <v>70</v>
      </c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</row>
    <row r="374" spans="2:60" x14ac:dyDescent="0.2">
      <c r="B374" s="54">
        <v>708470</v>
      </c>
      <c r="C374" s="45" t="s">
        <v>341</v>
      </c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9" t="s">
        <v>41</v>
      </c>
      <c r="W374" s="79" t="s">
        <v>41</v>
      </c>
      <c r="X374" s="79" t="s">
        <v>41</v>
      </c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 t="s">
        <v>70</v>
      </c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</row>
    <row r="375" spans="2:60" x14ac:dyDescent="0.2">
      <c r="B375" s="54">
        <v>708480</v>
      </c>
      <c r="C375" s="45" t="s">
        <v>342</v>
      </c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9" t="s">
        <v>41</v>
      </c>
      <c r="W375" s="79" t="s">
        <v>41</v>
      </c>
      <c r="X375" s="79" t="s">
        <v>41</v>
      </c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 t="s">
        <v>70</v>
      </c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</row>
    <row r="376" spans="2:60" x14ac:dyDescent="0.2">
      <c r="B376" s="54">
        <v>708490</v>
      </c>
      <c r="C376" s="45" t="s">
        <v>343</v>
      </c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9" t="s">
        <v>41</v>
      </c>
      <c r="W376" s="79" t="s">
        <v>41</v>
      </c>
      <c r="X376" s="79" t="s">
        <v>41</v>
      </c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 t="s">
        <v>70</v>
      </c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</row>
    <row r="377" spans="2:60" x14ac:dyDescent="0.2">
      <c r="B377" s="54">
        <v>708500</v>
      </c>
      <c r="C377" s="45" t="s">
        <v>344</v>
      </c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9" t="s">
        <v>41</v>
      </c>
      <c r="W377" s="79" t="s">
        <v>41</v>
      </c>
      <c r="X377" s="79" t="s">
        <v>41</v>
      </c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 t="s">
        <v>70</v>
      </c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</row>
    <row r="378" spans="2:60" x14ac:dyDescent="0.2">
      <c r="B378" s="54">
        <v>708510</v>
      </c>
      <c r="C378" s="45" t="s">
        <v>345</v>
      </c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9" t="s">
        <v>41</v>
      </c>
      <c r="W378" s="79" t="s">
        <v>41</v>
      </c>
      <c r="X378" s="79" t="s">
        <v>41</v>
      </c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 t="s">
        <v>70</v>
      </c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</row>
    <row r="379" spans="2:60" x14ac:dyDescent="0.2">
      <c r="B379" s="54">
        <v>708520</v>
      </c>
      <c r="C379" s="45" t="s">
        <v>346</v>
      </c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9" t="s">
        <v>41</v>
      </c>
      <c r="W379" s="79" t="s">
        <v>41</v>
      </c>
      <c r="X379" s="79" t="s">
        <v>41</v>
      </c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 t="s">
        <v>70</v>
      </c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</row>
    <row r="380" spans="2:60" x14ac:dyDescent="0.2">
      <c r="B380" s="54">
        <v>708530</v>
      </c>
      <c r="C380" s="45" t="s">
        <v>347</v>
      </c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9" t="s">
        <v>41</v>
      </c>
      <c r="W380" s="79" t="s">
        <v>41</v>
      </c>
      <c r="X380" s="79" t="s">
        <v>41</v>
      </c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 t="s">
        <v>70</v>
      </c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</row>
    <row r="381" spans="2:60" x14ac:dyDescent="0.2">
      <c r="B381" s="54">
        <v>628140</v>
      </c>
      <c r="C381" s="45" t="s">
        <v>348</v>
      </c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9" t="s">
        <v>41</v>
      </c>
      <c r="W381" s="79" t="s">
        <v>41</v>
      </c>
      <c r="X381" s="79" t="s">
        <v>41</v>
      </c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 t="s">
        <v>408</v>
      </c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</row>
    <row r="382" spans="2:60" x14ac:dyDescent="0.2">
      <c r="B382" s="54">
        <v>628150</v>
      </c>
      <c r="C382" s="45" t="s">
        <v>349</v>
      </c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9" t="s">
        <v>41</v>
      </c>
      <c r="W382" s="79" t="s">
        <v>41</v>
      </c>
      <c r="X382" s="79" t="s">
        <v>41</v>
      </c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 t="s">
        <v>408</v>
      </c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</row>
    <row r="383" spans="2:60" x14ac:dyDescent="0.2">
      <c r="B383" s="54">
        <v>628160</v>
      </c>
      <c r="C383" s="45" t="s">
        <v>350</v>
      </c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9" t="s">
        <v>41</v>
      </c>
      <c r="W383" s="79" t="s">
        <v>41</v>
      </c>
      <c r="X383" s="79" t="s">
        <v>41</v>
      </c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 t="s">
        <v>408</v>
      </c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</row>
    <row r="384" spans="2:60" x14ac:dyDescent="0.2">
      <c r="B384" s="54">
        <v>628170</v>
      </c>
      <c r="C384" s="45" t="s">
        <v>351</v>
      </c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9" t="s">
        <v>41</v>
      </c>
      <c r="W384" s="79" t="s">
        <v>41</v>
      </c>
      <c r="X384" s="79" t="s">
        <v>41</v>
      </c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 t="s">
        <v>408</v>
      </c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</row>
    <row r="385" spans="2:60" x14ac:dyDescent="0.2">
      <c r="B385" s="54">
        <v>628180</v>
      </c>
      <c r="C385" s="45" t="s">
        <v>352</v>
      </c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9" t="s">
        <v>41</v>
      </c>
      <c r="W385" s="79" t="s">
        <v>41</v>
      </c>
      <c r="X385" s="79" t="s">
        <v>41</v>
      </c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 t="s">
        <v>408</v>
      </c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</row>
    <row r="386" spans="2:60" x14ac:dyDescent="0.2">
      <c r="B386" s="54">
        <v>628190</v>
      </c>
      <c r="C386" s="45" t="s">
        <v>353</v>
      </c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9" t="s">
        <v>41</v>
      </c>
      <c r="W386" s="79" t="s">
        <v>41</v>
      </c>
      <c r="X386" s="79" t="s">
        <v>41</v>
      </c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 t="s">
        <v>408</v>
      </c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</row>
    <row r="387" spans="2:60" x14ac:dyDescent="0.2">
      <c r="B387" s="54">
        <v>228300</v>
      </c>
      <c r="C387" s="45" t="s">
        <v>354</v>
      </c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9" t="s">
        <v>41</v>
      </c>
      <c r="W387" s="79" t="s">
        <v>41</v>
      </c>
      <c r="X387" s="79" t="s">
        <v>41</v>
      </c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 t="s">
        <v>504</v>
      </c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</row>
    <row r="388" spans="2:60" x14ac:dyDescent="0.2">
      <c r="B388" s="54">
        <v>228310</v>
      </c>
      <c r="C388" s="45" t="s">
        <v>355</v>
      </c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9" t="s">
        <v>41</v>
      </c>
      <c r="W388" s="79" t="s">
        <v>41</v>
      </c>
      <c r="X388" s="79" t="s">
        <v>41</v>
      </c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 t="s">
        <v>504</v>
      </c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</row>
    <row r="389" spans="2:60" x14ac:dyDescent="0.2">
      <c r="B389" s="54">
        <v>228320</v>
      </c>
      <c r="C389" s="45" t="s">
        <v>356</v>
      </c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9" t="s">
        <v>41</v>
      </c>
      <c r="W389" s="79" t="s">
        <v>41</v>
      </c>
      <c r="X389" s="79" t="s">
        <v>41</v>
      </c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 t="s">
        <v>504</v>
      </c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</row>
    <row r="390" spans="2:60" x14ac:dyDescent="0.2">
      <c r="B390" s="54">
        <v>228330</v>
      </c>
      <c r="C390" s="45" t="s">
        <v>357</v>
      </c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9" t="s">
        <v>41</v>
      </c>
      <c r="W390" s="79" t="s">
        <v>41</v>
      </c>
      <c r="X390" s="79" t="s">
        <v>41</v>
      </c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 t="s">
        <v>504</v>
      </c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</row>
    <row r="391" spans="2:60" x14ac:dyDescent="0.2">
      <c r="B391" s="54">
        <v>228340</v>
      </c>
      <c r="C391" s="45" t="s">
        <v>358</v>
      </c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9" t="s">
        <v>41</v>
      </c>
      <c r="W391" s="79" t="s">
        <v>41</v>
      </c>
      <c r="X391" s="79" t="s">
        <v>41</v>
      </c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 t="s">
        <v>504</v>
      </c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</row>
    <row r="392" spans="2:60" x14ac:dyDescent="0.2">
      <c r="B392" s="54">
        <v>648320</v>
      </c>
      <c r="C392" s="45" t="s">
        <v>359</v>
      </c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9" t="s">
        <v>41</v>
      </c>
      <c r="W392" s="79" t="s">
        <v>41</v>
      </c>
      <c r="X392" s="79" t="s">
        <v>41</v>
      </c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 t="s">
        <v>410</v>
      </c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</row>
    <row r="393" spans="2:60" x14ac:dyDescent="0.2">
      <c r="B393" s="54">
        <v>228350</v>
      </c>
      <c r="C393" s="46" t="s">
        <v>491</v>
      </c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9" t="s">
        <v>41</v>
      </c>
      <c r="W393" s="79" t="s">
        <v>41</v>
      </c>
      <c r="X393" s="79" t="s">
        <v>41</v>
      </c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 t="s">
        <v>504</v>
      </c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</row>
    <row r="394" spans="2:60" x14ac:dyDescent="0.2">
      <c r="B394" s="54">
        <v>228360</v>
      </c>
      <c r="C394" s="45" t="s">
        <v>360</v>
      </c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9" t="s">
        <v>41</v>
      </c>
      <c r="W394" s="79" t="s">
        <v>41</v>
      </c>
      <c r="X394" s="79" t="s">
        <v>41</v>
      </c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 t="s">
        <v>504</v>
      </c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</row>
    <row r="395" spans="2:60" x14ac:dyDescent="0.2">
      <c r="B395" s="54">
        <v>228370</v>
      </c>
      <c r="C395" s="46" t="s">
        <v>492</v>
      </c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9" t="s">
        <v>41</v>
      </c>
      <c r="W395" s="79" t="s">
        <v>41</v>
      </c>
      <c r="X395" s="79" t="s">
        <v>41</v>
      </c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 t="s">
        <v>504</v>
      </c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</row>
    <row r="396" spans="2:60" x14ac:dyDescent="0.2">
      <c r="B396" s="54">
        <v>228380</v>
      </c>
      <c r="C396" s="45" t="s">
        <v>361</v>
      </c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9" t="s">
        <v>41</v>
      </c>
      <c r="W396" s="79" t="s">
        <v>41</v>
      </c>
      <c r="X396" s="79" t="s">
        <v>41</v>
      </c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 t="s">
        <v>504</v>
      </c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</row>
    <row r="397" spans="2:60" x14ac:dyDescent="0.2">
      <c r="B397" s="54">
        <v>228390</v>
      </c>
      <c r="C397" s="46" t="s">
        <v>493</v>
      </c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9" t="s">
        <v>41</v>
      </c>
      <c r="W397" s="79" t="s">
        <v>41</v>
      </c>
      <c r="X397" s="79" t="s">
        <v>41</v>
      </c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 t="s">
        <v>504</v>
      </c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</row>
    <row r="398" spans="2:60" x14ac:dyDescent="0.2">
      <c r="B398" s="54">
        <v>228400</v>
      </c>
      <c r="C398" s="45" t="s">
        <v>362</v>
      </c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9" t="s">
        <v>41</v>
      </c>
      <c r="W398" s="79" t="s">
        <v>41</v>
      </c>
      <c r="X398" s="79" t="s">
        <v>41</v>
      </c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 t="s">
        <v>504</v>
      </c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</row>
    <row r="399" spans="2:60" x14ac:dyDescent="0.2">
      <c r="B399" s="54">
        <v>228410</v>
      </c>
      <c r="C399" s="45" t="s">
        <v>363</v>
      </c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9" t="s">
        <v>41</v>
      </c>
      <c r="W399" s="79" t="s">
        <v>41</v>
      </c>
      <c r="X399" s="79" t="s">
        <v>41</v>
      </c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 t="s">
        <v>504</v>
      </c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</row>
    <row r="400" spans="2:60" x14ac:dyDescent="0.2">
      <c r="B400" s="54">
        <v>228420</v>
      </c>
      <c r="C400" s="45" t="s">
        <v>364</v>
      </c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9" t="s">
        <v>41</v>
      </c>
      <c r="W400" s="79" t="s">
        <v>41</v>
      </c>
      <c r="X400" s="79" t="s">
        <v>41</v>
      </c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 t="s">
        <v>504</v>
      </c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</row>
    <row r="401" spans="2:60" x14ac:dyDescent="0.2">
      <c r="B401" s="54">
        <v>708540</v>
      </c>
      <c r="C401" s="45" t="s">
        <v>365</v>
      </c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9" t="s">
        <v>41</v>
      </c>
      <c r="W401" s="79" t="s">
        <v>41</v>
      </c>
      <c r="X401" s="79" t="s">
        <v>41</v>
      </c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 t="s">
        <v>70</v>
      </c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</row>
    <row r="402" spans="2:60" x14ac:dyDescent="0.2">
      <c r="B402" s="54">
        <v>798220</v>
      </c>
      <c r="C402" s="45" t="s">
        <v>366</v>
      </c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9" t="s">
        <v>41</v>
      </c>
      <c r="W402" s="79" t="s">
        <v>41</v>
      </c>
      <c r="X402" s="79" t="s">
        <v>41</v>
      </c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 t="s">
        <v>423</v>
      </c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</row>
    <row r="403" spans="2:60" x14ac:dyDescent="0.2">
      <c r="B403" s="54">
        <v>798230</v>
      </c>
      <c r="C403" s="45" t="s">
        <v>367</v>
      </c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9" t="s">
        <v>41</v>
      </c>
      <c r="W403" s="79" t="s">
        <v>41</v>
      </c>
      <c r="X403" s="79" t="s">
        <v>41</v>
      </c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 t="s">
        <v>423</v>
      </c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</row>
    <row r="404" spans="2:60" x14ac:dyDescent="0.2">
      <c r="B404" s="54">
        <v>798240</v>
      </c>
      <c r="C404" s="45" t="s">
        <v>81</v>
      </c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9" t="s">
        <v>41</v>
      </c>
      <c r="W404" s="79" t="s">
        <v>41</v>
      </c>
      <c r="X404" s="79" t="s">
        <v>41</v>
      </c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 t="s">
        <v>423</v>
      </c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</row>
    <row r="405" spans="2:60" x14ac:dyDescent="0.2">
      <c r="B405" s="54">
        <v>798250</v>
      </c>
      <c r="C405" s="45" t="s">
        <v>368</v>
      </c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9" t="s">
        <v>41</v>
      </c>
      <c r="W405" s="79" t="s">
        <v>41</v>
      </c>
      <c r="X405" s="79" t="s">
        <v>41</v>
      </c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 t="s">
        <v>423</v>
      </c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</row>
    <row r="406" spans="2:60" x14ac:dyDescent="0.2">
      <c r="B406" s="54">
        <v>798260</v>
      </c>
      <c r="C406" s="45" t="s">
        <v>369</v>
      </c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9" t="s">
        <v>41</v>
      </c>
      <c r="W406" s="79" t="s">
        <v>41</v>
      </c>
      <c r="X406" s="79" t="s">
        <v>41</v>
      </c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 t="s">
        <v>423</v>
      </c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</row>
    <row r="407" spans="2:60" x14ac:dyDescent="0.2">
      <c r="B407" s="54">
        <v>928440</v>
      </c>
      <c r="C407" s="45" t="s">
        <v>370</v>
      </c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9" t="s">
        <v>41</v>
      </c>
      <c r="W407" s="79" t="s">
        <v>41</v>
      </c>
      <c r="X407" s="79" t="s">
        <v>41</v>
      </c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 t="s">
        <v>499</v>
      </c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</row>
    <row r="408" spans="2:60" x14ac:dyDescent="0.2">
      <c r="B408" s="54">
        <v>938250</v>
      </c>
      <c r="C408" s="45" t="s">
        <v>371</v>
      </c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9" t="s">
        <v>41</v>
      </c>
      <c r="W408" s="79" t="s">
        <v>41</v>
      </c>
      <c r="X408" s="79" t="s">
        <v>41</v>
      </c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 t="s">
        <v>502</v>
      </c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</row>
    <row r="409" spans="2:60" x14ac:dyDescent="0.2">
      <c r="B409" s="54">
        <v>848140</v>
      </c>
      <c r="C409" s="45" t="s">
        <v>372</v>
      </c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9" t="s">
        <v>41</v>
      </c>
      <c r="W409" s="79" t="s">
        <v>41</v>
      </c>
      <c r="X409" s="79" t="s">
        <v>41</v>
      </c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 t="s">
        <v>515</v>
      </c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</row>
    <row r="410" spans="2:60" x14ac:dyDescent="0.2">
      <c r="B410" s="54">
        <v>928450</v>
      </c>
      <c r="C410" s="45" t="s">
        <v>373</v>
      </c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9" t="s">
        <v>41</v>
      </c>
      <c r="W410" s="79" t="s">
        <v>41</v>
      </c>
      <c r="X410" s="79" t="s">
        <v>41</v>
      </c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 t="s">
        <v>499</v>
      </c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</row>
    <row r="411" spans="2:60" x14ac:dyDescent="0.2">
      <c r="B411" s="54">
        <v>928460</v>
      </c>
      <c r="C411" s="45" t="s">
        <v>374</v>
      </c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9" t="s">
        <v>41</v>
      </c>
      <c r="W411" s="79" t="s">
        <v>41</v>
      </c>
      <c r="X411" s="79" t="s">
        <v>41</v>
      </c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 t="s">
        <v>499</v>
      </c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</row>
    <row r="412" spans="2:60" x14ac:dyDescent="0.2">
      <c r="B412" s="54">
        <v>928470</v>
      </c>
      <c r="C412" s="45" t="s">
        <v>375</v>
      </c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9" t="s">
        <v>41</v>
      </c>
      <c r="W412" s="79" t="s">
        <v>41</v>
      </c>
      <c r="X412" s="79" t="s">
        <v>41</v>
      </c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 t="s">
        <v>499</v>
      </c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</row>
    <row r="413" spans="2:60" x14ac:dyDescent="0.2">
      <c r="B413" s="54">
        <v>928480</v>
      </c>
      <c r="C413" s="45" t="s">
        <v>376</v>
      </c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9" t="s">
        <v>41</v>
      </c>
      <c r="W413" s="79" t="s">
        <v>41</v>
      </c>
      <c r="X413" s="79" t="s">
        <v>41</v>
      </c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 t="s">
        <v>499</v>
      </c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</row>
    <row r="414" spans="2:60" x14ac:dyDescent="0.2">
      <c r="B414" s="54">
        <v>798270</v>
      </c>
      <c r="C414" s="45" t="s">
        <v>377</v>
      </c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9" t="s">
        <v>41</v>
      </c>
      <c r="W414" s="79" t="s">
        <v>41</v>
      </c>
      <c r="X414" s="79" t="s">
        <v>41</v>
      </c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 t="s">
        <v>423</v>
      </c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</row>
    <row r="415" spans="2:60" x14ac:dyDescent="0.2">
      <c r="B415" s="54">
        <v>928490</v>
      </c>
      <c r="C415" s="45" t="s">
        <v>378</v>
      </c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9" t="s">
        <v>41</v>
      </c>
      <c r="W415" s="79" t="s">
        <v>41</v>
      </c>
      <c r="X415" s="79" t="s">
        <v>41</v>
      </c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 t="s">
        <v>499</v>
      </c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</row>
    <row r="416" spans="2:60" x14ac:dyDescent="0.2">
      <c r="B416" s="54">
        <v>928500</v>
      </c>
      <c r="C416" s="45" t="s">
        <v>379</v>
      </c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9" t="s">
        <v>41</v>
      </c>
      <c r="W416" s="79" t="s">
        <v>41</v>
      </c>
      <c r="X416" s="79" t="s">
        <v>41</v>
      </c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 t="s">
        <v>499</v>
      </c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</row>
    <row r="417" spans="2:60" x14ac:dyDescent="0.2">
      <c r="B417" s="54">
        <v>928510</v>
      </c>
      <c r="C417" s="45" t="s">
        <v>380</v>
      </c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9" t="s">
        <v>41</v>
      </c>
      <c r="W417" s="79" t="s">
        <v>41</v>
      </c>
      <c r="X417" s="79" t="s">
        <v>41</v>
      </c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 t="s">
        <v>499</v>
      </c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</row>
    <row r="418" spans="2:60" x14ac:dyDescent="0.2">
      <c r="B418" s="54">
        <v>928520</v>
      </c>
      <c r="C418" s="45" t="s">
        <v>381</v>
      </c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9" t="s">
        <v>41</v>
      </c>
      <c r="W418" s="79" t="s">
        <v>41</v>
      </c>
      <c r="X418" s="79" t="s">
        <v>41</v>
      </c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 t="s">
        <v>499</v>
      </c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</row>
    <row r="419" spans="2:60" x14ac:dyDescent="0.2">
      <c r="B419" s="54">
        <v>928530</v>
      </c>
      <c r="C419" s="45" t="s">
        <v>382</v>
      </c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9" t="s">
        <v>41</v>
      </c>
      <c r="W419" s="79" t="s">
        <v>41</v>
      </c>
      <c r="X419" s="79" t="s">
        <v>41</v>
      </c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 t="s">
        <v>499</v>
      </c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</row>
    <row r="420" spans="2:60" x14ac:dyDescent="0.2">
      <c r="B420" s="54">
        <v>228430</v>
      </c>
      <c r="C420" s="45" t="s">
        <v>383</v>
      </c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9" t="s">
        <v>41</v>
      </c>
      <c r="W420" s="79" t="s">
        <v>41</v>
      </c>
      <c r="X420" s="79" t="s">
        <v>41</v>
      </c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 t="s">
        <v>504</v>
      </c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</row>
    <row r="421" spans="2:60" x14ac:dyDescent="0.2">
      <c r="B421" s="54">
        <v>228440</v>
      </c>
      <c r="C421" s="45" t="s">
        <v>384</v>
      </c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9" t="s">
        <v>41</v>
      </c>
      <c r="W421" s="79" t="s">
        <v>41</v>
      </c>
      <c r="X421" s="79" t="s">
        <v>41</v>
      </c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 t="s">
        <v>504</v>
      </c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</row>
    <row r="422" spans="2:60" x14ac:dyDescent="0.2">
      <c r="B422" s="54">
        <v>618190</v>
      </c>
      <c r="C422" s="46" t="s">
        <v>494</v>
      </c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9" t="s">
        <v>41</v>
      </c>
      <c r="W422" s="79" t="s">
        <v>41</v>
      </c>
      <c r="X422" s="79" t="s">
        <v>41</v>
      </c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 t="s">
        <v>80</v>
      </c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</row>
    <row r="423" spans="2:60" x14ac:dyDescent="0.2">
      <c r="B423" s="54">
        <v>708550</v>
      </c>
      <c r="C423" s="45" t="s">
        <v>385</v>
      </c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9" t="s">
        <v>41</v>
      </c>
      <c r="W423" s="79" t="s">
        <v>41</v>
      </c>
      <c r="X423" s="79" t="s">
        <v>41</v>
      </c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 t="s">
        <v>70</v>
      </c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</row>
    <row r="424" spans="2:60" x14ac:dyDescent="0.2">
      <c r="B424" s="54">
        <v>708560</v>
      </c>
      <c r="C424" s="45" t="s">
        <v>386</v>
      </c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9" t="s">
        <v>41</v>
      </c>
      <c r="W424" s="79" t="s">
        <v>41</v>
      </c>
      <c r="X424" s="79" t="s">
        <v>41</v>
      </c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 t="s">
        <v>70</v>
      </c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</row>
    <row r="425" spans="2:60" x14ac:dyDescent="0.2">
      <c r="B425" s="54">
        <v>708570</v>
      </c>
      <c r="C425" s="45" t="s">
        <v>387</v>
      </c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9" t="s">
        <v>41</v>
      </c>
      <c r="W425" s="79" t="s">
        <v>41</v>
      </c>
      <c r="X425" s="79" t="s">
        <v>41</v>
      </c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 t="s">
        <v>70</v>
      </c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</row>
    <row r="426" spans="2:60" x14ac:dyDescent="0.2">
      <c r="B426" s="54">
        <v>628200</v>
      </c>
      <c r="C426" s="45" t="s">
        <v>388</v>
      </c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9" t="s">
        <v>41</v>
      </c>
      <c r="W426" s="79" t="s">
        <v>41</v>
      </c>
      <c r="X426" s="79" t="s">
        <v>41</v>
      </c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 t="s">
        <v>408</v>
      </c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</row>
    <row r="427" spans="2:60" x14ac:dyDescent="0.2">
      <c r="B427" s="54">
        <v>928540</v>
      </c>
      <c r="C427" s="45" t="s">
        <v>389</v>
      </c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9" t="s">
        <v>41</v>
      </c>
      <c r="W427" s="79" t="s">
        <v>41</v>
      </c>
      <c r="X427" s="79" t="s">
        <v>41</v>
      </c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 t="s">
        <v>499</v>
      </c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</row>
    <row r="428" spans="2:60" x14ac:dyDescent="0.2">
      <c r="B428" s="54">
        <v>928550</v>
      </c>
      <c r="C428" s="45" t="s">
        <v>390</v>
      </c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9" t="s">
        <v>41</v>
      </c>
      <c r="W428" s="79" t="s">
        <v>41</v>
      </c>
      <c r="X428" s="79" t="s">
        <v>41</v>
      </c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 t="s">
        <v>499</v>
      </c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</row>
    <row r="429" spans="2:60" x14ac:dyDescent="0.2">
      <c r="B429" s="54">
        <v>928560</v>
      </c>
      <c r="C429" s="45" t="s">
        <v>391</v>
      </c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9" t="s">
        <v>41</v>
      </c>
      <c r="W429" s="79" t="s">
        <v>41</v>
      </c>
      <c r="X429" s="79" t="s">
        <v>41</v>
      </c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 t="s">
        <v>499</v>
      </c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</row>
    <row r="430" spans="2:60" x14ac:dyDescent="0.2">
      <c r="B430" s="54">
        <v>928570</v>
      </c>
      <c r="C430" s="45" t="s">
        <v>516</v>
      </c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9" t="s">
        <v>41</v>
      </c>
      <c r="W430" s="79" t="s">
        <v>41</v>
      </c>
      <c r="X430" s="79" t="s">
        <v>41</v>
      </c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 t="s">
        <v>499</v>
      </c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</row>
    <row r="431" spans="2:60" x14ac:dyDescent="0.2">
      <c r="B431" s="54">
        <v>928580</v>
      </c>
      <c r="C431" s="45" t="s">
        <v>392</v>
      </c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9" t="s">
        <v>41</v>
      </c>
      <c r="W431" s="79" t="s">
        <v>41</v>
      </c>
      <c r="X431" s="79" t="s">
        <v>41</v>
      </c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 t="s">
        <v>499</v>
      </c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</row>
    <row r="432" spans="2:60" x14ac:dyDescent="0.2">
      <c r="B432" s="54">
        <v>928590</v>
      </c>
      <c r="C432" s="45" t="s">
        <v>393</v>
      </c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9" t="s">
        <v>41</v>
      </c>
      <c r="W432" s="79" t="s">
        <v>41</v>
      </c>
      <c r="X432" s="79" t="s">
        <v>41</v>
      </c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 t="s">
        <v>499</v>
      </c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</row>
    <row r="433" spans="2:60" x14ac:dyDescent="0.2">
      <c r="B433" s="54">
        <v>928600</v>
      </c>
      <c r="C433" s="45" t="s">
        <v>394</v>
      </c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9" t="s">
        <v>41</v>
      </c>
      <c r="W433" s="79" t="s">
        <v>41</v>
      </c>
      <c r="X433" s="79" t="s">
        <v>41</v>
      </c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 t="s">
        <v>499</v>
      </c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</row>
    <row r="434" spans="2:60" x14ac:dyDescent="0.2">
      <c r="B434" s="54">
        <v>928610</v>
      </c>
      <c r="C434" s="45" t="s">
        <v>395</v>
      </c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9" t="s">
        <v>41</v>
      </c>
      <c r="W434" s="79" t="s">
        <v>41</v>
      </c>
      <c r="X434" s="79" t="s">
        <v>41</v>
      </c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 t="s">
        <v>499</v>
      </c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</row>
    <row r="435" spans="2:60" x14ac:dyDescent="0.2">
      <c r="B435" s="54">
        <v>928620</v>
      </c>
      <c r="C435" s="45" t="s">
        <v>396</v>
      </c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9" t="s">
        <v>41</v>
      </c>
      <c r="W435" s="79" t="s">
        <v>41</v>
      </c>
      <c r="X435" s="79" t="s">
        <v>41</v>
      </c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 t="s">
        <v>499</v>
      </c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</row>
    <row r="436" spans="2:60" x14ac:dyDescent="0.2">
      <c r="B436" s="54">
        <v>928630</v>
      </c>
      <c r="C436" s="45" t="s">
        <v>397</v>
      </c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9" t="s">
        <v>41</v>
      </c>
      <c r="W436" s="79" t="s">
        <v>41</v>
      </c>
      <c r="X436" s="79" t="s">
        <v>41</v>
      </c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 t="s">
        <v>499</v>
      </c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</row>
    <row r="437" spans="2:60" x14ac:dyDescent="0.2">
      <c r="B437" s="54">
        <v>618200</v>
      </c>
      <c r="C437" s="45" t="s">
        <v>398</v>
      </c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9" t="s">
        <v>41</v>
      </c>
      <c r="W437" s="79" t="s">
        <v>41</v>
      </c>
      <c r="X437" s="79" t="s">
        <v>41</v>
      </c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 t="s">
        <v>80</v>
      </c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</row>
    <row r="438" spans="2:60" x14ac:dyDescent="0.2">
      <c r="B438" s="54">
        <v>928640</v>
      </c>
      <c r="C438" s="45" t="s">
        <v>399</v>
      </c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9" t="s">
        <v>41</v>
      </c>
      <c r="W438" s="79" t="s">
        <v>41</v>
      </c>
      <c r="X438" s="79" t="s">
        <v>41</v>
      </c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 t="s">
        <v>499</v>
      </c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</row>
    <row r="439" spans="2:60" x14ac:dyDescent="0.2">
      <c r="B439" s="54">
        <v>928650</v>
      </c>
      <c r="C439" s="46" t="s">
        <v>496</v>
      </c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9" t="s">
        <v>41</v>
      </c>
      <c r="W439" s="79" t="s">
        <v>41</v>
      </c>
      <c r="X439" s="79" t="s">
        <v>41</v>
      </c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 t="s">
        <v>499</v>
      </c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</row>
    <row r="440" spans="2:60" x14ac:dyDescent="0.2">
      <c r="B440" s="80"/>
      <c r="C440" s="80"/>
    </row>
    <row r="441" spans="2:60" x14ac:dyDescent="0.2">
      <c r="B441" s="80"/>
      <c r="C441" s="80"/>
    </row>
    <row r="442" spans="2:60" x14ac:dyDescent="0.2">
      <c r="B442" s="80"/>
      <c r="C442" s="80"/>
    </row>
    <row r="443" spans="2:60" x14ac:dyDescent="0.2">
      <c r="B443" s="80"/>
      <c r="C443" s="80"/>
    </row>
    <row r="444" spans="2:60" x14ac:dyDescent="0.2">
      <c r="B444" s="80"/>
      <c r="C444" s="80"/>
    </row>
    <row r="445" spans="2:60" x14ac:dyDescent="0.2">
      <c r="B445" s="80"/>
      <c r="C445" s="80"/>
    </row>
    <row r="446" spans="2:60" x14ac:dyDescent="0.2">
      <c r="B446" s="33"/>
      <c r="C446" s="33"/>
    </row>
    <row r="447" spans="2:60" x14ac:dyDescent="0.2">
      <c r="B447" s="33"/>
      <c r="C447" s="33"/>
    </row>
    <row r="448" spans="2:60" x14ac:dyDescent="0.2">
      <c r="B448" s="33"/>
      <c r="C448" s="33"/>
    </row>
    <row r="449" spans="2:3" x14ac:dyDescent="0.2">
      <c r="B449" s="33"/>
      <c r="C449" s="33"/>
    </row>
    <row r="450" spans="2:3" x14ac:dyDescent="0.2">
      <c r="B450" s="33"/>
      <c r="C450" s="33"/>
    </row>
    <row r="451" spans="2:3" x14ac:dyDescent="0.2">
      <c r="B451" s="33"/>
      <c r="C451" s="33"/>
    </row>
    <row r="452" spans="2:3" x14ac:dyDescent="0.2">
      <c r="B452" s="33"/>
      <c r="C452" s="33"/>
    </row>
    <row r="453" spans="2:3" x14ac:dyDescent="0.2">
      <c r="B453" s="33"/>
      <c r="C453" s="33"/>
    </row>
    <row r="454" spans="2:3" x14ac:dyDescent="0.2">
      <c r="B454" s="33"/>
      <c r="C454" s="33"/>
    </row>
    <row r="455" spans="2:3" x14ac:dyDescent="0.2">
      <c r="B455" s="80"/>
      <c r="C455" s="80"/>
    </row>
    <row r="456" spans="2:3" x14ac:dyDescent="0.2">
      <c r="B456" s="80"/>
      <c r="C456" s="80"/>
    </row>
    <row r="457" spans="2:3" x14ac:dyDescent="0.2">
      <c r="B457" s="80"/>
      <c r="C457" s="80"/>
    </row>
    <row r="458" spans="2:3" x14ac:dyDescent="0.2">
      <c r="B458" s="80"/>
      <c r="C458" s="80"/>
    </row>
    <row r="459" spans="2:3" x14ac:dyDescent="0.2">
      <c r="B459" s="80"/>
      <c r="C459" s="80"/>
    </row>
    <row r="460" spans="2:3" x14ac:dyDescent="0.2">
      <c r="B460" s="80"/>
      <c r="C460" s="80"/>
    </row>
    <row r="461" spans="2:3" x14ac:dyDescent="0.2">
      <c r="B461" s="80"/>
      <c r="C461" s="80"/>
    </row>
    <row r="462" spans="2:3" x14ac:dyDescent="0.2">
      <c r="B462" s="80"/>
      <c r="C462" s="80"/>
    </row>
    <row r="463" spans="2:3" x14ac:dyDescent="0.2">
      <c r="B463" s="80"/>
      <c r="C463" s="80"/>
    </row>
    <row r="464" spans="2:3" x14ac:dyDescent="0.2">
      <c r="B464" s="80"/>
      <c r="C464" s="80"/>
    </row>
    <row r="465" spans="2:3" x14ac:dyDescent="0.2">
      <c r="B465" s="80"/>
      <c r="C465" s="80"/>
    </row>
    <row r="466" spans="2:3" x14ac:dyDescent="0.2">
      <c r="B466" s="80"/>
      <c r="C466" s="80"/>
    </row>
    <row r="467" spans="2:3" x14ac:dyDescent="0.2">
      <c r="B467" s="80"/>
      <c r="C467" s="80"/>
    </row>
    <row r="468" spans="2:3" x14ac:dyDescent="0.2">
      <c r="B468" s="80"/>
      <c r="C468" s="80"/>
    </row>
    <row r="469" spans="2:3" x14ac:dyDescent="0.2">
      <c r="B469" s="80"/>
      <c r="C469" s="80"/>
    </row>
    <row r="470" spans="2:3" x14ac:dyDescent="0.2">
      <c r="B470" s="80"/>
      <c r="C470" s="80"/>
    </row>
    <row r="471" spans="2:3" x14ac:dyDescent="0.2">
      <c r="B471" s="80"/>
      <c r="C471" s="80"/>
    </row>
    <row r="472" spans="2:3" x14ac:dyDescent="0.2">
      <c r="B472" s="80"/>
      <c r="C472" s="80"/>
    </row>
    <row r="473" spans="2:3" x14ac:dyDescent="0.2">
      <c r="B473" s="80"/>
      <c r="C473" s="80"/>
    </row>
    <row r="474" spans="2:3" x14ac:dyDescent="0.2">
      <c r="B474" s="80"/>
      <c r="C474" s="80"/>
    </row>
    <row r="475" spans="2:3" x14ac:dyDescent="0.2">
      <c r="B475" s="80"/>
      <c r="C475" s="80"/>
    </row>
    <row r="476" spans="2:3" x14ac:dyDescent="0.2">
      <c r="B476" s="80"/>
      <c r="C476" s="80"/>
    </row>
    <row r="477" spans="2:3" x14ac:dyDescent="0.2">
      <c r="B477" s="80"/>
      <c r="C477" s="80"/>
    </row>
    <row r="478" spans="2:3" x14ac:dyDescent="0.2">
      <c r="B478" s="80"/>
      <c r="C478" s="80"/>
    </row>
    <row r="479" spans="2:3" x14ac:dyDescent="0.2">
      <c r="B479" s="80"/>
      <c r="C479" s="80"/>
    </row>
    <row r="480" spans="2:3" x14ac:dyDescent="0.2">
      <c r="B480" s="80"/>
      <c r="C480" s="80"/>
    </row>
    <row r="481" spans="2:3" x14ac:dyDescent="0.2">
      <c r="B481" s="80"/>
      <c r="C481" s="80"/>
    </row>
    <row r="482" spans="2:3" x14ac:dyDescent="0.2">
      <c r="B482" s="80"/>
      <c r="C482" s="80"/>
    </row>
    <row r="483" spans="2:3" x14ac:dyDescent="0.2">
      <c r="B483" s="80"/>
      <c r="C483" s="80"/>
    </row>
    <row r="484" spans="2:3" x14ac:dyDescent="0.2">
      <c r="B484" s="80"/>
      <c r="C484" s="80"/>
    </row>
    <row r="485" spans="2:3" x14ac:dyDescent="0.2">
      <c r="B485" s="80"/>
      <c r="C485" s="80"/>
    </row>
    <row r="486" spans="2:3" x14ac:dyDescent="0.2">
      <c r="B486" s="80"/>
      <c r="C486" s="80"/>
    </row>
    <row r="487" spans="2:3" x14ac:dyDescent="0.2">
      <c r="B487" s="80"/>
      <c r="C487" s="80"/>
    </row>
    <row r="488" spans="2:3" x14ac:dyDescent="0.2">
      <c r="B488" s="80"/>
      <c r="C488" s="80"/>
    </row>
    <row r="489" spans="2:3" x14ac:dyDescent="0.2">
      <c r="B489" s="80"/>
      <c r="C489" s="80"/>
    </row>
    <row r="490" spans="2:3" x14ac:dyDescent="0.2">
      <c r="B490" s="80"/>
      <c r="C490" s="80"/>
    </row>
    <row r="491" spans="2:3" x14ac:dyDescent="0.2">
      <c r="B491" s="80"/>
      <c r="C491" s="80"/>
    </row>
    <row r="492" spans="2:3" x14ac:dyDescent="0.2">
      <c r="B492" s="80"/>
      <c r="C492" s="80"/>
    </row>
    <row r="493" spans="2:3" x14ac:dyDescent="0.2">
      <c r="B493" s="80"/>
      <c r="C493" s="80"/>
    </row>
    <row r="494" spans="2:3" x14ac:dyDescent="0.2">
      <c r="B494" s="80"/>
      <c r="C494" s="80"/>
    </row>
    <row r="495" spans="2:3" x14ac:dyDescent="0.2">
      <c r="B495" s="80"/>
      <c r="C495" s="80"/>
    </row>
    <row r="496" spans="2:3" x14ac:dyDescent="0.2">
      <c r="B496" s="80"/>
      <c r="C496" s="80"/>
    </row>
    <row r="497" spans="2:3" x14ac:dyDescent="0.2">
      <c r="B497" s="81"/>
      <c r="C497" s="81"/>
    </row>
    <row r="498" spans="2:3" x14ac:dyDescent="0.2">
      <c r="B498" s="80"/>
      <c r="C498" s="80"/>
    </row>
    <row r="499" spans="2:3" x14ac:dyDescent="0.2">
      <c r="B499" s="80"/>
      <c r="C499" s="80"/>
    </row>
    <row r="500" spans="2:3" x14ac:dyDescent="0.2">
      <c r="B500" s="80"/>
      <c r="C500" s="80"/>
    </row>
    <row r="501" spans="2:3" x14ac:dyDescent="0.2">
      <c r="B501" s="80"/>
      <c r="C501" s="80"/>
    </row>
    <row r="502" spans="2:3" x14ac:dyDescent="0.2">
      <c r="B502" s="80"/>
      <c r="C502" s="80"/>
    </row>
    <row r="503" spans="2:3" x14ac:dyDescent="0.2">
      <c r="B503" s="80"/>
      <c r="C503" s="80"/>
    </row>
    <row r="504" spans="2:3" x14ac:dyDescent="0.2">
      <c r="B504" s="80"/>
      <c r="C504" s="80"/>
    </row>
    <row r="505" spans="2:3" x14ac:dyDescent="0.2">
      <c r="B505" s="80"/>
      <c r="C505" s="80"/>
    </row>
    <row r="506" spans="2:3" x14ac:dyDescent="0.2">
      <c r="B506" s="80"/>
      <c r="C506" s="80"/>
    </row>
    <row r="507" spans="2:3" x14ac:dyDescent="0.2">
      <c r="B507" s="80"/>
      <c r="C507" s="80"/>
    </row>
    <row r="508" spans="2:3" x14ac:dyDescent="0.2">
      <c r="B508" s="80"/>
      <c r="C508" s="80"/>
    </row>
    <row r="509" spans="2:3" x14ac:dyDescent="0.2">
      <c r="B509" s="80"/>
      <c r="C509" s="80"/>
    </row>
    <row r="510" spans="2:3" x14ac:dyDescent="0.2">
      <c r="B510" s="80"/>
      <c r="C510" s="80"/>
    </row>
    <row r="511" spans="2:3" x14ac:dyDescent="0.2">
      <c r="B511" s="80"/>
      <c r="C511" s="80"/>
    </row>
    <row r="512" spans="2:3" x14ac:dyDescent="0.2">
      <c r="B512" s="80"/>
      <c r="C512" s="80"/>
    </row>
    <row r="513" spans="2:3" x14ac:dyDescent="0.2">
      <c r="B513" s="80"/>
      <c r="C513" s="80"/>
    </row>
    <row r="514" spans="2:3" x14ac:dyDescent="0.2">
      <c r="B514" s="80"/>
      <c r="C514" s="80"/>
    </row>
    <row r="515" spans="2:3" x14ac:dyDescent="0.2">
      <c r="B515" s="80"/>
      <c r="C515" s="80"/>
    </row>
    <row r="516" spans="2:3" x14ac:dyDescent="0.2">
      <c r="B516" s="80"/>
      <c r="C516" s="80"/>
    </row>
    <row r="517" spans="2:3" x14ac:dyDescent="0.2">
      <c r="B517" s="80"/>
      <c r="C517" s="80"/>
    </row>
    <row r="518" spans="2:3" x14ac:dyDescent="0.2">
      <c r="B518" s="80"/>
      <c r="C518" s="80"/>
    </row>
    <row r="519" spans="2:3" x14ac:dyDescent="0.2">
      <c r="B519" s="80"/>
      <c r="C519" s="80"/>
    </row>
    <row r="520" spans="2:3" x14ac:dyDescent="0.2">
      <c r="B520" s="80"/>
      <c r="C520" s="80"/>
    </row>
    <row r="521" spans="2:3" x14ac:dyDescent="0.2">
      <c r="B521" s="80"/>
      <c r="C521" s="80"/>
    </row>
    <row r="522" spans="2:3" x14ac:dyDescent="0.2">
      <c r="B522" s="80"/>
      <c r="C522" s="80"/>
    </row>
    <row r="523" spans="2:3" x14ac:dyDescent="0.2">
      <c r="B523" s="80"/>
      <c r="C523" s="80"/>
    </row>
    <row r="524" spans="2:3" x14ac:dyDescent="0.2">
      <c r="B524" s="80"/>
      <c r="C524" s="80"/>
    </row>
    <row r="525" spans="2:3" x14ac:dyDescent="0.2">
      <c r="B525" s="80"/>
      <c r="C525" s="80"/>
    </row>
    <row r="526" spans="2:3" x14ac:dyDescent="0.2">
      <c r="B526" s="80"/>
      <c r="C526" s="80"/>
    </row>
    <row r="527" spans="2:3" x14ac:dyDescent="0.2">
      <c r="B527" s="81"/>
      <c r="C527" s="81"/>
    </row>
    <row r="528" spans="2:3" x14ac:dyDescent="0.2">
      <c r="B528" s="81"/>
      <c r="C528" s="81"/>
    </row>
    <row r="529" spans="2:3" x14ac:dyDescent="0.2">
      <c r="B529" s="80"/>
      <c r="C529" s="80"/>
    </row>
    <row r="530" spans="2:3" x14ac:dyDescent="0.2">
      <c r="B530" s="80"/>
      <c r="C530" s="80"/>
    </row>
    <row r="531" spans="2:3" x14ac:dyDescent="0.2">
      <c r="B531" s="80"/>
      <c r="C531" s="80"/>
    </row>
    <row r="532" spans="2:3" x14ac:dyDescent="0.2">
      <c r="B532" s="80"/>
      <c r="C532" s="80"/>
    </row>
    <row r="533" spans="2:3" x14ac:dyDescent="0.2">
      <c r="B533" s="80"/>
      <c r="C533" s="80"/>
    </row>
    <row r="534" spans="2:3" x14ac:dyDescent="0.2">
      <c r="B534" s="81"/>
      <c r="C534" s="81"/>
    </row>
    <row r="535" spans="2:3" x14ac:dyDescent="0.2">
      <c r="B535" s="81"/>
      <c r="C535" s="81"/>
    </row>
    <row r="536" spans="2:3" x14ac:dyDescent="0.2">
      <c r="B536" s="80"/>
      <c r="C536" s="80"/>
    </row>
    <row r="537" spans="2:3" x14ac:dyDescent="0.2">
      <c r="B537" s="80"/>
      <c r="C537" s="80"/>
    </row>
    <row r="538" spans="2:3" x14ac:dyDescent="0.2">
      <c r="B538" s="80"/>
      <c r="C538" s="80"/>
    </row>
    <row r="539" spans="2:3" x14ac:dyDescent="0.2">
      <c r="B539" s="80"/>
      <c r="C539" s="80"/>
    </row>
    <row r="540" spans="2:3" x14ac:dyDescent="0.2">
      <c r="B540" s="80"/>
      <c r="C540" s="80"/>
    </row>
    <row r="541" spans="2:3" x14ac:dyDescent="0.2">
      <c r="B541" s="80"/>
      <c r="C541" s="80"/>
    </row>
    <row r="542" spans="2:3" x14ac:dyDescent="0.2">
      <c r="B542" s="80"/>
      <c r="C542" s="80"/>
    </row>
    <row r="543" spans="2:3" x14ac:dyDescent="0.2">
      <c r="B543" s="33"/>
      <c r="C543" s="33"/>
    </row>
    <row r="544" spans="2:3" x14ac:dyDescent="0.2">
      <c r="B544" s="33"/>
      <c r="C544" s="33"/>
    </row>
    <row r="545" spans="2:3" x14ac:dyDescent="0.2">
      <c r="B545" s="80"/>
      <c r="C545" s="80"/>
    </row>
    <row r="546" spans="2:3" x14ac:dyDescent="0.2">
      <c r="B546" s="80"/>
      <c r="C546" s="80"/>
    </row>
    <row r="547" spans="2:3" x14ac:dyDescent="0.2">
      <c r="B547" s="80"/>
      <c r="C547" s="80"/>
    </row>
    <row r="548" spans="2:3" x14ac:dyDescent="0.2">
      <c r="B548" s="80"/>
      <c r="C548" s="80"/>
    </row>
    <row r="549" spans="2:3" x14ac:dyDescent="0.2">
      <c r="B549" s="80"/>
      <c r="C549" s="80"/>
    </row>
    <row r="550" spans="2:3" x14ac:dyDescent="0.2">
      <c r="B550" s="80"/>
      <c r="C550" s="80"/>
    </row>
    <row r="551" spans="2:3" x14ac:dyDescent="0.2">
      <c r="B551" s="80"/>
      <c r="C551" s="80"/>
    </row>
    <row r="552" spans="2:3" x14ac:dyDescent="0.2">
      <c r="B552" s="80"/>
      <c r="C552" s="80"/>
    </row>
    <row r="553" spans="2:3" x14ac:dyDescent="0.2">
      <c r="B553" s="80"/>
      <c r="C553" s="80"/>
    </row>
    <row r="554" spans="2:3" x14ac:dyDescent="0.2">
      <c r="B554" s="80"/>
      <c r="C554" s="80"/>
    </row>
    <row r="555" spans="2:3" x14ac:dyDescent="0.2">
      <c r="B555" s="80"/>
      <c r="C555" s="80"/>
    </row>
    <row r="556" spans="2:3" x14ac:dyDescent="0.2">
      <c r="B556" s="80"/>
      <c r="C556" s="80"/>
    </row>
    <row r="557" spans="2:3" x14ac:dyDescent="0.2">
      <c r="B557" s="80"/>
      <c r="C557" s="80"/>
    </row>
    <row r="558" spans="2:3" x14ac:dyDescent="0.2">
      <c r="B558" s="80"/>
      <c r="C558" s="80"/>
    </row>
    <row r="559" spans="2:3" x14ac:dyDescent="0.2">
      <c r="B559" s="80"/>
      <c r="C559" s="80"/>
    </row>
    <row r="560" spans="2:3" x14ac:dyDescent="0.2">
      <c r="B560" s="80"/>
      <c r="C560" s="80"/>
    </row>
    <row r="561" spans="2:3" x14ac:dyDescent="0.2">
      <c r="B561" s="80"/>
      <c r="C561" s="80"/>
    </row>
    <row r="562" spans="2:3" x14ac:dyDescent="0.2">
      <c r="B562" s="80"/>
      <c r="C562" s="80"/>
    </row>
    <row r="563" spans="2:3" x14ac:dyDescent="0.2">
      <c r="B563" s="80"/>
      <c r="C563" s="80"/>
    </row>
    <row r="564" spans="2:3" x14ac:dyDescent="0.2">
      <c r="B564" s="80"/>
      <c r="C564" s="80"/>
    </row>
    <row r="565" spans="2:3" x14ac:dyDescent="0.2">
      <c r="B565" s="80"/>
      <c r="C565" s="80"/>
    </row>
    <row r="566" spans="2:3" x14ac:dyDescent="0.2">
      <c r="B566" s="80"/>
      <c r="C566" s="80"/>
    </row>
    <row r="567" spans="2:3" x14ac:dyDescent="0.2">
      <c r="B567" s="80"/>
      <c r="C567" s="80"/>
    </row>
    <row r="568" spans="2:3" x14ac:dyDescent="0.2">
      <c r="B568" s="80"/>
      <c r="C568" s="80"/>
    </row>
    <row r="569" spans="2:3" x14ac:dyDescent="0.2">
      <c r="B569" s="80"/>
      <c r="C569" s="80"/>
    </row>
    <row r="570" spans="2:3" x14ac:dyDescent="0.2">
      <c r="B570" s="80"/>
      <c r="C570" s="80"/>
    </row>
    <row r="571" spans="2:3" x14ac:dyDescent="0.2">
      <c r="B571" s="80"/>
      <c r="C571" s="80"/>
    </row>
    <row r="572" spans="2:3" x14ac:dyDescent="0.2">
      <c r="B572" s="80"/>
      <c r="C572" s="80"/>
    </row>
    <row r="573" spans="2:3" x14ac:dyDescent="0.2">
      <c r="B573" s="80"/>
      <c r="C573" s="80"/>
    </row>
    <row r="574" spans="2:3" x14ac:dyDescent="0.2">
      <c r="B574" s="80"/>
      <c r="C574" s="80"/>
    </row>
    <row r="575" spans="2:3" x14ac:dyDescent="0.2">
      <c r="B575" s="80"/>
      <c r="C575" s="80"/>
    </row>
    <row r="576" spans="2:3" x14ac:dyDescent="0.2">
      <c r="B576" s="80"/>
      <c r="C576" s="80"/>
    </row>
    <row r="577" spans="2:3" x14ac:dyDescent="0.2">
      <c r="B577" s="80"/>
      <c r="C577" s="80"/>
    </row>
    <row r="578" spans="2:3" x14ac:dyDescent="0.2">
      <c r="B578" s="80"/>
      <c r="C578" s="80"/>
    </row>
    <row r="579" spans="2:3" x14ac:dyDescent="0.2">
      <c r="B579" s="80"/>
      <c r="C579" s="80"/>
    </row>
    <row r="580" spans="2:3" x14ac:dyDescent="0.2">
      <c r="B580" s="80"/>
      <c r="C580" s="80"/>
    </row>
    <row r="581" spans="2:3" x14ac:dyDescent="0.2">
      <c r="B581" s="80"/>
      <c r="C581" s="80"/>
    </row>
    <row r="582" spans="2:3" x14ac:dyDescent="0.2">
      <c r="B582" s="80"/>
      <c r="C582" s="80"/>
    </row>
    <row r="583" spans="2:3" x14ac:dyDescent="0.2">
      <c r="B583" s="80"/>
      <c r="C583" s="80"/>
    </row>
    <row r="584" spans="2:3" x14ac:dyDescent="0.2">
      <c r="B584" s="80"/>
      <c r="C584" s="80"/>
    </row>
    <row r="585" spans="2:3" x14ac:dyDescent="0.2">
      <c r="B585" s="80"/>
      <c r="C585" s="80"/>
    </row>
    <row r="586" spans="2:3" x14ac:dyDescent="0.2">
      <c r="B586" s="80"/>
      <c r="C586" s="80"/>
    </row>
    <row r="587" spans="2:3" x14ac:dyDescent="0.2">
      <c r="B587" s="80"/>
      <c r="C587" s="80"/>
    </row>
    <row r="588" spans="2:3" x14ac:dyDescent="0.2">
      <c r="B588" s="80"/>
      <c r="C588" s="80"/>
    </row>
    <row r="589" spans="2:3" x14ac:dyDescent="0.2">
      <c r="B589" s="80"/>
      <c r="C589" s="80"/>
    </row>
    <row r="590" spans="2:3" x14ac:dyDescent="0.2">
      <c r="B590" s="80"/>
      <c r="C590" s="80"/>
    </row>
    <row r="591" spans="2:3" x14ac:dyDescent="0.2">
      <c r="B591" s="81"/>
      <c r="C591" s="81"/>
    </row>
    <row r="592" spans="2:3" x14ac:dyDescent="0.2">
      <c r="B592" s="80"/>
      <c r="C592" s="80"/>
    </row>
    <row r="593" spans="2:3" x14ac:dyDescent="0.2">
      <c r="B593" s="80"/>
      <c r="C593" s="80"/>
    </row>
    <row r="594" spans="2:3" x14ac:dyDescent="0.2">
      <c r="B594" s="80"/>
      <c r="C594" s="80"/>
    </row>
    <row r="595" spans="2:3" x14ac:dyDescent="0.2">
      <c r="B595" s="54"/>
      <c r="C595" s="54"/>
    </row>
    <row r="596" spans="2:3" x14ac:dyDescent="0.2">
      <c r="B596" s="54"/>
      <c r="C596" s="54"/>
    </row>
    <row r="597" spans="2:3" x14ac:dyDescent="0.2">
      <c r="B597" s="54"/>
      <c r="C597" s="54"/>
    </row>
    <row r="598" spans="2:3" x14ac:dyDescent="0.2">
      <c r="B598" s="54"/>
      <c r="C598" s="54"/>
    </row>
    <row r="599" spans="2:3" x14ac:dyDescent="0.2">
      <c r="B599" s="54"/>
      <c r="C599" s="54"/>
    </row>
    <row r="600" spans="2:3" x14ac:dyDescent="0.2">
      <c r="B600" s="81"/>
      <c r="C600" s="81"/>
    </row>
    <row r="601" spans="2:3" x14ac:dyDescent="0.2">
      <c r="B601" s="81"/>
      <c r="C601" s="33"/>
    </row>
    <row r="602" spans="2:3" x14ac:dyDescent="0.2">
      <c r="B602" s="52"/>
      <c r="C602" s="33"/>
    </row>
    <row r="603" spans="2:3" x14ac:dyDescent="0.2">
      <c r="B603" s="52"/>
      <c r="C603" s="33"/>
    </row>
    <row r="604" spans="2:3" x14ac:dyDescent="0.2">
      <c r="B604" s="33"/>
      <c r="C604" s="33"/>
    </row>
    <row r="605" spans="2:3" x14ac:dyDescent="0.2">
      <c r="B605" s="33"/>
      <c r="C605" s="33"/>
    </row>
    <row r="606" spans="2:3" x14ac:dyDescent="0.2">
      <c r="B606" s="80"/>
      <c r="C606" s="80"/>
    </row>
    <row r="607" spans="2:3" x14ac:dyDescent="0.2">
      <c r="B607" s="80"/>
      <c r="C607" s="80"/>
    </row>
    <row r="608" spans="2:3" x14ac:dyDescent="0.2">
      <c r="B608" s="80"/>
      <c r="C608" s="80"/>
    </row>
    <row r="609" spans="2:3" x14ac:dyDescent="0.2">
      <c r="B609" s="33"/>
      <c r="C609" s="33"/>
    </row>
    <row r="610" spans="2:3" x14ac:dyDescent="0.2">
      <c r="B610" s="33"/>
      <c r="C610" s="33"/>
    </row>
    <row r="611" spans="2:3" x14ac:dyDescent="0.2">
      <c r="B611" s="33"/>
      <c r="C611" s="33"/>
    </row>
    <row r="612" spans="2:3" x14ac:dyDescent="0.2">
      <c r="B612" s="82"/>
      <c r="C612" s="33"/>
    </row>
    <row r="613" spans="2:3" x14ac:dyDescent="0.2">
      <c r="B613" s="80"/>
      <c r="C613" s="80"/>
    </row>
    <row r="614" spans="2:3" x14ac:dyDescent="0.2">
      <c r="B614" s="80"/>
      <c r="C614" s="80"/>
    </row>
    <row r="615" spans="2:3" x14ac:dyDescent="0.2">
      <c r="B615" s="80"/>
      <c r="C615" s="80"/>
    </row>
    <row r="616" spans="2:3" x14ac:dyDescent="0.2">
      <c r="B616" s="80"/>
      <c r="C616" s="80"/>
    </row>
    <row r="617" spans="2:3" x14ac:dyDescent="0.2">
      <c r="B617" s="80"/>
      <c r="C617" s="80"/>
    </row>
    <row r="618" spans="2:3" x14ac:dyDescent="0.2">
      <c r="B618" s="80"/>
      <c r="C618" s="80"/>
    </row>
    <row r="619" spans="2:3" x14ac:dyDescent="0.2">
      <c r="B619" s="80"/>
      <c r="C619" s="80"/>
    </row>
    <row r="620" spans="2:3" x14ac:dyDescent="0.2">
      <c r="B620" s="80"/>
      <c r="C620" s="80"/>
    </row>
    <row r="621" spans="2:3" x14ac:dyDescent="0.2">
      <c r="B621" s="80"/>
      <c r="C621" s="80"/>
    </row>
    <row r="622" spans="2:3" x14ac:dyDescent="0.2">
      <c r="B622" s="80"/>
      <c r="C622" s="80"/>
    </row>
    <row r="623" spans="2:3" x14ac:dyDescent="0.2">
      <c r="B623" s="80"/>
      <c r="C623" s="80"/>
    </row>
    <row r="624" spans="2:3" x14ac:dyDescent="0.2">
      <c r="B624" s="80"/>
      <c r="C624" s="80"/>
    </row>
    <row r="625" spans="2:3" x14ac:dyDescent="0.2">
      <c r="B625" s="80"/>
      <c r="C625" s="80"/>
    </row>
    <row r="626" spans="2:3" x14ac:dyDescent="0.2">
      <c r="B626" s="80"/>
      <c r="C626" s="80"/>
    </row>
    <row r="627" spans="2:3" x14ac:dyDescent="0.2">
      <c r="B627" s="80"/>
      <c r="C627" s="80"/>
    </row>
    <row r="628" spans="2:3" x14ac:dyDescent="0.2">
      <c r="B628" s="80"/>
      <c r="C628" s="80"/>
    </row>
    <row r="629" spans="2:3" x14ac:dyDescent="0.2">
      <c r="B629" s="80"/>
      <c r="C629" s="80"/>
    </row>
    <row r="630" spans="2:3" x14ac:dyDescent="0.2">
      <c r="B630" s="80"/>
      <c r="C630" s="80"/>
    </row>
    <row r="631" spans="2:3" x14ac:dyDescent="0.2">
      <c r="B631" s="80"/>
      <c r="C631" s="80"/>
    </row>
    <row r="632" spans="2:3" x14ac:dyDescent="0.2">
      <c r="B632" s="81"/>
      <c r="C632" s="80"/>
    </row>
    <row r="633" spans="2:3" x14ac:dyDescent="0.2">
      <c r="B633" s="81"/>
      <c r="C633" s="80"/>
    </row>
    <row r="634" spans="2:3" x14ac:dyDescent="0.2">
      <c r="B634" s="81"/>
      <c r="C634" s="80"/>
    </row>
    <row r="635" spans="2:3" x14ac:dyDescent="0.2">
      <c r="B635" s="81"/>
      <c r="C635" s="80"/>
    </row>
    <row r="636" spans="2:3" x14ac:dyDescent="0.2">
      <c r="B636" s="81"/>
      <c r="C636" s="80"/>
    </row>
    <row r="637" spans="2:3" x14ac:dyDescent="0.2">
      <c r="B637" s="80"/>
      <c r="C637" s="80"/>
    </row>
    <row r="638" spans="2:3" x14ac:dyDescent="0.2">
      <c r="B638" s="80"/>
      <c r="C638" s="80"/>
    </row>
    <row r="639" spans="2:3" x14ac:dyDescent="0.2">
      <c r="B639" s="80"/>
      <c r="C639" s="80"/>
    </row>
    <row r="640" spans="2:3" x14ac:dyDescent="0.2">
      <c r="B640" s="80"/>
      <c r="C640" s="80"/>
    </row>
    <row r="641" spans="2:3" x14ac:dyDescent="0.2">
      <c r="B641" s="80"/>
      <c r="C641" s="80"/>
    </row>
    <row r="642" spans="2:3" x14ac:dyDescent="0.2">
      <c r="B642" s="80"/>
      <c r="C642" s="80"/>
    </row>
    <row r="643" spans="2:3" x14ac:dyDescent="0.2">
      <c r="B643" s="80"/>
      <c r="C643" s="80"/>
    </row>
    <row r="644" spans="2:3" x14ac:dyDescent="0.2">
      <c r="B644" s="80"/>
      <c r="C644" s="80"/>
    </row>
    <row r="645" spans="2:3" x14ac:dyDescent="0.2">
      <c r="B645" s="81"/>
      <c r="C645" s="80"/>
    </row>
    <row r="646" spans="2:3" x14ac:dyDescent="0.2">
      <c r="B646" s="81"/>
      <c r="C646" s="80"/>
    </row>
    <row r="647" spans="2:3" x14ac:dyDescent="0.2">
      <c r="B647" s="81"/>
      <c r="C647" s="80"/>
    </row>
    <row r="648" spans="2:3" ht="15" thickBot="1" x14ac:dyDescent="0.25">
      <c r="B648" s="81"/>
      <c r="C648" s="80"/>
    </row>
    <row r="649" spans="2:3" x14ac:dyDescent="0.2">
      <c r="B649" s="83"/>
      <c r="C649" s="80"/>
    </row>
    <row r="650" spans="2:3" x14ac:dyDescent="0.2">
      <c r="B650" s="84"/>
      <c r="C650" s="80"/>
    </row>
    <row r="651" spans="2:3" x14ac:dyDescent="0.2">
      <c r="B651" s="84"/>
      <c r="C651" s="80"/>
    </row>
    <row r="652" spans="2:3" x14ac:dyDescent="0.2">
      <c r="B652" s="84"/>
      <c r="C652" s="80"/>
    </row>
    <row r="653" spans="2:3" x14ac:dyDescent="0.2">
      <c r="B653" s="84"/>
      <c r="C653" s="80"/>
    </row>
    <row r="654" spans="2:3" x14ac:dyDescent="0.2">
      <c r="B654" s="84"/>
      <c r="C654" s="80"/>
    </row>
    <row r="655" spans="2:3" x14ac:dyDescent="0.2">
      <c r="B655" s="81"/>
      <c r="C655" s="80"/>
    </row>
    <row r="656" spans="2:3" x14ac:dyDescent="0.2">
      <c r="B656" s="80"/>
      <c r="C656" s="80"/>
    </row>
    <row r="657" spans="2:3" x14ac:dyDescent="0.2">
      <c r="B657" s="80"/>
      <c r="C657" s="80"/>
    </row>
    <row r="658" spans="2:3" x14ac:dyDescent="0.2">
      <c r="B658" s="80"/>
      <c r="C658" s="80"/>
    </row>
    <row r="659" spans="2:3" x14ac:dyDescent="0.2">
      <c r="B659" s="80"/>
      <c r="C659" s="80"/>
    </row>
    <row r="660" spans="2:3" x14ac:dyDescent="0.2">
      <c r="B660" s="80"/>
      <c r="C660" s="80"/>
    </row>
    <row r="661" spans="2:3" x14ac:dyDescent="0.2">
      <c r="B661" s="80"/>
      <c r="C661" s="80"/>
    </row>
    <row r="662" spans="2:3" x14ac:dyDescent="0.2">
      <c r="B662" s="80"/>
      <c r="C662" s="80"/>
    </row>
    <row r="663" spans="2:3" x14ac:dyDescent="0.2">
      <c r="B663" s="80"/>
      <c r="C663" s="80"/>
    </row>
    <row r="664" spans="2:3" x14ac:dyDescent="0.2">
      <c r="B664" s="80"/>
      <c r="C664" s="80"/>
    </row>
    <row r="665" spans="2:3" x14ac:dyDescent="0.2">
      <c r="B665" s="80"/>
      <c r="C665" s="80"/>
    </row>
    <row r="666" spans="2:3" x14ac:dyDescent="0.2">
      <c r="B666" s="80"/>
      <c r="C666" s="80"/>
    </row>
    <row r="667" spans="2:3" x14ac:dyDescent="0.2">
      <c r="B667" s="80"/>
      <c r="C667" s="80"/>
    </row>
    <row r="668" spans="2:3" x14ac:dyDescent="0.2">
      <c r="B668" s="80"/>
      <c r="C668" s="80"/>
    </row>
    <row r="669" spans="2:3" x14ac:dyDescent="0.2">
      <c r="B669" s="80"/>
      <c r="C669" s="80"/>
    </row>
    <row r="670" spans="2:3" x14ac:dyDescent="0.2">
      <c r="B670" s="80"/>
      <c r="C670" s="80"/>
    </row>
    <row r="671" spans="2:3" x14ac:dyDescent="0.2">
      <c r="B671" s="80"/>
      <c r="C671" s="80"/>
    </row>
    <row r="672" spans="2:3" x14ac:dyDescent="0.2">
      <c r="B672" s="80"/>
      <c r="C672" s="80"/>
    </row>
    <row r="673" spans="2:3" x14ac:dyDescent="0.2">
      <c r="B673" s="80"/>
      <c r="C673" s="80"/>
    </row>
    <row r="674" spans="2:3" x14ac:dyDescent="0.2">
      <c r="B674" s="80"/>
      <c r="C674" s="80"/>
    </row>
    <row r="675" spans="2:3" x14ac:dyDescent="0.2">
      <c r="B675" s="80"/>
      <c r="C675" s="80"/>
    </row>
    <row r="676" spans="2:3" x14ac:dyDescent="0.2">
      <c r="B676" s="80"/>
      <c r="C676" s="80"/>
    </row>
    <row r="677" spans="2:3" x14ac:dyDescent="0.2">
      <c r="B677" s="80"/>
      <c r="C677" s="80"/>
    </row>
    <row r="678" spans="2:3" x14ac:dyDescent="0.2">
      <c r="B678" s="80"/>
      <c r="C678" s="80"/>
    </row>
    <row r="679" spans="2:3" x14ac:dyDescent="0.2">
      <c r="B679" s="80"/>
      <c r="C679" s="80"/>
    </row>
    <row r="680" spans="2:3" x14ac:dyDescent="0.2">
      <c r="B680" s="80"/>
      <c r="C680" s="80"/>
    </row>
    <row r="681" spans="2:3" x14ac:dyDescent="0.2">
      <c r="B681" s="80"/>
      <c r="C681" s="80"/>
    </row>
    <row r="682" spans="2:3" x14ac:dyDescent="0.2">
      <c r="B682" s="80"/>
      <c r="C682" s="80"/>
    </row>
    <row r="683" spans="2:3" x14ac:dyDescent="0.2">
      <c r="B683" s="80"/>
      <c r="C683" s="80"/>
    </row>
    <row r="684" spans="2:3" x14ac:dyDescent="0.2">
      <c r="B684" s="80"/>
      <c r="C684" s="80"/>
    </row>
    <row r="685" spans="2:3" x14ac:dyDescent="0.2">
      <c r="B685" s="80"/>
      <c r="C685" s="80"/>
    </row>
    <row r="686" spans="2:3" x14ac:dyDescent="0.2">
      <c r="B686" s="80"/>
      <c r="C686" s="80"/>
    </row>
    <row r="687" spans="2:3" x14ac:dyDescent="0.2">
      <c r="B687" s="80"/>
      <c r="C687" s="80"/>
    </row>
    <row r="688" spans="2:3" x14ac:dyDescent="0.2">
      <c r="B688" s="80"/>
      <c r="C688" s="80"/>
    </row>
    <row r="689" spans="2:3" x14ac:dyDescent="0.2">
      <c r="B689" s="80"/>
      <c r="C689" s="80"/>
    </row>
    <row r="690" spans="2:3" x14ac:dyDescent="0.2">
      <c r="B690" s="80"/>
      <c r="C690" s="80"/>
    </row>
    <row r="691" spans="2:3" x14ac:dyDescent="0.2">
      <c r="B691" s="80"/>
      <c r="C691" s="80"/>
    </row>
    <row r="692" spans="2:3" x14ac:dyDescent="0.2">
      <c r="B692" s="80"/>
      <c r="C692" s="80"/>
    </row>
    <row r="693" spans="2:3" x14ac:dyDescent="0.2">
      <c r="B693" s="80"/>
      <c r="C693" s="80"/>
    </row>
    <row r="694" spans="2:3" x14ac:dyDescent="0.2">
      <c r="B694" s="80"/>
      <c r="C694" s="80"/>
    </row>
    <row r="695" spans="2:3" x14ac:dyDescent="0.2">
      <c r="B695" s="80"/>
      <c r="C695" s="80"/>
    </row>
    <row r="696" spans="2:3" x14ac:dyDescent="0.2">
      <c r="B696" s="80"/>
      <c r="C696" s="80"/>
    </row>
    <row r="697" spans="2:3" x14ac:dyDescent="0.2">
      <c r="B697" s="80"/>
      <c r="C697" s="80"/>
    </row>
    <row r="698" spans="2:3" x14ac:dyDescent="0.2">
      <c r="B698" s="80"/>
      <c r="C698" s="80"/>
    </row>
    <row r="699" spans="2:3" x14ac:dyDescent="0.2">
      <c r="B699" s="80"/>
      <c r="C699" s="80"/>
    </row>
    <row r="700" spans="2:3" x14ac:dyDescent="0.2">
      <c r="B700" s="80"/>
      <c r="C700" s="80"/>
    </row>
    <row r="701" spans="2:3" x14ac:dyDescent="0.2">
      <c r="B701" s="80"/>
      <c r="C701" s="80"/>
    </row>
    <row r="702" spans="2:3" x14ac:dyDescent="0.2">
      <c r="B702" s="80"/>
      <c r="C702" s="80"/>
    </row>
    <row r="703" spans="2:3" x14ac:dyDescent="0.2">
      <c r="B703" s="80"/>
      <c r="C703" s="80"/>
    </row>
    <row r="704" spans="2:3" x14ac:dyDescent="0.2">
      <c r="B704" s="80"/>
      <c r="C704" s="80"/>
    </row>
    <row r="705" spans="2:3" x14ac:dyDescent="0.2">
      <c r="B705" s="80"/>
      <c r="C705" s="80"/>
    </row>
    <row r="706" spans="2:3" x14ac:dyDescent="0.2">
      <c r="B706" s="80"/>
      <c r="C706" s="80"/>
    </row>
    <row r="707" spans="2:3" x14ac:dyDescent="0.2">
      <c r="B707" s="33"/>
      <c r="C707" s="80"/>
    </row>
    <row r="708" spans="2:3" x14ac:dyDescent="0.2">
      <c r="B708" s="33"/>
      <c r="C708" s="33"/>
    </row>
    <row r="709" spans="2:3" x14ac:dyDescent="0.2">
      <c r="B709" s="80"/>
      <c r="C709" s="80"/>
    </row>
    <row r="710" spans="2:3" x14ac:dyDescent="0.2">
      <c r="B710" s="80"/>
      <c r="C710" s="80"/>
    </row>
    <row r="711" spans="2:3" x14ac:dyDescent="0.2">
      <c r="B711" s="80"/>
      <c r="C711" s="80"/>
    </row>
    <row r="712" spans="2:3" x14ac:dyDescent="0.2">
      <c r="B712" s="80"/>
      <c r="C712" s="80"/>
    </row>
    <row r="713" spans="2:3" x14ac:dyDescent="0.2">
      <c r="B713" s="52"/>
      <c r="C713" s="52"/>
    </row>
    <row r="714" spans="2:3" x14ac:dyDescent="0.2">
      <c r="B714" s="33"/>
      <c r="C714" s="80"/>
    </row>
    <row r="715" spans="2:3" x14ac:dyDescent="0.2">
      <c r="B715" s="33"/>
      <c r="C715" s="80"/>
    </row>
    <row r="716" spans="2:3" x14ac:dyDescent="0.2">
      <c r="B716" s="80"/>
      <c r="C716" s="80"/>
    </row>
    <row r="717" spans="2:3" x14ac:dyDescent="0.2">
      <c r="B717" s="33"/>
      <c r="C717" s="33"/>
    </row>
    <row r="718" spans="2:3" x14ac:dyDescent="0.2">
      <c r="B718" s="80"/>
      <c r="C718" s="80"/>
    </row>
    <row r="719" spans="2:3" x14ac:dyDescent="0.2">
      <c r="B719" s="80"/>
      <c r="C719" s="80"/>
    </row>
    <row r="720" spans="2:3" x14ac:dyDescent="0.2">
      <c r="B720" s="80"/>
      <c r="C720" s="80"/>
    </row>
    <row r="721" spans="2:3" x14ac:dyDescent="0.2">
      <c r="B721" s="80"/>
      <c r="C721" s="80"/>
    </row>
    <row r="722" spans="2:3" x14ac:dyDescent="0.2">
      <c r="B722" s="80"/>
      <c r="C722" s="80"/>
    </row>
    <row r="723" spans="2:3" x14ac:dyDescent="0.2">
      <c r="B723" s="80"/>
      <c r="C723" s="80"/>
    </row>
    <row r="724" spans="2:3" x14ac:dyDescent="0.2">
      <c r="B724" s="33"/>
      <c r="C724" s="33"/>
    </row>
    <row r="725" spans="2:3" x14ac:dyDescent="0.2">
      <c r="B725" s="33"/>
      <c r="C725" s="33"/>
    </row>
    <row r="726" spans="2:3" x14ac:dyDescent="0.2">
      <c r="B726" s="33"/>
      <c r="C726" s="33"/>
    </row>
    <row r="727" spans="2:3" x14ac:dyDescent="0.2">
      <c r="B727" s="33"/>
      <c r="C727" s="33"/>
    </row>
    <row r="728" spans="2:3" x14ac:dyDescent="0.2">
      <c r="B728" s="33"/>
      <c r="C728" s="33"/>
    </row>
    <row r="729" spans="2:3" x14ac:dyDescent="0.2">
      <c r="B729" s="33"/>
      <c r="C729" s="33"/>
    </row>
    <row r="730" spans="2:3" x14ac:dyDescent="0.2">
      <c r="B730" s="33"/>
      <c r="C730" s="33"/>
    </row>
    <row r="731" spans="2:3" x14ac:dyDescent="0.2">
      <c r="B731" s="33"/>
      <c r="C731" s="33"/>
    </row>
    <row r="732" spans="2:3" x14ac:dyDescent="0.2">
      <c r="B732" s="33"/>
      <c r="C732" s="33"/>
    </row>
    <row r="733" spans="2:3" x14ac:dyDescent="0.2">
      <c r="B733" s="80"/>
      <c r="C733" s="80"/>
    </row>
    <row r="734" spans="2:3" x14ac:dyDescent="0.2">
      <c r="B734" s="80"/>
      <c r="C734" s="80"/>
    </row>
    <row r="735" spans="2:3" x14ac:dyDescent="0.2">
      <c r="B735" s="80"/>
      <c r="C735" s="80"/>
    </row>
    <row r="736" spans="2:3" x14ac:dyDescent="0.2">
      <c r="B736" s="80"/>
      <c r="C736" s="80"/>
    </row>
    <row r="737" spans="2:3" x14ac:dyDescent="0.2">
      <c r="B737" s="80"/>
      <c r="C737" s="80"/>
    </row>
    <row r="738" spans="2:3" x14ac:dyDescent="0.2">
      <c r="B738" s="80"/>
      <c r="C738" s="80"/>
    </row>
    <row r="739" spans="2:3" x14ac:dyDescent="0.2">
      <c r="B739" s="80"/>
      <c r="C739" s="80"/>
    </row>
    <row r="740" spans="2:3" x14ac:dyDescent="0.2">
      <c r="B740" s="80"/>
      <c r="C740" s="80"/>
    </row>
    <row r="741" spans="2:3" x14ac:dyDescent="0.2">
      <c r="B741" s="80"/>
      <c r="C741" s="80"/>
    </row>
    <row r="742" spans="2:3" x14ac:dyDescent="0.2">
      <c r="B742" s="80"/>
      <c r="C742" s="80"/>
    </row>
    <row r="743" spans="2:3" x14ac:dyDescent="0.2">
      <c r="B743" s="80"/>
      <c r="C743" s="80"/>
    </row>
    <row r="744" spans="2:3" x14ac:dyDescent="0.2">
      <c r="B744" s="80"/>
      <c r="C744" s="80"/>
    </row>
    <row r="745" spans="2:3" x14ac:dyDescent="0.2">
      <c r="B745" s="80"/>
      <c r="C745" s="80"/>
    </row>
    <row r="746" spans="2:3" x14ac:dyDescent="0.2">
      <c r="B746" s="80"/>
      <c r="C746" s="80"/>
    </row>
    <row r="747" spans="2:3" x14ac:dyDescent="0.2">
      <c r="B747" s="80"/>
      <c r="C747" s="80"/>
    </row>
    <row r="748" spans="2:3" x14ac:dyDescent="0.2">
      <c r="B748" s="80"/>
      <c r="C748" s="80"/>
    </row>
    <row r="749" spans="2:3" x14ac:dyDescent="0.2">
      <c r="B749" s="80"/>
      <c r="C749" s="80"/>
    </row>
    <row r="750" spans="2:3" x14ac:dyDescent="0.2">
      <c r="B750" s="80"/>
      <c r="C750" s="80"/>
    </row>
    <row r="751" spans="2:3" x14ac:dyDescent="0.2">
      <c r="B751" s="80"/>
      <c r="C751" s="80"/>
    </row>
    <row r="752" spans="2:3" x14ac:dyDescent="0.2">
      <c r="B752" s="80"/>
      <c r="C752" s="80"/>
    </row>
    <row r="753" spans="2:3" x14ac:dyDescent="0.2">
      <c r="B753" s="80"/>
      <c r="C753" s="80"/>
    </row>
    <row r="754" spans="2:3" x14ac:dyDescent="0.2">
      <c r="B754" s="80"/>
      <c r="C754" s="80"/>
    </row>
    <row r="755" spans="2:3" x14ac:dyDescent="0.2">
      <c r="B755" s="80"/>
      <c r="C755" s="80"/>
    </row>
    <row r="756" spans="2:3" x14ac:dyDescent="0.2">
      <c r="B756" s="80"/>
      <c r="C756" s="80"/>
    </row>
    <row r="757" spans="2:3" x14ac:dyDescent="0.2">
      <c r="B757" s="80"/>
      <c r="C757" s="80"/>
    </row>
    <row r="758" spans="2:3" x14ac:dyDescent="0.2">
      <c r="B758" s="80"/>
      <c r="C758" s="80"/>
    </row>
    <row r="759" spans="2:3" x14ac:dyDescent="0.2">
      <c r="B759" s="80"/>
      <c r="C759" s="80"/>
    </row>
    <row r="760" spans="2:3" x14ac:dyDescent="0.2">
      <c r="B760" s="80"/>
      <c r="C760" s="80"/>
    </row>
    <row r="761" spans="2:3" x14ac:dyDescent="0.2">
      <c r="B761" s="80"/>
      <c r="C761" s="80"/>
    </row>
    <row r="762" spans="2:3" x14ac:dyDescent="0.2">
      <c r="B762" s="80"/>
      <c r="C762" s="80"/>
    </row>
    <row r="763" spans="2:3" x14ac:dyDescent="0.2">
      <c r="B763" s="80"/>
      <c r="C763" s="80"/>
    </row>
    <row r="764" spans="2:3" x14ac:dyDescent="0.2">
      <c r="B764" s="80"/>
      <c r="C764" s="80"/>
    </row>
    <row r="765" spans="2:3" x14ac:dyDescent="0.2">
      <c r="B765" s="80"/>
      <c r="C765" s="80"/>
    </row>
    <row r="766" spans="2:3" x14ac:dyDescent="0.2">
      <c r="B766" s="80"/>
      <c r="C766" s="80"/>
    </row>
    <row r="767" spans="2:3" x14ac:dyDescent="0.2">
      <c r="B767" s="80"/>
      <c r="C767" s="80"/>
    </row>
    <row r="768" spans="2:3" x14ac:dyDescent="0.2">
      <c r="B768" s="80"/>
      <c r="C768" s="80"/>
    </row>
    <row r="769" spans="2:3" x14ac:dyDescent="0.2">
      <c r="B769" s="80"/>
      <c r="C769" s="80"/>
    </row>
    <row r="770" spans="2:3" x14ac:dyDescent="0.2">
      <c r="B770" s="80"/>
      <c r="C770" s="80"/>
    </row>
    <row r="771" spans="2:3" x14ac:dyDescent="0.2">
      <c r="B771" s="80"/>
      <c r="C771" s="80"/>
    </row>
    <row r="772" spans="2:3" x14ac:dyDescent="0.2">
      <c r="B772" s="80"/>
      <c r="C772" s="80"/>
    </row>
    <row r="773" spans="2:3" x14ac:dyDescent="0.2">
      <c r="B773" s="80"/>
      <c r="C773" s="80"/>
    </row>
    <row r="774" spans="2:3" x14ac:dyDescent="0.2">
      <c r="B774" s="80"/>
      <c r="C774" s="80"/>
    </row>
    <row r="775" spans="2:3" x14ac:dyDescent="0.2">
      <c r="B775" s="81"/>
      <c r="C775" s="81"/>
    </row>
    <row r="776" spans="2:3" x14ac:dyDescent="0.2">
      <c r="B776" s="80"/>
      <c r="C776" s="80"/>
    </row>
    <row r="777" spans="2:3" x14ac:dyDescent="0.2">
      <c r="B777" s="80"/>
      <c r="C777" s="80"/>
    </row>
    <row r="778" spans="2:3" x14ac:dyDescent="0.2">
      <c r="B778" s="80"/>
      <c r="C778" s="80"/>
    </row>
    <row r="779" spans="2:3" x14ac:dyDescent="0.2">
      <c r="B779" s="80"/>
      <c r="C779" s="80"/>
    </row>
    <row r="780" spans="2:3" x14ac:dyDescent="0.2">
      <c r="B780" s="80"/>
      <c r="C780" s="80"/>
    </row>
    <row r="781" spans="2:3" x14ac:dyDescent="0.2">
      <c r="B781" s="80"/>
      <c r="C781" s="80"/>
    </row>
    <row r="782" spans="2:3" x14ac:dyDescent="0.2">
      <c r="B782" s="80"/>
      <c r="C782" s="80"/>
    </row>
    <row r="783" spans="2:3" x14ac:dyDescent="0.2">
      <c r="B783" s="80"/>
      <c r="C783" s="80"/>
    </row>
    <row r="784" spans="2:3" x14ac:dyDescent="0.2">
      <c r="B784" s="80"/>
      <c r="C784" s="80"/>
    </row>
    <row r="785" spans="2:3" x14ac:dyDescent="0.2">
      <c r="B785" s="80"/>
      <c r="C785" s="80"/>
    </row>
    <row r="786" spans="2:3" x14ac:dyDescent="0.2">
      <c r="B786" s="80"/>
      <c r="C786" s="80"/>
    </row>
    <row r="787" spans="2:3" x14ac:dyDescent="0.2">
      <c r="B787" s="80"/>
      <c r="C787" s="80"/>
    </row>
    <row r="788" spans="2:3" x14ac:dyDescent="0.2">
      <c r="B788" s="80"/>
      <c r="C788" s="80"/>
    </row>
    <row r="789" spans="2:3" x14ac:dyDescent="0.2">
      <c r="B789" s="80"/>
      <c r="C789" s="80"/>
    </row>
    <row r="790" spans="2:3" x14ac:dyDescent="0.2">
      <c r="B790" s="80"/>
      <c r="C790" s="80"/>
    </row>
    <row r="791" spans="2:3" x14ac:dyDescent="0.2">
      <c r="B791" s="80"/>
      <c r="C791" s="80"/>
    </row>
    <row r="792" spans="2:3" x14ac:dyDescent="0.2">
      <c r="B792" s="80"/>
      <c r="C792" s="80"/>
    </row>
    <row r="793" spans="2:3" x14ac:dyDescent="0.2">
      <c r="B793" s="80"/>
      <c r="C793" s="80"/>
    </row>
    <row r="794" spans="2:3" x14ac:dyDescent="0.2">
      <c r="B794" s="80"/>
      <c r="C794" s="80"/>
    </row>
    <row r="795" spans="2:3" x14ac:dyDescent="0.2">
      <c r="B795" s="80"/>
      <c r="C795" s="80"/>
    </row>
    <row r="796" spans="2:3" x14ac:dyDescent="0.2">
      <c r="B796" s="80"/>
      <c r="C796" s="80"/>
    </row>
    <row r="797" spans="2:3" x14ac:dyDescent="0.2">
      <c r="B797" s="80"/>
      <c r="C797" s="80"/>
    </row>
    <row r="798" spans="2:3" x14ac:dyDescent="0.2">
      <c r="B798" s="80"/>
      <c r="C798" s="80"/>
    </row>
    <row r="799" spans="2:3" x14ac:dyDescent="0.2">
      <c r="B799" s="80"/>
      <c r="C799" s="80"/>
    </row>
    <row r="800" spans="2:3" x14ac:dyDescent="0.2">
      <c r="B800" s="80"/>
      <c r="C800" s="80"/>
    </row>
    <row r="801" spans="2:3" x14ac:dyDescent="0.2">
      <c r="B801" s="80"/>
      <c r="C801" s="80"/>
    </row>
    <row r="802" spans="2:3" x14ac:dyDescent="0.2">
      <c r="B802" s="80"/>
      <c r="C802" s="80"/>
    </row>
    <row r="803" spans="2:3" x14ac:dyDescent="0.2">
      <c r="B803" s="80"/>
      <c r="C803" s="80"/>
    </row>
    <row r="804" spans="2:3" x14ac:dyDescent="0.2">
      <c r="B804" s="80"/>
      <c r="C804" s="80"/>
    </row>
    <row r="805" spans="2:3" x14ac:dyDescent="0.2">
      <c r="B805" s="81"/>
      <c r="C805" s="81"/>
    </row>
    <row r="806" spans="2:3" x14ac:dyDescent="0.2">
      <c r="B806" s="81"/>
      <c r="C806" s="81"/>
    </row>
    <row r="807" spans="2:3" x14ac:dyDescent="0.2">
      <c r="B807" s="80"/>
      <c r="C807" s="80"/>
    </row>
    <row r="808" spans="2:3" x14ac:dyDescent="0.2">
      <c r="B808" s="80"/>
      <c r="C808" s="80"/>
    </row>
    <row r="809" spans="2:3" x14ac:dyDescent="0.2">
      <c r="B809" s="80"/>
      <c r="C809" s="80"/>
    </row>
    <row r="810" spans="2:3" x14ac:dyDescent="0.2">
      <c r="B810" s="80"/>
      <c r="C810" s="80"/>
    </row>
    <row r="811" spans="2:3" x14ac:dyDescent="0.2">
      <c r="B811" s="80"/>
      <c r="C811" s="80"/>
    </row>
    <row r="812" spans="2:3" x14ac:dyDescent="0.2">
      <c r="B812" s="81"/>
      <c r="C812" s="81"/>
    </row>
    <row r="813" spans="2:3" x14ac:dyDescent="0.2">
      <c r="B813" s="81"/>
      <c r="C813" s="81"/>
    </row>
    <row r="814" spans="2:3" x14ac:dyDescent="0.2">
      <c r="B814" s="80"/>
      <c r="C814" s="80"/>
    </row>
    <row r="815" spans="2:3" x14ac:dyDescent="0.2">
      <c r="B815" s="80"/>
      <c r="C815" s="80"/>
    </row>
    <row r="816" spans="2:3" x14ac:dyDescent="0.2">
      <c r="B816" s="80"/>
      <c r="C816" s="80"/>
    </row>
    <row r="817" spans="2:3" x14ac:dyDescent="0.2">
      <c r="B817" s="80"/>
      <c r="C817" s="80"/>
    </row>
    <row r="818" spans="2:3" x14ac:dyDescent="0.2">
      <c r="B818" s="80"/>
      <c r="C818" s="80"/>
    </row>
    <row r="819" spans="2:3" x14ac:dyDescent="0.2">
      <c r="B819" s="80"/>
      <c r="C819" s="80"/>
    </row>
    <row r="820" spans="2:3" x14ac:dyDescent="0.2">
      <c r="B820" s="80"/>
      <c r="C820" s="80"/>
    </row>
    <row r="821" spans="2:3" x14ac:dyDescent="0.2">
      <c r="B821" s="33"/>
      <c r="C821" s="33"/>
    </row>
    <row r="822" spans="2:3" x14ac:dyDescent="0.2">
      <c r="B822" s="33"/>
      <c r="C822" s="33"/>
    </row>
    <row r="823" spans="2:3" x14ac:dyDescent="0.2">
      <c r="B823" s="80"/>
      <c r="C823" s="80"/>
    </row>
    <row r="824" spans="2:3" x14ac:dyDescent="0.2">
      <c r="B824" s="80"/>
      <c r="C824" s="80"/>
    </row>
    <row r="825" spans="2:3" x14ac:dyDescent="0.2">
      <c r="B825" s="80"/>
      <c r="C825" s="80"/>
    </row>
    <row r="826" spans="2:3" x14ac:dyDescent="0.2">
      <c r="B826" s="80"/>
      <c r="C826" s="80"/>
    </row>
    <row r="827" spans="2:3" x14ac:dyDescent="0.2">
      <c r="B827" s="80"/>
      <c r="C827" s="80"/>
    </row>
    <row r="828" spans="2:3" x14ac:dyDescent="0.2">
      <c r="B828" s="80"/>
      <c r="C828" s="80"/>
    </row>
    <row r="829" spans="2:3" x14ac:dyDescent="0.2">
      <c r="B829" s="80"/>
      <c r="C829" s="80"/>
    </row>
    <row r="830" spans="2:3" x14ac:dyDescent="0.2">
      <c r="B830" s="80"/>
      <c r="C830" s="80"/>
    </row>
    <row r="831" spans="2:3" x14ac:dyDescent="0.2">
      <c r="B831" s="80"/>
      <c r="C831" s="80"/>
    </row>
    <row r="832" spans="2:3" x14ac:dyDescent="0.2">
      <c r="B832" s="80"/>
      <c r="C832" s="80"/>
    </row>
    <row r="833" spans="2:3" x14ac:dyDescent="0.2">
      <c r="B833" s="80"/>
      <c r="C833" s="80"/>
    </row>
    <row r="834" spans="2:3" x14ac:dyDescent="0.2">
      <c r="B834" s="80"/>
      <c r="C834" s="80"/>
    </row>
    <row r="835" spans="2:3" x14ac:dyDescent="0.2">
      <c r="B835" s="80"/>
      <c r="C835" s="80"/>
    </row>
    <row r="836" spans="2:3" x14ac:dyDescent="0.2">
      <c r="B836" s="80"/>
      <c r="C836" s="80"/>
    </row>
    <row r="837" spans="2:3" x14ac:dyDescent="0.2">
      <c r="B837" s="80"/>
      <c r="C837" s="80"/>
    </row>
    <row r="838" spans="2:3" x14ac:dyDescent="0.2">
      <c r="B838" s="80"/>
      <c r="C838" s="80"/>
    </row>
    <row r="839" spans="2:3" x14ac:dyDescent="0.2">
      <c r="B839" s="80"/>
      <c r="C839" s="80"/>
    </row>
  </sheetData>
  <autoFilter ref="AN1:AN38"/>
  <dataValidations disablePrompts="1" count="2">
    <dataValidation type="list" allowBlank="1" showInputMessage="1" showErrorMessage="1" sqref="Y39:BG39 AN40:AN445">
      <formula1>$BX$78:$BX$108</formula1>
    </dataValidation>
    <dataValidation type="list" allowBlank="1" showInputMessage="1" showErrorMessage="1" sqref="V14:V38 V1277:X8824 X14:X38 W39:W142 W440:W1276">
      <formula1>$CB$78:$CB$99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rightToLeft="1" workbookViewId="0">
      <selection activeCell="C36" sqref="C36"/>
    </sheetView>
  </sheetViews>
  <sheetFormatPr defaultRowHeight="14.25" x14ac:dyDescent="0.2"/>
  <cols>
    <col min="1" max="1" width="13.875" bestFit="1" customWidth="1"/>
    <col min="2" max="2" width="10.375" style="9" bestFit="1" customWidth="1"/>
    <col min="3" max="3" width="10.875" style="9" bestFit="1" customWidth="1"/>
    <col min="4" max="4" width="17.25" hidden="1" customWidth="1"/>
  </cols>
  <sheetData>
    <row r="1" spans="1:4" s="3" customFormat="1" ht="15" x14ac:dyDescent="0.25">
      <c r="A1" s="3" t="s">
        <v>1</v>
      </c>
      <c r="B1" s="8"/>
      <c r="C1" s="8"/>
    </row>
    <row r="2" spans="1:4" s="3" customFormat="1" ht="15" x14ac:dyDescent="0.25">
      <c r="B2" s="8"/>
      <c r="C2" s="8"/>
    </row>
    <row r="3" spans="1:4" s="3" customFormat="1" ht="15" x14ac:dyDescent="0.25">
      <c r="A3" s="12" t="str">
        <f>"כותרת"</f>
        <v>כותרת</v>
      </c>
      <c r="B3" s="13" t="str">
        <f>"קוד סוג ספק"</f>
        <v>קוד סוג ספק</v>
      </c>
      <c r="C3" s="13" t="str">
        <f>"תאור סוג ספק"</f>
        <v>תאור סוג ספק</v>
      </c>
      <c r="D3" s="12" t="str">
        <f>"תאור סוג ספק(אנגלית)"</f>
        <v>תאור סוג ספק(אנגלית)</v>
      </c>
    </row>
    <row r="4" spans="1:4" s="3" customFormat="1" ht="15" x14ac:dyDescent="0.25">
      <c r="A4" s="12" t="str">
        <f>"כותרת חדשה"</f>
        <v>כותרת חדשה</v>
      </c>
      <c r="B4" s="13"/>
      <c r="C4" s="13"/>
      <c r="D4" s="12"/>
    </row>
    <row r="5" spans="1:4" x14ac:dyDescent="0.2">
      <c r="A5" s="1" t="str">
        <f>"טיפוס"</f>
        <v>טיפוס</v>
      </c>
      <c r="B5" s="10" t="str">
        <f>"CHAR"</f>
        <v>CHAR</v>
      </c>
      <c r="C5" s="10" t="str">
        <f>"RCHAR"</f>
        <v>RCHAR</v>
      </c>
      <c r="D5" s="1" t="str">
        <f>"CHAR"</f>
        <v>CHAR</v>
      </c>
    </row>
    <row r="6" spans="1:4" x14ac:dyDescent="0.2">
      <c r="A6" s="1" t="str">
        <f>"רוחב"</f>
        <v>רוחב</v>
      </c>
      <c r="B6" s="10">
        <v>3</v>
      </c>
      <c r="C6" s="10">
        <v>32</v>
      </c>
      <c r="D6" s="1">
        <v>32</v>
      </c>
    </row>
    <row r="7" spans="1:4" x14ac:dyDescent="0.2">
      <c r="A7" s="1" t="str">
        <f>"דיוק עשרוני"</f>
        <v>דיוק עשרוני</v>
      </c>
      <c r="B7" s="10"/>
      <c r="C7" s="10"/>
      <c r="D7" s="1"/>
    </row>
    <row r="8" spans="1:4" x14ac:dyDescent="0.2">
      <c r="A8" s="1" t="str">
        <f>"קריאה/חובה/יתרה"</f>
        <v>קריאה/חובה/יתרה</v>
      </c>
      <c r="B8" s="10" t="str">
        <f>"M"</f>
        <v>M</v>
      </c>
      <c r="C8" s="10"/>
      <c r="D8" s="1"/>
    </row>
    <row r="9" spans="1:4" x14ac:dyDescent="0.2">
      <c r="A9" s="1" t="str">
        <f>"בולאני?"</f>
        <v>בולאני?</v>
      </c>
      <c r="B9" s="10"/>
      <c r="C9" s="10"/>
      <c r="D9" s="1"/>
    </row>
    <row r="10" spans="1:4" x14ac:dyDescent="0.2">
      <c r="A10" s="1" t="s">
        <v>38</v>
      </c>
      <c r="B10" s="16" t="s">
        <v>43</v>
      </c>
      <c r="C10" s="16" t="s">
        <v>64</v>
      </c>
      <c r="D10" s="1"/>
    </row>
    <row r="11" spans="1:4" x14ac:dyDescent="0.2">
      <c r="B11" s="16" t="s">
        <v>71</v>
      </c>
      <c r="C11" s="16" t="s">
        <v>74</v>
      </c>
    </row>
    <row r="12" spans="1:4" x14ac:dyDescent="0.2">
      <c r="B12" s="16" t="s">
        <v>72</v>
      </c>
      <c r="C12" s="16" t="s">
        <v>75</v>
      </c>
    </row>
    <row r="13" spans="1:4" x14ac:dyDescent="0.2">
      <c r="B13" s="16" t="s">
        <v>73</v>
      </c>
      <c r="C13" s="16" t="s">
        <v>76</v>
      </c>
    </row>
    <row r="14" spans="1:4" x14ac:dyDescent="0.2">
      <c r="B14" s="16"/>
      <c r="C14" s="16"/>
    </row>
    <row r="15" spans="1:4" x14ac:dyDescent="0.2">
      <c r="B15" s="16"/>
      <c r="C15" s="16"/>
    </row>
    <row r="16" spans="1:4" x14ac:dyDescent="0.2">
      <c r="B16" s="16"/>
      <c r="C16" s="16"/>
    </row>
    <row r="17" spans="2:3" x14ac:dyDescent="0.2">
      <c r="B17" s="16"/>
      <c r="C17" s="16"/>
    </row>
    <row r="18" spans="2:3" x14ac:dyDescent="0.2">
      <c r="B18" s="16"/>
      <c r="C18" s="16"/>
    </row>
    <row r="19" spans="2:3" x14ac:dyDescent="0.2">
      <c r="B19" s="16"/>
      <c r="C19" s="16"/>
    </row>
    <row r="20" spans="2:3" x14ac:dyDescent="0.2">
      <c r="B20" s="16"/>
      <c r="C20" s="16"/>
    </row>
    <row r="21" spans="2:3" x14ac:dyDescent="0.2">
      <c r="B21" s="16"/>
      <c r="C21" s="16"/>
    </row>
    <row r="22" spans="2:3" x14ac:dyDescent="0.2">
      <c r="B22" s="16"/>
      <c r="C22" s="16"/>
    </row>
    <row r="23" spans="2:3" x14ac:dyDescent="0.2">
      <c r="B23" s="16"/>
      <c r="C23" s="16"/>
    </row>
    <row r="24" spans="2:3" x14ac:dyDescent="0.2">
      <c r="B24" s="16"/>
      <c r="C24" s="16"/>
    </row>
    <row r="25" spans="2:3" x14ac:dyDescent="0.2">
      <c r="B25" s="16"/>
      <c r="C25" s="16"/>
    </row>
    <row r="26" spans="2:3" x14ac:dyDescent="0.2">
      <c r="B26" s="16"/>
      <c r="C26" s="16"/>
    </row>
    <row r="27" spans="2:3" x14ac:dyDescent="0.2">
      <c r="B27" s="16"/>
      <c r="C27" s="16"/>
    </row>
    <row r="28" spans="2:3" x14ac:dyDescent="0.2">
      <c r="B28" s="16"/>
      <c r="C2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rightToLeft="1" workbookViewId="0">
      <selection activeCell="P13" sqref="P13"/>
    </sheetView>
  </sheetViews>
  <sheetFormatPr defaultRowHeight="14.25" x14ac:dyDescent="0.2"/>
  <cols>
    <col min="1" max="1" width="13.875" bestFit="1" customWidth="1"/>
    <col min="2" max="2" width="13.5" style="9" bestFit="1" customWidth="1"/>
    <col min="3" max="3" width="10.25" style="9" bestFit="1" customWidth="1"/>
    <col min="4" max="4" width="17.625" hidden="1" customWidth="1"/>
    <col min="5" max="5" width="6" bestFit="1" customWidth="1"/>
    <col min="6" max="6" width="6.625" bestFit="1" customWidth="1"/>
    <col min="7" max="7" width="4.125" bestFit="1" customWidth="1"/>
    <col min="8" max="8" width="12.625" bestFit="1" customWidth="1"/>
    <col min="9" max="9" width="9.125" hidden="1" customWidth="1"/>
    <col min="10" max="10" width="8.625" hidden="1" customWidth="1"/>
    <col min="11" max="11" width="19.375" hidden="1" customWidth="1"/>
    <col min="12" max="12" width="9.625" hidden="1" customWidth="1"/>
    <col min="13" max="13" width="9.25" hidden="1" customWidth="1"/>
  </cols>
  <sheetData>
    <row r="1" spans="1:13" s="3" customFormat="1" ht="15" x14ac:dyDescent="0.25">
      <c r="A1" s="3" t="s">
        <v>11</v>
      </c>
      <c r="B1" s="8"/>
      <c r="C1" s="8"/>
    </row>
    <row r="2" spans="1:13" s="3" customFormat="1" ht="15" x14ac:dyDescent="0.25">
      <c r="B2" s="8"/>
      <c r="C2" s="8"/>
    </row>
    <row r="3" spans="1:13" s="3" customFormat="1" ht="15" x14ac:dyDescent="0.25">
      <c r="A3" s="12" t="str">
        <f>"כותרת"</f>
        <v>כותרת</v>
      </c>
      <c r="B3" s="13" t="str">
        <f>"קוד תנאי תשלום"</f>
        <v>קוד תנאי תשלום</v>
      </c>
      <c r="C3" s="13" t="str">
        <f>"תנאי תשלום"</f>
        <v>תנאי תשלום</v>
      </c>
      <c r="D3" s="12" t="str">
        <f>"תנאי תשלום (אנגלית)"</f>
        <v>תנאי תשלום (אנגלית)</v>
      </c>
      <c r="E3" s="12" t="str">
        <f>"שוטף"</f>
        <v>שוטף</v>
      </c>
      <c r="F3" s="12" t="str">
        <f>"חודשים"</f>
        <v>חודשים</v>
      </c>
      <c r="G3" s="12" t="str">
        <f>"ימים"</f>
        <v>ימים</v>
      </c>
      <c r="H3" s="12" t="str">
        <f>"מספר תשלומים"</f>
        <v>מספר תשלומים</v>
      </c>
      <c r="I3" s="12" t="str">
        <f>"סוג אשראי"</f>
        <v>סוג אשראי</v>
      </c>
      <c r="J3" s="12" t="str">
        <f>"קוד מועדון"</f>
        <v>קוד מועדון</v>
      </c>
      <c r="K3" s="12" t="str">
        <f>"% הנחה לתשלום מוקדם"</f>
        <v>% הנחה לתשלום מוקדם</v>
      </c>
      <c r="L3" s="12" t="str">
        <f>"ימים להנחה"</f>
        <v>ימים להנחה</v>
      </c>
      <c r="M3" s="12" t="str">
        <f>"קוד תשלום"</f>
        <v>קוד תשלום</v>
      </c>
    </row>
    <row r="4" spans="1:13" s="3" customFormat="1" ht="15" x14ac:dyDescent="0.25">
      <c r="A4" s="12" t="str">
        <f>"כותרת חדשה"</f>
        <v>כותרת חדשה</v>
      </c>
      <c r="B4" s="13"/>
      <c r="C4" s="13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x14ac:dyDescent="0.2">
      <c r="A5" s="1" t="str">
        <f>"טיפוס"</f>
        <v>טיפוס</v>
      </c>
      <c r="B5" s="10" t="str">
        <f>"CHAR"</f>
        <v>CHAR</v>
      </c>
      <c r="C5" s="10" t="str">
        <f>"RCHAR"</f>
        <v>RCHAR</v>
      </c>
      <c r="D5" s="1" t="str">
        <f>"CHAR"</f>
        <v>CHAR</v>
      </c>
      <c r="E5" s="1" t="str">
        <f>"CHAR"</f>
        <v>CHAR</v>
      </c>
      <c r="F5" s="1" t="str">
        <f>"INT"</f>
        <v>INT</v>
      </c>
      <c r="G5" s="1" t="str">
        <f>"INT"</f>
        <v>INT</v>
      </c>
      <c r="H5" s="1" t="str">
        <f>"INT"</f>
        <v>INT</v>
      </c>
      <c r="I5" s="1" t="str">
        <f>"CHAR"</f>
        <v>CHAR</v>
      </c>
      <c r="J5" s="1" t="str">
        <f>"CHAR"</f>
        <v>CHAR</v>
      </c>
      <c r="K5" s="1" t="str">
        <f>"REAL"</f>
        <v>REAL</v>
      </c>
      <c r="L5" s="1" t="str">
        <f>"INT"</f>
        <v>INT</v>
      </c>
      <c r="M5" s="1" t="str">
        <f>"CHAR"</f>
        <v>CHAR</v>
      </c>
    </row>
    <row r="6" spans="1:13" x14ac:dyDescent="0.2">
      <c r="A6" s="1" t="str">
        <f>"רוחב"</f>
        <v>רוחב</v>
      </c>
      <c r="B6" s="10">
        <v>3</v>
      </c>
      <c r="C6" s="10">
        <v>24</v>
      </c>
      <c r="D6" s="1">
        <v>24</v>
      </c>
      <c r="E6" s="1">
        <v>1</v>
      </c>
      <c r="F6" s="1">
        <v>6</v>
      </c>
      <c r="G6" s="1">
        <v>6</v>
      </c>
      <c r="H6" s="1">
        <v>3</v>
      </c>
      <c r="I6" s="1">
        <v>2</v>
      </c>
      <c r="J6" s="1">
        <v>1</v>
      </c>
      <c r="K6" s="1">
        <v>5</v>
      </c>
      <c r="L6" s="1">
        <v>6</v>
      </c>
      <c r="M6" s="1">
        <v>3</v>
      </c>
    </row>
    <row r="7" spans="1:13" x14ac:dyDescent="0.2">
      <c r="A7" s="1" t="str">
        <f>"דיוק עשרוני"</f>
        <v>דיוק עשרוני</v>
      </c>
      <c r="B7" s="10"/>
      <c r="C7" s="10"/>
      <c r="D7" s="1"/>
      <c r="E7" s="1"/>
      <c r="F7" s="1" t="str">
        <f>"0"</f>
        <v>0</v>
      </c>
      <c r="G7" s="1" t="str">
        <f>"0"</f>
        <v>0</v>
      </c>
      <c r="H7" s="1" t="str">
        <f>"0"</f>
        <v>0</v>
      </c>
      <c r="I7" s="1"/>
      <c r="J7" s="1"/>
      <c r="K7" s="1" t="str">
        <f>"2"</f>
        <v>2</v>
      </c>
      <c r="L7" s="1" t="str">
        <f>"0"</f>
        <v>0</v>
      </c>
      <c r="M7" s="1"/>
    </row>
    <row r="8" spans="1:13" x14ac:dyDescent="0.2">
      <c r="A8" s="1" t="str">
        <f>"קריאה/חובה/יתרה"</f>
        <v>קריאה/חובה/יתרה</v>
      </c>
      <c r="B8" s="10" t="str">
        <f>"M"</f>
        <v>M</v>
      </c>
      <c r="C8" s="10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 t="str">
        <f>"בולאני?"</f>
        <v>בולאני?</v>
      </c>
      <c r="B9" s="10"/>
      <c r="C9" s="10"/>
      <c r="D9" s="1"/>
      <c r="E9" s="1" t="str">
        <f t="shared" ref="E9:E18" si="0">"Y"</f>
        <v>Y</v>
      </c>
      <c r="F9" s="1"/>
      <c r="G9" s="1"/>
      <c r="H9" s="1"/>
      <c r="I9" s="1"/>
      <c r="J9" s="1"/>
      <c r="K9" s="1"/>
      <c r="L9" s="1"/>
      <c r="M9" s="1"/>
    </row>
    <row r="10" spans="1:13" x14ac:dyDescent="0.2">
      <c r="A10" s="1" t="s">
        <v>44</v>
      </c>
      <c r="B10" s="1" t="str">
        <f>"03"</f>
        <v>03</v>
      </c>
      <c r="C10" s="1" t="str">
        <f>"ש30"</f>
        <v>ש30</v>
      </c>
      <c r="D10" s="1"/>
      <c r="E10" s="1" t="str">
        <f t="shared" si="0"/>
        <v>Y</v>
      </c>
      <c r="F10" s="1">
        <v>1</v>
      </c>
      <c r="G10" s="1">
        <v>0</v>
      </c>
      <c r="H10" s="1">
        <v>1</v>
      </c>
      <c r="I10" s="1"/>
      <c r="J10" s="1"/>
      <c r="K10" s="1">
        <v>0</v>
      </c>
      <c r="L10" s="1">
        <v>0</v>
      </c>
      <c r="M10" s="1"/>
    </row>
    <row r="11" spans="1:13" x14ac:dyDescent="0.2">
      <c r="A11" s="1" t="s">
        <v>44</v>
      </c>
      <c r="B11" s="1" t="str">
        <f>"04"</f>
        <v>04</v>
      </c>
      <c r="C11" s="1" t="str">
        <f>"ש45"</f>
        <v>ש45</v>
      </c>
      <c r="D11" s="1"/>
      <c r="E11" s="1" t="str">
        <f t="shared" si="0"/>
        <v>Y</v>
      </c>
      <c r="F11" s="1">
        <v>1</v>
      </c>
      <c r="G11" s="1">
        <v>15</v>
      </c>
      <c r="H11" s="1">
        <v>1</v>
      </c>
      <c r="I11" s="1"/>
      <c r="J11" s="1"/>
      <c r="K11" s="1">
        <v>0</v>
      </c>
      <c r="L11" s="1">
        <v>0</v>
      </c>
      <c r="M11" s="1"/>
    </row>
    <row r="12" spans="1:13" x14ac:dyDescent="0.2">
      <c r="A12" s="1" t="s">
        <v>44</v>
      </c>
      <c r="B12" s="1" t="str">
        <f>"01"</f>
        <v>01</v>
      </c>
      <c r="C12" s="1" t="str">
        <f>"שוטף"</f>
        <v>שוטף</v>
      </c>
      <c r="D12" s="1"/>
      <c r="E12" s="1" t="str">
        <f t="shared" si="0"/>
        <v>Y</v>
      </c>
      <c r="F12" s="1">
        <v>0</v>
      </c>
      <c r="G12" s="1">
        <v>0</v>
      </c>
      <c r="H12" s="1">
        <v>1</v>
      </c>
      <c r="I12" s="1"/>
      <c r="J12" s="1"/>
      <c r="K12" s="1">
        <v>0</v>
      </c>
      <c r="L12" s="1">
        <v>0</v>
      </c>
      <c r="M12" s="1"/>
    </row>
    <row r="13" spans="1:13" x14ac:dyDescent="0.2">
      <c r="A13" s="1" t="s">
        <v>44</v>
      </c>
      <c r="B13" s="1" t="str">
        <f>"02"</f>
        <v>02</v>
      </c>
      <c r="C13" s="1" t="str">
        <f>"ש15"</f>
        <v>ש15</v>
      </c>
      <c r="D13" s="1"/>
      <c r="E13" s="1" t="str">
        <f t="shared" si="0"/>
        <v>Y</v>
      </c>
      <c r="F13" s="1">
        <v>0</v>
      </c>
      <c r="G13" s="1">
        <v>15</v>
      </c>
      <c r="H13" s="1">
        <v>1</v>
      </c>
      <c r="I13" s="1"/>
      <c r="J13" s="1"/>
      <c r="K13" s="1">
        <v>0</v>
      </c>
      <c r="L13" s="1">
        <v>0</v>
      </c>
      <c r="M13" s="1"/>
    </row>
    <row r="14" spans="1:13" x14ac:dyDescent="0.2">
      <c r="A14" s="1" t="s">
        <v>44</v>
      </c>
      <c r="B14" s="1" t="str">
        <f>"05"</f>
        <v>05</v>
      </c>
      <c r="C14" s="1" t="str">
        <f>"ש60"</f>
        <v>ש60</v>
      </c>
      <c r="D14" s="1"/>
      <c r="E14" s="1" t="str">
        <f t="shared" si="0"/>
        <v>Y</v>
      </c>
      <c r="F14" s="1">
        <v>2</v>
      </c>
      <c r="G14" s="1">
        <v>0</v>
      </c>
      <c r="H14" s="1">
        <v>1</v>
      </c>
      <c r="I14" s="1"/>
      <c r="J14" s="1"/>
      <c r="K14" s="1">
        <v>0</v>
      </c>
      <c r="L14" s="1">
        <v>0</v>
      </c>
      <c r="M14" s="1"/>
    </row>
    <row r="15" spans="1:13" x14ac:dyDescent="0.2">
      <c r="A15" s="1" t="s">
        <v>44</v>
      </c>
      <c r="B15" s="1" t="str">
        <f>"08"</f>
        <v>08</v>
      </c>
      <c r="C15" s="1" t="str">
        <f>"2 תשלומים"</f>
        <v>2 תשלומים</v>
      </c>
      <c r="D15" s="1"/>
      <c r="E15" s="1" t="str">
        <f t="shared" si="0"/>
        <v>Y</v>
      </c>
      <c r="F15" s="1">
        <v>0</v>
      </c>
      <c r="G15" s="1">
        <v>0</v>
      </c>
      <c r="H15" s="1">
        <v>2</v>
      </c>
      <c r="I15" s="1"/>
      <c r="J15" s="1"/>
      <c r="K15" s="1">
        <v>0</v>
      </c>
      <c r="L15" s="1">
        <v>0</v>
      </c>
      <c r="M15" s="1"/>
    </row>
    <row r="16" spans="1:13" x14ac:dyDescent="0.2">
      <c r="A16" s="1" t="s">
        <v>44</v>
      </c>
      <c r="B16" s="1" t="str">
        <f>"09"</f>
        <v>09</v>
      </c>
      <c r="C16" s="1" t="str">
        <f>"3 תשלומים"</f>
        <v>3 תשלומים</v>
      </c>
      <c r="D16" s="1"/>
      <c r="E16" s="1" t="str">
        <f t="shared" si="0"/>
        <v>Y</v>
      </c>
      <c r="F16" s="1">
        <v>0</v>
      </c>
      <c r="G16" s="1">
        <v>0</v>
      </c>
      <c r="H16" s="1">
        <v>3</v>
      </c>
      <c r="I16" s="1"/>
      <c r="J16" s="1"/>
      <c r="K16" s="1">
        <v>0</v>
      </c>
      <c r="L16" s="1">
        <v>0</v>
      </c>
      <c r="M16" s="1"/>
    </row>
    <row r="17" spans="1:13" x14ac:dyDescent="0.2">
      <c r="A17" s="1" t="s">
        <v>44</v>
      </c>
      <c r="B17" s="1" t="str">
        <f>"06"</f>
        <v>06</v>
      </c>
      <c r="C17" s="1" t="str">
        <f>"ש90"</f>
        <v>ש90</v>
      </c>
      <c r="D17" s="1"/>
      <c r="E17" s="1" t="str">
        <f t="shared" si="0"/>
        <v>Y</v>
      </c>
      <c r="F17" s="1">
        <v>3</v>
      </c>
      <c r="G17" s="1">
        <v>0</v>
      </c>
      <c r="H17" s="1">
        <v>1</v>
      </c>
      <c r="I17" s="1"/>
      <c r="J17" s="1"/>
      <c r="K17" s="1">
        <v>0</v>
      </c>
      <c r="L17" s="1">
        <v>0</v>
      </c>
      <c r="M17" s="1"/>
    </row>
    <row r="18" spans="1:13" x14ac:dyDescent="0.2">
      <c r="A18" s="1" t="s">
        <v>44</v>
      </c>
      <c r="B18" s="1" t="str">
        <f>"07"</f>
        <v>07</v>
      </c>
      <c r="C18" s="1" t="str">
        <f>"ש120"</f>
        <v>ש120</v>
      </c>
      <c r="D18" s="1"/>
      <c r="E18" s="1" t="str">
        <f t="shared" si="0"/>
        <v>Y</v>
      </c>
      <c r="F18" s="1">
        <v>4</v>
      </c>
      <c r="G18" s="1">
        <v>0</v>
      </c>
      <c r="H18" s="1">
        <v>1</v>
      </c>
      <c r="I18" s="1"/>
      <c r="J18" s="1"/>
      <c r="K18" s="1">
        <v>0</v>
      </c>
      <c r="L18" s="1">
        <v>0</v>
      </c>
      <c r="M18" s="1"/>
    </row>
    <row r="19" spans="1:13" x14ac:dyDescent="0.2">
      <c r="A19" s="1"/>
      <c r="B19" s="10"/>
      <c r="C19" s="10"/>
      <c r="D19" s="1"/>
      <c r="E19" s="1"/>
      <c r="F19" s="1"/>
      <c r="G19" s="1"/>
      <c r="H19" s="1"/>
    </row>
    <row r="20" spans="1:13" x14ac:dyDescent="0.2">
      <c r="A20" s="1"/>
      <c r="B20" s="10"/>
      <c r="C20" s="10"/>
      <c r="D20" s="1"/>
      <c r="E20" s="1"/>
      <c r="F20" s="1"/>
      <c r="G20" s="1"/>
      <c r="H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9"/>
  <sheetViews>
    <sheetView rightToLeft="1" tabSelected="1" workbookViewId="0">
      <selection activeCell="D16" sqref="D16"/>
    </sheetView>
  </sheetViews>
  <sheetFormatPr defaultRowHeight="14.25" x14ac:dyDescent="0.2"/>
  <cols>
    <col min="1" max="1" width="17.25" bestFit="1" customWidth="1"/>
    <col min="2" max="2" width="7.5" style="33" bestFit="1" customWidth="1"/>
    <col min="3" max="3" width="28.5" style="33" customWidth="1"/>
    <col min="4" max="4" width="12.625" style="33" bestFit="1" customWidth="1"/>
    <col min="5" max="5" width="14.5" style="33" bestFit="1" customWidth="1"/>
    <col min="6" max="6" width="19.875" style="33" bestFit="1" customWidth="1"/>
    <col min="7" max="7" width="19.125" style="33" bestFit="1" customWidth="1"/>
    <col min="8" max="8" width="9.375" style="33" hidden="1" customWidth="1"/>
    <col min="9" max="9" width="6" style="33" hidden="1" customWidth="1"/>
    <col min="10" max="10" width="8.625" style="33" hidden="1" customWidth="1"/>
    <col min="11" max="11" width="7.375" style="33" hidden="1" customWidth="1"/>
    <col min="12" max="13" width="6" style="33" bestFit="1" customWidth="1"/>
    <col min="14" max="15" width="7.375" style="33" bestFit="1" customWidth="1"/>
    <col min="16" max="16" width="6" style="33" bestFit="1" customWidth="1"/>
    <col min="17" max="17" width="6" style="33" hidden="1" customWidth="1"/>
    <col min="18" max="18" width="8.875" style="33" bestFit="1" customWidth="1"/>
    <col min="19" max="19" width="8.5" style="33" bestFit="1" customWidth="1"/>
    <col min="20" max="20" width="13.75" style="33" bestFit="1" customWidth="1"/>
    <col min="21" max="21" width="7" style="33" bestFit="1" customWidth="1"/>
    <col min="22" max="22" width="6" style="33" bestFit="1" customWidth="1"/>
    <col min="23" max="23" width="12.375" style="33" bestFit="1" customWidth="1"/>
    <col min="24" max="24" width="13.375" style="33" hidden="1" customWidth="1"/>
    <col min="25" max="25" width="12.5" style="33" hidden="1" customWidth="1"/>
    <col min="26" max="26" width="17.25" style="33" bestFit="1" customWidth="1"/>
    <col min="27" max="27" width="13.5" style="33" bestFit="1" customWidth="1"/>
    <col min="28" max="28" width="18.375" style="33" bestFit="1" customWidth="1"/>
    <col min="29" max="30" width="13.25" hidden="1" customWidth="1"/>
    <col min="31" max="31" width="14.625" style="33" bestFit="1" customWidth="1"/>
    <col min="32" max="32" width="6" hidden="1" customWidth="1"/>
  </cols>
  <sheetData>
    <row r="1" spans="1:32" s="3" customFormat="1" ht="15" x14ac:dyDescent="0.25">
      <c r="A1" s="31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</row>
    <row r="2" spans="1:32" s="3" customFormat="1" ht="15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</row>
    <row r="3" spans="1:32" s="3" customFormat="1" ht="15" x14ac:dyDescent="0.25">
      <c r="A3" s="69" t="str">
        <f>"כותרת"</f>
        <v>כותרת</v>
      </c>
      <c r="B3" s="69" t="str">
        <f>"מס' ספק"</f>
        <v>מס' ספק</v>
      </c>
      <c r="C3" s="69" t="str">
        <f>"שם ספק"</f>
        <v>שם ספק</v>
      </c>
      <c r="D3" s="69" t="str">
        <f>"מטבע"</f>
        <v>מטבע</v>
      </c>
      <c r="E3" s="69" t="str">
        <f>"מספר תיק במע""מ"</f>
        <v>מספר תיק במע"מ</v>
      </c>
      <c r="F3" s="69" t="str">
        <f>"קוד תנאי תשלום"</f>
        <v>קוד תנאי תשלום</v>
      </c>
      <c r="G3" s="69" t="str">
        <f>"מס.זהות/תיק מס הכנסה"</f>
        <v>מס.זהות/תיק מס הכנסה</v>
      </c>
      <c r="H3" s="69" t="str">
        <f>"סעיף מאזני"</f>
        <v>סעיף מאזני</v>
      </c>
      <c r="I3" s="69" t="str">
        <f>"חתך"</f>
        <v>חתך</v>
      </c>
      <c r="J3" s="69" t="str">
        <f>"תאור חתך"</f>
        <v>תאור חתך</v>
      </c>
      <c r="K3" s="69" t="str">
        <f>"פרטים"</f>
        <v>פרטים</v>
      </c>
      <c r="L3" s="69" t="str">
        <f>"טלפון"</f>
        <v>טלפון</v>
      </c>
      <c r="M3" s="69" t="str">
        <f>"פקס"</f>
        <v>פקס</v>
      </c>
      <c r="N3" s="69" t="str">
        <f>"כתובת"</f>
        <v>כתובת</v>
      </c>
      <c r="O3" s="69" t="str">
        <f>"עיר"</f>
        <v>עיר</v>
      </c>
      <c r="P3" s="69" t="str">
        <f>"מיקוד"</f>
        <v>מיקוד</v>
      </c>
      <c r="Q3" s="69" t="str">
        <f>"מס?"</f>
        <v>מס?</v>
      </c>
      <c r="R3" s="69" t="str">
        <f>"% ניכוי מס"</f>
        <v>% ניכוי מס</v>
      </c>
      <c r="S3" s="69" t="str">
        <f>"בתוקף עד"</f>
        <v>בתוקף עד</v>
      </c>
      <c r="T3" s="69" t="str">
        <f>"מס. עוסק מורשה"</f>
        <v>מס. עוסק מורשה</v>
      </c>
      <c r="U3" s="69" t="str">
        <f>"קוד בנק"</f>
        <v>קוד בנק</v>
      </c>
      <c r="V3" s="69" t="str">
        <f>"סניף"</f>
        <v>סניף</v>
      </c>
      <c r="W3" s="69" t="str">
        <f>"מס' חשבון בנק"</f>
        <v>מס' חשבון בנק</v>
      </c>
      <c r="X3" s="69" t="str">
        <f>"סעיף למאזן בוחן"</f>
        <v>סעיף למאזן בוחן</v>
      </c>
      <c r="Y3" s="69" t="str">
        <f>"קוד פקיד שומה"</f>
        <v>קוד פקיד שומה</v>
      </c>
      <c r="Z3" s="69" t="str">
        <f>"הסבר על מספר התיק"</f>
        <v>הסבר על מספר התיק</v>
      </c>
      <c r="AA3" s="69" t="str">
        <f>"אישור ספרים עד"</f>
        <v>אישור ספרים עד</v>
      </c>
      <c r="AB3" s="69" t="str">
        <f>"מספרו במערכת קודמת"</f>
        <v>מספרו במערכת קודמת</v>
      </c>
      <c r="AC3" s="13" t="str">
        <f>"כתובת - שורה 2"</f>
        <v>כתובת - שורה 2</v>
      </c>
      <c r="AD3" s="13" t="str">
        <f>"כתובת - שורה 3"</f>
        <v>כתובת - שורה 3</v>
      </c>
      <c r="AE3" s="13" t="str">
        <f>"שם ספק (אנגלית)"</f>
        <v>שם ספק (אנגלית)</v>
      </c>
      <c r="AF3" s="12" t="str">
        <f>"IBAN"</f>
        <v>IBAN</v>
      </c>
    </row>
    <row r="4" spans="1:32" x14ac:dyDescent="0.2">
      <c r="A4" s="70" t="str">
        <f>"תו ראשון"</f>
        <v>תו ראשון</v>
      </c>
      <c r="B4" s="70">
        <v>1</v>
      </c>
      <c r="C4" s="70">
        <v>2</v>
      </c>
      <c r="D4" s="70">
        <v>3</v>
      </c>
      <c r="E4" s="70">
        <v>4</v>
      </c>
      <c r="F4" s="70">
        <v>5</v>
      </c>
      <c r="G4" s="70">
        <v>6</v>
      </c>
      <c r="H4" s="70">
        <v>7</v>
      </c>
      <c r="I4" s="70">
        <v>8</v>
      </c>
      <c r="J4" s="70">
        <v>9</v>
      </c>
      <c r="K4" s="70">
        <v>10</v>
      </c>
      <c r="L4" s="70">
        <v>11</v>
      </c>
      <c r="M4" s="70">
        <v>12</v>
      </c>
      <c r="N4" s="70">
        <v>13</v>
      </c>
      <c r="O4" s="70">
        <v>14</v>
      </c>
      <c r="P4" s="70">
        <v>15</v>
      </c>
      <c r="Q4" s="70">
        <v>16</v>
      </c>
      <c r="R4" s="70">
        <v>17</v>
      </c>
      <c r="S4" s="70">
        <v>18</v>
      </c>
      <c r="T4" s="70">
        <v>19</v>
      </c>
      <c r="U4" s="70">
        <v>20</v>
      </c>
      <c r="V4" s="70">
        <v>21</v>
      </c>
      <c r="W4" s="70">
        <v>22</v>
      </c>
      <c r="X4" s="70">
        <v>23</v>
      </c>
      <c r="Y4" s="70">
        <v>25</v>
      </c>
      <c r="Z4" s="70">
        <v>26</v>
      </c>
      <c r="AA4" s="70">
        <v>27</v>
      </c>
      <c r="AB4" s="70">
        <v>28</v>
      </c>
      <c r="AC4" s="10">
        <v>29</v>
      </c>
      <c r="AD4" s="10">
        <v>30</v>
      </c>
      <c r="AE4" s="10">
        <v>31</v>
      </c>
      <c r="AF4" s="1">
        <v>32</v>
      </c>
    </row>
    <row r="5" spans="1:32" x14ac:dyDescent="0.2">
      <c r="A5" s="70" t="str">
        <f>"תו אחרון"</f>
        <v>תו אחרון</v>
      </c>
      <c r="B5" s="70">
        <v>1</v>
      </c>
      <c r="C5" s="70">
        <v>2</v>
      </c>
      <c r="D5" s="70">
        <v>3</v>
      </c>
      <c r="E5" s="70">
        <v>4</v>
      </c>
      <c r="F5" s="70">
        <v>5</v>
      </c>
      <c r="G5" s="70">
        <v>6</v>
      </c>
      <c r="H5" s="70">
        <v>7</v>
      </c>
      <c r="I5" s="70">
        <v>8</v>
      </c>
      <c r="J5" s="70">
        <v>9</v>
      </c>
      <c r="K5" s="70">
        <v>10</v>
      </c>
      <c r="L5" s="70">
        <v>11</v>
      </c>
      <c r="M5" s="70">
        <v>12</v>
      </c>
      <c r="N5" s="70">
        <v>13</v>
      </c>
      <c r="O5" s="70">
        <v>14</v>
      </c>
      <c r="P5" s="70">
        <v>15</v>
      </c>
      <c r="Q5" s="70">
        <v>16</v>
      </c>
      <c r="R5" s="70">
        <v>17</v>
      </c>
      <c r="S5" s="70">
        <v>18</v>
      </c>
      <c r="T5" s="70">
        <v>19</v>
      </c>
      <c r="U5" s="70">
        <v>20</v>
      </c>
      <c r="V5" s="70">
        <v>21</v>
      </c>
      <c r="W5" s="70">
        <v>22</v>
      </c>
      <c r="X5" s="70">
        <v>23</v>
      </c>
      <c r="Y5" s="70">
        <v>25</v>
      </c>
      <c r="Z5" s="70">
        <v>26</v>
      </c>
      <c r="AA5" s="70">
        <v>27</v>
      </c>
      <c r="AB5" s="70">
        <v>28</v>
      </c>
      <c r="AC5" s="10">
        <v>29</v>
      </c>
      <c r="AD5" s="10">
        <v>30</v>
      </c>
      <c r="AE5" s="10">
        <v>31</v>
      </c>
      <c r="AF5" s="1">
        <v>32</v>
      </c>
    </row>
    <row r="6" spans="1:32" x14ac:dyDescent="0.2">
      <c r="A6" s="70" t="str">
        <f>"רוחב"</f>
        <v>רוחב</v>
      </c>
      <c r="B6" s="70">
        <v>1</v>
      </c>
      <c r="C6" s="70">
        <v>1</v>
      </c>
      <c r="D6" s="70">
        <v>1</v>
      </c>
      <c r="E6" s="70">
        <v>1</v>
      </c>
      <c r="F6" s="70">
        <v>1</v>
      </c>
      <c r="G6" s="70">
        <v>1</v>
      </c>
      <c r="H6" s="70">
        <v>1</v>
      </c>
      <c r="I6" s="70">
        <v>1</v>
      </c>
      <c r="J6" s="70">
        <v>1</v>
      </c>
      <c r="K6" s="70">
        <v>1</v>
      </c>
      <c r="L6" s="70">
        <v>1</v>
      </c>
      <c r="M6" s="70">
        <v>1</v>
      </c>
      <c r="N6" s="70">
        <v>1</v>
      </c>
      <c r="O6" s="70">
        <v>1</v>
      </c>
      <c r="P6" s="70">
        <v>1</v>
      </c>
      <c r="Q6" s="70">
        <v>1</v>
      </c>
      <c r="R6" s="70">
        <v>1</v>
      </c>
      <c r="S6" s="70">
        <v>1</v>
      </c>
      <c r="T6" s="70">
        <v>1</v>
      </c>
      <c r="U6" s="70">
        <v>1</v>
      </c>
      <c r="V6" s="70">
        <v>1</v>
      </c>
      <c r="W6" s="70">
        <v>1</v>
      </c>
      <c r="X6" s="70">
        <v>1</v>
      </c>
      <c r="Y6" s="70">
        <v>1</v>
      </c>
      <c r="Z6" s="70">
        <v>1</v>
      </c>
      <c r="AA6" s="70">
        <v>1</v>
      </c>
      <c r="AB6" s="70">
        <v>1</v>
      </c>
      <c r="AC6" s="10">
        <v>1</v>
      </c>
      <c r="AD6" s="10">
        <v>1</v>
      </c>
      <c r="AE6" s="10">
        <v>1</v>
      </c>
      <c r="AF6" s="1">
        <v>1</v>
      </c>
    </row>
    <row r="7" spans="1:32" x14ac:dyDescent="0.2">
      <c r="A7" s="70" t="str">
        <f>"היפוך תווים?"</f>
        <v>היפוך תווים?</v>
      </c>
      <c r="B7" s="70"/>
      <c r="C7" s="70" t="str">
        <f>"Y"</f>
        <v>Y</v>
      </c>
      <c r="D7" s="70" t="str">
        <f>"Y"</f>
        <v>Y</v>
      </c>
      <c r="E7" s="70"/>
      <c r="F7" s="70"/>
      <c r="G7" s="70"/>
      <c r="H7" s="70" t="str">
        <f>"Y"</f>
        <v>Y</v>
      </c>
      <c r="I7" s="70"/>
      <c r="J7" s="70" t="str">
        <f>"Y"</f>
        <v>Y</v>
      </c>
      <c r="K7" s="70" t="str">
        <f>"Y"</f>
        <v>Y</v>
      </c>
      <c r="L7" s="70"/>
      <c r="M7" s="70"/>
      <c r="N7" s="70" t="str">
        <f>"Y"</f>
        <v>Y</v>
      </c>
      <c r="O7" s="70" t="str">
        <f>"Y"</f>
        <v>Y</v>
      </c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10" t="str">
        <f>"Y"</f>
        <v>Y</v>
      </c>
      <c r="AD7" s="10" t="str">
        <f>"Y"</f>
        <v>Y</v>
      </c>
      <c r="AE7" s="10"/>
      <c r="AF7" s="1"/>
    </row>
    <row r="8" spans="1:32" x14ac:dyDescent="0.2">
      <c r="A8" s="70" t="str">
        <f>"פורמט התאריך הנקלט"</f>
        <v>פורמט התאריך הנקלט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10"/>
      <c r="AD8" s="10"/>
      <c r="AE8" s="10"/>
      <c r="AF8" s="1"/>
    </row>
    <row r="9" spans="1:32" x14ac:dyDescent="0.2">
      <c r="A9" s="70" t="str">
        <f>"רוחב מירבי"</f>
        <v>רוחב מירבי</v>
      </c>
      <c r="B9" s="70">
        <v>16</v>
      </c>
      <c r="C9" s="70">
        <v>48</v>
      </c>
      <c r="D9" s="70">
        <v>3</v>
      </c>
      <c r="E9" s="70">
        <v>16</v>
      </c>
      <c r="F9" s="70">
        <v>3</v>
      </c>
      <c r="G9" s="70">
        <v>9</v>
      </c>
      <c r="H9" s="70">
        <v>48</v>
      </c>
      <c r="I9" s="70">
        <v>3</v>
      </c>
      <c r="J9" s="70">
        <v>32</v>
      </c>
      <c r="K9" s="70">
        <v>50</v>
      </c>
      <c r="L9" s="70">
        <v>20</v>
      </c>
      <c r="M9" s="70">
        <v>20</v>
      </c>
      <c r="N9" s="70">
        <v>80</v>
      </c>
      <c r="O9" s="70">
        <v>40</v>
      </c>
      <c r="P9" s="70">
        <v>10</v>
      </c>
      <c r="Q9" s="70">
        <v>1</v>
      </c>
      <c r="R9" s="70">
        <v>6</v>
      </c>
      <c r="S9" s="70">
        <v>8</v>
      </c>
      <c r="T9" s="70">
        <v>16</v>
      </c>
      <c r="U9" s="70">
        <v>3</v>
      </c>
      <c r="V9" s="70">
        <v>20</v>
      </c>
      <c r="W9" s="70">
        <v>16</v>
      </c>
      <c r="X9" s="70">
        <v>3</v>
      </c>
      <c r="Y9" s="70">
        <v>3</v>
      </c>
      <c r="Z9" s="70">
        <v>1</v>
      </c>
      <c r="AA9" s="70">
        <v>8</v>
      </c>
      <c r="AB9" s="70">
        <v>10</v>
      </c>
      <c r="AC9" s="10">
        <v>80</v>
      </c>
      <c r="AD9" s="10">
        <v>80</v>
      </c>
      <c r="AE9" s="10">
        <v>48</v>
      </c>
      <c r="AF9" s="1">
        <v>34</v>
      </c>
    </row>
    <row r="10" spans="1:32" x14ac:dyDescent="0.2">
      <c r="A10" s="70" t="str">
        <f>"טיפוס במשטח"</f>
        <v>טיפוס במשטח</v>
      </c>
      <c r="B10" s="70" t="str">
        <f>"CHAR"</f>
        <v>CHAR</v>
      </c>
      <c r="C10" s="70" t="str">
        <f>"RCHAR"</f>
        <v>RCHAR</v>
      </c>
      <c r="D10" s="70" t="str">
        <f>"CHAR"</f>
        <v>CHAR</v>
      </c>
      <c r="E10" s="70" t="str">
        <f>"CHAR"</f>
        <v>CHAR</v>
      </c>
      <c r="F10" s="70" t="str">
        <f>"CHAR"</f>
        <v>CHAR</v>
      </c>
      <c r="G10" s="70" t="str">
        <f>"CHAR"</f>
        <v>CHAR</v>
      </c>
      <c r="H10" s="70" t="str">
        <f>"RCHAR"</f>
        <v>RCHAR</v>
      </c>
      <c r="I10" s="70" t="str">
        <f>"CHAR"</f>
        <v>CHAR</v>
      </c>
      <c r="J10" s="70" t="str">
        <f>"RCHAR"</f>
        <v>RCHAR</v>
      </c>
      <c r="K10" s="70" t="str">
        <f>"RCHAR"</f>
        <v>RCHAR</v>
      </c>
      <c r="L10" s="70" t="str">
        <f>"CHAR"</f>
        <v>CHAR</v>
      </c>
      <c r="M10" s="70" t="str">
        <f>"CHAR"</f>
        <v>CHAR</v>
      </c>
      <c r="N10" s="70" t="str">
        <f>"RCHAR"</f>
        <v>RCHAR</v>
      </c>
      <c r="O10" s="70" t="str">
        <f>"RCHAR"</f>
        <v>RCHAR</v>
      </c>
      <c r="P10" s="70" t="str">
        <f>"CHAR"</f>
        <v>CHAR</v>
      </c>
      <c r="Q10" s="70" t="str">
        <f>"CHAR"</f>
        <v>CHAR</v>
      </c>
      <c r="R10" s="70" t="str">
        <f>"REAL"</f>
        <v>REAL</v>
      </c>
      <c r="S10" s="70" t="str">
        <f>"DATE"</f>
        <v>DATE</v>
      </c>
      <c r="T10" s="70" t="str">
        <f t="shared" ref="T10:Z10" si="0">"CHAR"</f>
        <v>CHAR</v>
      </c>
      <c r="U10" s="70" t="str">
        <f t="shared" si="0"/>
        <v>CHAR</v>
      </c>
      <c r="V10" s="70" t="str">
        <f t="shared" si="0"/>
        <v>CHAR</v>
      </c>
      <c r="W10" s="70" t="str">
        <f t="shared" si="0"/>
        <v>CHAR</v>
      </c>
      <c r="X10" s="70" t="str">
        <f t="shared" si="0"/>
        <v>CHAR</v>
      </c>
      <c r="Y10" s="70" t="str">
        <f t="shared" si="0"/>
        <v>CHAR</v>
      </c>
      <c r="Z10" s="70" t="str">
        <f t="shared" si="0"/>
        <v>CHAR</v>
      </c>
      <c r="AA10" s="70" t="str">
        <f>"DATE"</f>
        <v>DATE</v>
      </c>
      <c r="AB10" s="70" t="str">
        <f>"CHAR"</f>
        <v>CHAR</v>
      </c>
      <c r="AC10" s="10" t="str">
        <f>"RCHAR"</f>
        <v>RCHAR</v>
      </c>
      <c r="AD10" s="10" t="str">
        <f>"RCHAR"</f>
        <v>RCHAR</v>
      </c>
      <c r="AE10" s="10" t="str">
        <f>"CHAR"</f>
        <v>CHAR</v>
      </c>
      <c r="AF10" s="1" t="str">
        <f>"CHAR"</f>
        <v>CHAR</v>
      </c>
    </row>
    <row r="11" spans="1:32" x14ac:dyDescent="0.2">
      <c r="A11" s="70" t="str">
        <f>"לא פעיל?"</f>
        <v>לא פעיל?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10"/>
      <c r="AD11" s="10"/>
      <c r="AE11" s="10"/>
      <c r="AF11" s="1"/>
    </row>
    <row r="12" spans="1:32" x14ac:dyDescent="0.2">
      <c r="A12" s="70" t="str">
        <f>"כותרת (שפה נוכחית)"</f>
        <v>כותרת (שפה נוכחית)</v>
      </c>
      <c r="B12" s="70" t="str">
        <f>"מס' ספק"</f>
        <v>מס' ספק</v>
      </c>
      <c r="C12" s="70" t="str">
        <f>"שם ספק"</f>
        <v>שם ספק</v>
      </c>
      <c r="D12" s="70" t="str">
        <f>"מטבע"</f>
        <v>מטבע</v>
      </c>
      <c r="E12" s="70" t="str">
        <f>"מספר תיק במע""מ"</f>
        <v>מספר תיק במע"מ</v>
      </c>
      <c r="F12" s="70" t="str">
        <f>"קוד תנאי תשלום"</f>
        <v>קוד תנאי תשלום</v>
      </c>
      <c r="G12" s="70" t="str">
        <f>"מס.זהות/תיק מס הכנסה"</f>
        <v>מס.זהות/תיק מס הכנסה</v>
      </c>
      <c r="H12" s="70" t="str">
        <f>"סעיף מאזני"</f>
        <v>סעיף מאזני</v>
      </c>
      <c r="I12" s="70" t="str">
        <f>"חתך"</f>
        <v>חתך</v>
      </c>
      <c r="J12" s="70" t="str">
        <f>"תאור חתך"</f>
        <v>תאור חתך</v>
      </c>
      <c r="K12" s="70" t="str">
        <f>"פרטים"</f>
        <v>פרטים</v>
      </c>
      <c r="L12" s="70" t="str">
        <f>"טלפון"</f>
        <v>טלפון</v>
      </c>
      <c r="M12" s="70" t="str">
        <f>"פקס"</f>
        <v>פקס</v>
      </c>
      <c r="N12" s="70" t="str">
        <f>"כתובת"</f>
        <v>כתובת</v>
      </c>
      <c r="O12" s="70" t="str">
        <f>"עיר"</f>
        <v>עיר</v>
      </c>
      <c r="P12" s="70" t="str">
        <f>"מיקוד"</f>
        <v>מיקוד</v>
      </c>
      <c r="Q12" s="70" t="str">
        <f>"מס?"</f>
        <v>מס?</v>
      </c>
      <c r="R12" s="70" t="str">
        <f>"% ניכוי מס"</f>
        <v>% ניכוי מס</v>
      </c>
      <c r="S12" s="70" t="str">
        <f>"בתוקף עד"</f>
        <v>בתוקף עד</v>
      </c>
      <c r="T12" s="70" t="str">
        <f>"מס. עוסק מורשה"</f>
        <v>מס. עוסק מורשה</v>
      </c>
      <c r="U12" s="70" t="str">
        <f>"קוד בנק"</f>
        <v>קוד בנק</v>
      </c>
      <c r="V12" s="70" t="str">
        <f>"סניף"</f>
        <v>סניף</v>
      </c>
      <c r="W12" s="70" t="str">
        <f>"מס' חשבון בנק"</f>
        <v>מס' חשבון בנק</v>
      </c>
      <c r="X12" s="70" t="str">
        <f>"סעיף למאזן בוחן"</f>
        <v>סעיף למאזן בוחן</v>
      </c>
      <c r="Y12" s="70" t="str">
        <f>"קוד פקיד שומה"</f>
        <v>קוד פקיד שומה</v>
      </c>
      <c r="Z12" s="70" t="str">
        <f>"הסבר על מספר התיק"</f>
        <v>הסבר על מספר התיק</v>
      </c>
      <c r="AA12" s="70" t="str">
        <f>"אישור ספרים עד"</f>
        <v>אישור ספרים עד</v>
      </c>
      <c r="AB12" s="70" t="str">
        <f>"מספרו במערכת קודמת"</f>
        <v>מספרו במערכת קודמת</v>
      </c>
      <c r="AC12" s="10" t="str">
        <f>"כתובת - שורה 2"</f>
        <v>כתובת - שורה 2</v>
      </c>
      <c r="AD12" s="10" t="str">
        <f>"כתובת - שורה 3"</f>
        <v>כתובת - שורה 3</v>
      </c>
      <c r="AE12" s="10" t="str">
        <f>"שם ספק (אנגלית)"</f>
        <v>שם ספק (אנגלית)</v>
      </c>
      <c r="AF12" s="1" t="str">
        <f>"IBAN"</f>
        <v>IBAN</v>
      </c>
    </row>
    <row r="13" spans="1:32" ht="57" x14ac:dyDescent="0.2">
      <c r="A13" s="70" t="s">
        <v>0</v>
      </c>
      <c r="B13" s="70"/>
      <c r="C13" s="70"/>
      <c r="D13" s="70" t="s">
        <v>32</v>
      </c>
      <c r="E13" s="70"/>
      <c r="F13" s="70" t="s">
        <v>47</v>
      </c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1" t="s">
        <v>35</v>
      </c>
      <c r="AA13" s="70"/>
      <c r="AB13" s="70"/>
      <c r="AC13" s="10"/>
      <c r="AD13" s="10"/>
      <c r="AE13" s="10"/>
      <c r="AF13" s="1"/>
    </row>
    <row r="14" spans="1:32" x14ac:dyDescent="0.2">
      <c r="A14" s="70" t="s">
        <v>38</v>
      </c>
      <c r="B14" s="70">
        <v>500001</v>
      </c>
      <c r="C14" s="70" t="s">
        <v>53</v>
      </c>
      <c r="D14" s="70" t="s">
        <v>45</v>
      </c>
      <c r="E14" s="70">
        <v>999999999</v>
      </c>
      <c r="F14" s="70" t="s">
        <v>46</v>
      </c>
      <c r="G14" s="70">
        <v>9999999999</v>
      </c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10"/>
      <c r="AD14" s="10"/>
      <c r="AE14" s="10"/>
      <c r="AF14" s="1"/>
    </row>
    <row r="15" spans="1:32" x14ac:dyDescent="0.2">
      <c r="B15" s="66">
        <v>4000</v>
      </c>
      <c r="C15" s="68" t="s">
        <v>598</v>
      </c>
      <c r="D15" s="33" t="s">
        <v>662</v>
      </c>
    </row>
    <row r="16" spans="1:32" x14ac:dyDescent="0.2">
      <c r="B16" s="66">
        <v>4001</v>
      </c>
      <c r="C16" s="68" t="s">
        <v>599</v>
      </c>
      <c r="D16" s="33" t="s">
        <v>662</v>
      </c>
    </row>
    <row r="17" spans="2:4" x14ac:dyDescent="0.2">
      <c r="B17" s="66">
        <v>4002</v>
      </c>
      <c r="C17" s="68" t="s">
        <v>600</v>
      </c>
      <c r="D17" s="33" t="s">
        <v>662</v>
      </c>
    </row>
    <row r="18" spans="2:4" x14ac:dyDescent="0.2">
      <c r="B18" s="66">
        <v>4003</v>
      </c>
      <c r="C18" s="68" t="s">
        <v>601</v>
      </c>
      <c r="D18" s="33" t="s">
        <v>662</v>
      </c>
    </row>
    <row r="19" spans="2:4" x14ac:dyDescent="0.2">
      <c r="B19" s="66">
        <v>4004</v>
      </c>
      <c r="C19" s="68" t="s">
        <v>602</v>
      </c>
      <c r="D19" s="33" t="s">
        <v>662</v>
      </c>
    </row>
    <row r="20" spans="2:4" x14ac:dyDescent="0.2">
      <c r="B20" s="66">
        <v>4005</v>
      </c>
      <c r="C20" s="68" t="s">
        <v>603</v>
      </c>
      <c r="D20" s="33" t="s">
        <v>662</v>
      </c>
    </row>
    <row r="21" spans="2:4" x14ac:dyDescent="0.2">
      <c r="B21" s="66">
        <v>4006</v>
      </c>
      <c r="C21" s="68" t="s">
        <v>604</v>
      </c>
      <c r="D21" s="33" t="s">
        <v>662</v>
      </c>
    </row>
    <row r="22" spans="2:4" x14ac:dyDescent="0.2">
      <c r="B22" s="66">
        <v>4007</v>
      </c>
      <c r="C22" s="68" t="s">
        <v>605</v>
      </c>
      <c r="D22" s="33" t="s">
        <v>662</v>
      </c>
    </row>
    <row r="23" spans="2:4" x14ac:dyDescent="0.2">
      <c r="B23" s="66">
        <v>4008</v>
      </c>
      <c r="C23" s="68" t="s">
        <v>606</v>
      </c>
      <c r="D23" s="33" t="s">
        <v>662</v>
      </c>
    </row>
    <row r="24" spans="2:4" x14ac:dyDescent="0.2">
      <c r="B24" s="66">
        <v>4009</v>
      </c>
      <c r="C24" s="68" t="s">
        <v>607</v>
      </c>
      <c r="D24" s="33" t="s">
        <v>662</v>
      </c>
    </row>
    <row r="25" spans="2:4" x14ac:dyDescent="0.2">
      <c r="B25" s="66">
        <v>4011</v>
      </c>
      <c r="C25" s="68" t="s">
        <v>608</v>
      </c>
      <c r="D25" s="33" t="s">
        <v>662</v>
      </c>
    </row>
    <row r="26" spans="2:4" x14ac:dyDescent="0.2">
      <c r="B26" s="66">
        <v>4012</v>
      </c>
      <c r="C26" s="68" t="s">
        <v>609</v>
      </c>
      <c r="D26" s="33" t="s">
        <v>662</v>
      </c>
    </row>
    <row r="27" spans="2:4" x14ac:dyDescent="0.2">
      <c r="B27" s="66">
        <v>4013</v>
      </c>
      <c r="C27" s="68" t="s">
        <v>610</v>
      </c>
      <c r="D27" s="33" t="s">
        <v>662</v>
      </c>
    </row>
    <row r="28" spans="2:4" x14ac:dyDescent="0.2">
      <c r="B28" s="66">
        <v>4014</v>
      </c>
      <c r="C28" s="68" t="s">
        <v>611</v>
      </c>
      <c r="D28" s="33" t="s">
        <v>662</v>
      </c>
    </row>
    <row r="29" spans="2:4" x14ac:dyDescent="0.2">
      <c r="B29" s="66">
        <v>4016</v>
      </c>
      <c r="C29" s="68" t="s">
        <v>612</v>
      </c>
      <c r="D29" s="33" t="s">
        <v>662</v>
      </c>
    </row>
    <row r="30" spans="2:4" x14ac:dyDescent="0.2">
      <c r="B30" s="66">
        <v>4017</v>
      </c>
      <c r="C30" s="68" t="s">
        <v>613</v>
      </c>
      <c r="D30" s="33" t="s">
        <v>662</v>
      </c>
    </row>
    <row r="31" spans="2:4" x14ac:dyDescent="0.2">
      <c r="B31" s="66">
        <v>4018</v>
      </c>
      <c r="C31" s="68" t="s">
        <v>614</v>
      </c>
      <c r="D31" s="33" t="s">
        <v>662</v>
      </c>
    </row>
    <row r="32" spans="2:4" x14ac:dyDescent="0.2">
      <c r="B32" s="66">
        <v>4019</v>
      </c>
      <c r="C32" s="68" t="s">
        <v>615</v>
      </c>
      <c r="D32" s="33" t="s">
        <v>662</v>
      </c>
    </row>
    <row r="33" spans="2:4" x14ac:dyDescent="0.2">
      <c r="B33" s="66">
        <v>4020</v>
      </c>
      <c r="C33" s="68" t="s">
        <v>616</v>
      </c>
      <c r="D33" s="33" t="s">
        <v>662</v>
      </c>
    </row>
    <row r="34" spans="2:4" x14ac:dyDescent="0.2">
      <c r="B34" s="66">
        <v>4021</v>
      </c>
      <c r="C34" s="68" t="s">
        <v>617</v>
      </c>
      <c r="D34" s="33" t="s">
        <v>662</v>
      </c>
    </row>
    <row r="35" spans="2:4" x14ac:dyDescent="0.2">
      <c r="B35" s="66">
        <v>4022</v>
      </c>
      <c r="C35" s="68" t="s">
        <v>618</v>
      </c>
      <c r="D35" s="33" t="s">
        <v>662</v>
      </c>
    </row>
    <row r="36" spans="2:4" x14ac:dyDescent="0.2">
      <c r="B36" s="66">
        <v>4023</v>
      </c>
      <c r="C36" s="68" t="s">
        <v>619</v>
      </c>
      <c r="D36" s="33" t="s">
        <v>662</v>
      </c>
    </row>
    <row r="37" spans="2:4" x14ac:dyDescent="0.2">
      <c r="B37" s="66">
        <v>4024</v>
      </c>
      <c r="C37" s="68" t="s">
        <v>620</v>
      </c>
      <c r="D37" s="33" t="s">
        <v>662</v>
      </c>
    </row>
    <row r="38" spans="2:4" x14ac:dyDescent="0.2">
      <c r="B38" s="66">
        <v>4025</v>
      </c>
      <c r="C38" s="68" t="s">
        <v>621</v>
      </c>
      <c r="D38" s="33" t="s">
        <v>662</v>
      </c>
    </row>
    <row r="39" spans="2:4" x14ac:dyDescent="0.2">
      <c r="B39" s="66">
        <v>4026</v>
      </c>
      <c r="C39" s="68" t="s">
        <v>622</v>
      </c>
      <c r="D39" s="33" t="s">
        <v>662</v>
      </c>
    </row>
    <row r="40" spans="2:4" x14ac:dyDescent="0.2">
      <c r="B40" s="66">
        <v>4028</v>
      </c>
      <c r="C40" s="68" t="s">
        <v>623</v>
      </c>
      <c r="D40" s="33" t="s">
        <v>662</v>
      </c>
    </row>
    <row r="41" spans="2:4" x14ac:dyDescent="0.2">
      <c r="B41" s="66">
        <v>4029</v>
      </c>
      <c r="C41" s="68" t="s">
        <v>624</v>
      </c>
      <c r="D41" s="33" t="s">
        <v>662</v>
      </c>
    </row>
    <row r="42" spans="2:4" x14ac:dyDescent="0.2">
      <c r="B42" s="66">
        <v>4030</v>
      </c>
      <c r="C42" s="68" t="s">
        <v>625</v>
      </c>
      <c r="D42" s="33" t="s">
        <v>662</v>
      </c>
    </row>
    <row r="43" spans="2:4" x14ac:dyDescent="0.2">
      <c r="B43" s="66">
        <v>4031</v>
      </c>
      <c r="C43" s="68" t="s">
        <v>626</v>
      </c>
      <c r="D43" s="33" t="s">
        <v>662</v>
      </c>
    </row>
    <row r="44" spans="2:4" x14ac:dyDescent="0.2">
      <c r="B44" s="66">
        <v>4032</v>
      </c>
      <c r="C44" s="68" t="s">
        <v>627</v>
      </c>
      <c r="D44" s="33" t="s">
        <v>662</v>
      </c>
    </row>
    <row r="45" spans="2:4" x14ac:dyDescent="0.2">
      <c r="B45" s="66">
        <v>4033</v>
      </c>
      <c r="C45" s="68" t="s">
        <v>628</v>
      </c>
      <c r="D45" s="33" t="s">
        <v>662</v>
      </c>
    </row>
    <row r="46" spans="2:4" x14ac:dyDescent="0.2">
      <c r="B46" s="66">
        <v>4034</v>
      </c>
      <c r="C46" s="68" t="s">
        <v>629</v>
      </c>
      <c r="D46" s="33" t="s">
        <v>662</v>
      </c>
    </row>
    <row r="47" spans="2:4" x14ac:dyDescent="0.2">
      <c r="B47" s="66">
        <v>4035</v>
      </c>
      <c r="C47" s="68" t="s">
        <v>630</v>
      </c>
      <c r="D47" s="33" t="s">
        <v>662</v>
      </c>
    </row>
    <row r="48" spans="2:4" x14ac:dyDescent="0.2">
      <c r="B48" s="66">
        <v>4036</v>
      </c>
      <c r="C48" s="68" t="s">
        <v>631</v>
      </c>
      <c r="D48" s="33" t="s">
        <v>662</v>
      </c>
    </row>
    <row r="49" spans="2:4" x14ac:dyDescent="0.2">
      <c r="B49" s="66">
        <v>4037</v>
      </c>
      <c r="C49" s="68" t="s">
        <v>632</v>
      </c>
      <c r="D49" s="33" t="s">
        <v>662</v>
      </c>
    </row>
    <row r="50" spans="2:4" x14ac:dyDescent="0.2">
      <c r="B50" s="66">
        <v>4039</v>
      </c>
      <c r="C50" s="68" t="s">
        <v>633</v>
      </c>
      <c r="D50" s="33" t="s">
        <v>662</v>
      </c>
    </row>
    <row r="51" spans="2:4" x14ac:dyDescent="0.2">
      <c r="B51" s="66">
        <v>4040</v>
      </c>
      <c r="C51" s="68" t="s">
        <v>634</v>
      </c>
      <c r="D51" s="33" t="s">
        <v>662</v>
      </c>
    </row>
    <row r="52" spans="2:4" x14ac:dyDescent="0.2">
      <c r="B52" s="66">
        <v>4041</v>
      </c>
      <c r="C52" s="68" t="s">
        <v>635</v>
      </c>
      <c r="D52" s="33" t="s">
        <v>662</v>
      </c>
    </row>
    <row r="53" spans="2:4" x14ac:dyDescent="0.2">
      <c r="B53" s="66">
        <v>4042</v>
      </c>
      <c r="C53" s="68" t="s">
        <v>636</v>
      </c>
      <c r="D53" s="33" t="s">
        <v>662</v>
      </c>
    </row>
    <row r="54" spans="2:4" x14ac:dyDescent="0.2">
      <c r="B54" s="66">
        <v>4043</v>
      </c>
      <c r="C54" s="68" t="s">
        <v>637</v>
      </c>
      <c r="D54" s="33" t="s">
        <v>662</v>
      </c>
    </row>
    <row r="55" spans="2:4" x14ac:dyDescent="0.2">
      <c r="B55" s="66">
        <v>4044</v>
      </c>
      <c r="C55" s="68" t="s">
        <v>638</v>
      </c>
      <c r="D55" s="33" t="s">
        <v>662</v>
      </c>
    </row>
    <row r="56" spans="2:4" x14ac:dyDescent="0.2">
      <c r="B56" s="66">
        <v>4045</v>
      </c>
      <c r="C56" s="68" t="s">
        <v>639</v>
      </c>
      <c r="D56" s="33" t="s">
        <v>662</v>
      </c>
    </row>
    <row r="57" spans="2:4" x14ac:dyDescent="0.2">
      <c r="B57" s="66">
        <v>4046</v>
      </c>
      <c r="C57" s="68" t="s">
        <v>640</v>
      </c>
      <c r="D57" s="33" t="s">
        <v>662</v>
      </c>
    </row>
    <row r="58" spans="2:4" x14ac:dyDescent="0.2">
      <c r="B58" s="66">
        <v>4047</v>
      </c>
      <c r="C58" s="68" t="s">
        <v>641</v>
      </c>
      <c r="D58" s="33" t="s">
        <v>662</v>
      </c>
    </row>
    <row r="59" spans="2:4" x14ac:dyDescent="0.2">
      <c r="B59" s="66">
        <v>4048</v>
      </c>
      <c r="C59" s="68" t="s">
        <v>642</v>
      </c>
      <c r="D59" s="33" t="s">
        <v>662</v>
      </c>
    </row>
    <row r="60" spans="2:4" x14ac:dyDescent="0.2">
      <c r="B60" s="66">
        <v>4049</v>
      </c>
      <c r="C60" s="68" t="s">
        <v>643</v>
      </c>
      <c r="D60" s="33" t="s">
        <v>662</v>
      </c>
    </row>
    <row r="61" spans="2:4" x14ac:dyDescent="0.2">
      <c r="B61" s="66">
        <v>4050</v>
      </c>
      <c r="C61" s="68" t="s">
        <v>644</v>
      </c>
      <c r="D61" s="33" t="s">
        <v>662</v>
      </c>
    </row>
    <row r="62" spans="2:4" x14ac:dyDescent="0.2">
      <c r="B62" s="66">
        <v>4051</v>
      </c>
      <c r="C62" s="68" t="s">
        <v>645</v>
      </c>
      <c r="D62" s="33" t="s">
        <v>662</v>
      </c>
    </row>
    <row r="63" spans="2:4" x14ac:dyDescent="0.2">
      <c r="B63" s="66">
        <v>4052</v>
      </c>
      <c r="C63" s="68" t="s">
        <v>646</v>
      </c>
      <c r="D63" s="33" t="s">
        <v>662</v>
      </c>
    </row>
    <row r="64" spans="2:4" x14ac:dyDescent="0.2">
      <c r="B64" s="66">
        <v>4053</v>
      </c>
      <c r="C64" s="68" t="s">
        <v>647</v>
      </c>
      <c r="D64" s="33" t="s">
        <v>662</v>
      </c>
    </row>
    <row r="65" spans="2:4" x14ac:dyDescent="0.2">
      <c r="B65" s="66">
        <v>4054</v>
      </c>
      <c r="C65" s="68" t="s">
        <v>648</v>
      </c>
      <c r="D65" s="33" t="s">
        <v>662</v>
      </c>
    </row>
    <row r="66" spans="2:4" x14ac:dyDescent="0.2">
      <c r="B66" s="66">
        <v>4055</v>
      </c>
      <c r="C66" s="68" t="s">
        <v>649</v>
      </c>
      <c r="D66" s="33" t="s">
        <v>662</v>
      </c>
    </row>
    <row r="67" spans="2:4" x14ac:dyDescent="0.2">
      <c r="B67" s="66">
        <v>4056</v>
      </c>
      <c r="C67" s="68" t="s">
        <v>650</v>
      </c>
      <c r="D67" s="33" t="s">
        <v>662</v>
      </c>
    </row>
    <row r="68" spans="2:4" x14ac:dyDescent="0.2">
      <c r="B68" s="66">
        <v>4057</v>
      </c>
      <c r="C68" s="68" t="s">
        <v>651</v>
      </c>
      <c r="D68" s="33" t="s">
        <v>662</v>
      </c>
    </row>
    <row r="69" spans="2:4" x14ac:dyDescent="0.2">
      <c r="B69" s="66">
        <v>4058</v>
      </c>
      <c r="C69" s="68" t="s">
        <v>652</v>
      </c>
      <c r="D69" s="33" t="s">
        <v>662</v>
      </c>
    </row>
    <row r="70" spans="2:4" x14ac:dyDescent="0.2">
      <c r="B70" s="66">
        <v>4059</v>
      </c>
      <c r="C70" s="68" t="s">
        <v>653</v>
      </c>
      <c r="D70" s="33" t="s">
        <v>662</v>
      </c>
    </row>
    <row r="71" spans="2:4" x14ac:dyDescent="0.2">
      <c r="B71" s="66">
        <v>4060</v>
      </c>
      <c r="C71" s="68" t="s">
        <v>654</v>
      </c>
      <c r="D71" s="33" t="s">
        <v>662</v>
      </c>
    </row>
    <row r="72" spans="2:4" x14ac:dyDescent="0.2">
      <c r="B72" s="66">
        <v>4061</v>
      </c>
      <c r="C72" s="68" t="s">
        <v>655</v>
      </c>
      <c r="D72" s="33" t="s">
        <v>662</v>
      </c>
    </row>
    <row r="73" spans="2:4" x14ac:dyDescent="0.2">
      <c r="B73" s="66">
        <v>4063</v>
      </c>
      <c r="C73" s="68" t="s">
        <v>656</v>
      </c>
      <c r="D73" s="33" t="s">
        <v>662</v>
      </c>
    </row>
    <row r="74" spans="2:4" x14ac:dyDescent="0.2">
      <c r="B74" s="66">
        <v>4064</v>
      </c>
      <c r="C74" s="68" t="s">
        <v>657</v>
      </c>
      <c r="D74" s="33" t="s">
        <v>662</v>
      </c>
    </row>
    <row r="75" spans="2:4" x14ac:dyDescent="0.2">
      <c r="B75" s="66">
        <v>4065</v>
      </c>
      <c r="C75" s="68" t="s">
        <v>658</v>
      </c>
      <c r="D75" s="33" t="s">
        <v>662</v>
      </c>
    </row>
    <row r="76" spans="2:4" x14ac:dyDescent="0.2">
      <c r="B76" s="66">
        <v>4066</v>
      </c>
      <c r="C76" s="68" t="s">
        <v>659</v>
      </c>
      <c r="D76" s="33" t="s">
        <v>662</v>
      </c>
    </row>
    <row r="77" spans="2:4" x14ac:dyDescent="0.2">
      <c r="B77" s="66">
        <v>4067</v>
      </c>
      <c r="C77" s="68" t="s">
        <v>660</v>
      </c>
      <c r="D77" s="33" t="s">
        <v>662</v>
      </c>
    </row>
    <row r="78" spans="2:4" x14ac:dyDescent="0.2">
      <c r="B78" s="66">
        <v>4068</v>
      </c>
      <c r="C78" s="68" t="s">
        <v>661</v>
      </c>
      <c r="D78" s="33" t="s">
        <v>662</v>
      </c>
    </row>
    <row r="79" spans="2:4" x14ac:dyDescent="0.2">
      <c r="B79" s="66">
        <v>4069</v>
      </c>
      <c r="C79" s="68" t="s">
        <v>526</v>
      </c>
      <c r="D79" s="33" t="s">
        <v>662</v>
      </c>
    </row>
    <row r="80" spans="2:4" x14ac:dyDescent="0.2">
      <c r="B80" s="66">
        <v>4070</v>
      </c>
      <c r="C80" s="68" t="s">
        <v>527</v>
      </c>
      <c r="D80" s="33" t="s">
        <v>662</v>
      </c>
    </row>
    <row r="81" spans="2:4" x14ac:dyDescent="0.2">
      <c r="B81" s="66">
        <v>4071</v>
      </c>
      <c r="C81" s="68" t="s">
        <v>528</v>
      </c>
      <c r="D81" s="33" t="s">
        <v>662</v>
      </c>
    </row>
    <row r="82" spans="2:4" x14ac:dyDescent="0.2">
      <c r="B82" s="66">
        <v>4072</v>
      </c>
      <c r="C82" s="68" t="s">
        <v>529</v>
      </c>
      <c r="D82" s="33" t="s">
        <v>662</v>
      </c>
    </row>
    <row r="83" spans="2:4" x14ac:dyDescent="0.2">
      <c r="B83" s="66">
        <v>4073</v>
      </c>
      <c r="C83" s="68" t="s">
        <v>530</v>
      </c>
      <c r="D83" s="33" t="s">
        <v>662</v>
      </c>
    </row>
    <row r="84" spans="2:4" x14ac:dyDescent="0.2">
      <c r="B84" s="66">
        <v>4074</v>
      </c>
      <c r="C84" s="68" t="s">
        <v>531</v>
      </c>
      <c r="D84" s="33" t="s">
        <v>662</v>
      </c>
    </row>
    <row r="85" spans="2:4" x14ac:dyDescent="0.2">
      <c r="B85" s="66">
        <v>4075</v>
      </c>
      <c r="C85" s="68" t="s">
        <v>532</v>
      </c>
      <c r="D85" s="33" t="s">
        <v>662</v>
      </c>
    </row>
    <row r="86" spans="2:4" x14ac:dyDescent="0.2">
      <c r="B86" s="66">
        <v>4076</v>
      </c>
      <c r="C86" s="68" t="s">
        <v>533</v>
      </c>
      <c r="D86" s="33" t="s">
        <v>662</v>
      </c>
    </row>
    <row r="87" spans="2:4" x14ac:dyDescent="0.2">
      <c r="B87" s="66">
        <v>4077</v>
      </c>
      <c r="C87" s="68" t="s">
        <v>534</v>
      </c>
      <c r="D87" s="33" t="s">
        <v>662</v>
      </c>
    </row>
    <row r="88" spans="2:4" x14ac:dyDescent="0.2">
      <c r="B88" s="66">
        <v>4078</v>
      </c>
      <c r="C88" s="68" t="s">
        <v>535</v>
      </c>
      <c r="D88" s="33" t="s">
        <v>662</v>
      </c>
    </row>
    <row r="89" spans="2:4" x14ac:dyDescent="0.2">
      <c r="B89" s="66">
        <v>4079</v>
      </c>
      <c r="C89" s="68" t="s">
        <v>536</v>
      </c>
      <c r="D89" s="33" t="s">
        <v>662</v>
      </c>
    </row>
    <row r="90" spans="2:4" x14ac:dyDescent="0.2">
      <c r="B90" s="66">
        <v>4080</v>
      </c>
      <c r="C90" s="68" t="s">
        <v>537</v>
      </c>
      <c r="D90" s="33" t="s">
        <v>662</v>
      </c>
    </row>
    <row r="91" spans="2:4" x14ac:dyDescent="0.2">
      <c r="B91" s="66">
        <v>4081</v>
      </c>
      <c r="C91" s="68" t="s">
        <v>538</v>
      </c>
      <c r="D91" s="33" t="s">
        <v>662</v>
      </c>
    </row>
    <row r="92" spans="2:4" x14ac:dyDescent="0.2">
      <c r="B92" s="66">
        <v>4082</v>
      </c>
      <c r="C92" s="68" t="s">
        <v>539</v>
      </c>
      <c r="D92" s="33" t="s">
        <v>662</v>
      </c>
    </row>
    <row r="93" spans="2:4" x14ac:dyDescent="0.2">
      <c r="B93" s="66">
        <v>4083</v>
      </c>
      <c r="C93" s="68" t="s">
        <v>540</v>
      </c>
      <c r="D93" s="33" t="s">
        <v>662</v>
      </c>
    </row>
    <row r="94" spans="2:4" x14ac:dyDescent="0.2">
      <c r="B94" s="66">
        <v>4084</v>
      </c>
      <c r="C94" s="68" t="s">
        <v>541</v>
      </c>
      <c r="D94" s="33" t="s">
        <v>662</v>
      </c>
    </row>
    <row r="95" spans="2:4" x14ac:dyDescent="0.2">
      <c r="B95" s="66">
        <v>4085</v>
      </c>
      <c r="C95" s="68" t="s">
        <v>542</v>
      </c>
      <c r="D95" s="33" t="s">
        <v>662</v>
      </c>
    </row>
    <row r="96" spans="2:4" x14ac:dyDescent="0.2">
      <c r="B96" s="66">
        <v>4086</v>
      </c>
      <c r="C96" s="68" t="s">
        <v>543</v>
      </c>
      <c r="D96" s="33" t="s">
        <v>662</v>
      </c>
    </row>
    <row r="97" spans="2:4" x14ac:dyDescent="0.2">
      <c r="B97" s="66">
        <v>4087</v>
      </c>
      <c r="C97" s="68" t="s">
        <v>544</v>
      </c>
      <c r="D97" s="33" t="s">
        <v>662</v>
      </c>
    </row>
    <row r="98" spans="2:4" x14ac:dyDescent="0.2">
      <c r="B98" s="66">
        <v>4088</v>
      </c>
      <c r="C98" s="68" t="s">
        <v>545</v>
      </c>
      <c r="D98" s="33" t="s">
        <v>662</v>
      </c>
    </row>
    <row r="99" spans="2:4" x14ac:dyDescent="0.2">
      <c r="B99" s="66">
        <v>4089</v>
      </c>
      <c r="C99" s="68" t="s">
        <v>546</v>
      </c>
      <c r="D99" s="33" t="s">
        <v>662</v>
      </c>
    </row>
    <row r="100" spans="2:4" x14ac:dyDescent="0.2">
      <c r="B100" s="66">
        <v>4090</v>
      </c>
      <c r="C100" s="68" t="s">
        <v>547</v>
      </c>
      <c r="D100" s="33" t="s">
        <v>662</v>
      </c>
    </row>
    <row r="101" spans="2:4" x14ac:dyDescent="0.2">
      <c r="B101" s="66">
        <v>4091</v>
      </c>
      <c r="C101" s="68" t="s">
        <v>548</v>
      </c>
      <c r="D101" s="33" t="s">
        <v>662</v>
      </c>
    </row>
    <row r="102" spans="2:4" x14ac:dyDescent="0.2">
      <c r="B102" s="66">
        <v>4092</v>
      </c>
      <c r="C102" s="68" t="s">
        <v>549</v>
      </c>
      <c r="D102" s="33" t="s">
        <v>662</v>
      </c>
    </row>
    <row r="103" spans="2:4" x14ac:dyDescent="0.2">
      <c r="B103" s="66">
        <v>4093</v>
      </c>
      <c r="C103" s="68" t="s">
        <v>550</v>
      </c>
      <c r="D103" s="33" t="s">
        <v>662</v>
      </c>
    </row>
    <row r="104" spans="2:4" x14ac:dyDescent="0.2">
      <c r="B104" s="66">
        <v>4094</v>
      </c>
      <c r="C104" s="68" t="s">
        <v>551</v>
      </c>
      <c r="D104" s="33" t="s">
        <v>662</v>
      </c>
    </row>
    <row r="105" spans="2:4" x14ac:dyDescent="0.2">
      <c r="B105" s="66">
        <v>4095</v>
      </c>
      <c r="C105" s="68" t="s">
        <v>552</v>
      </c>
      <c r="D105" s="33" t="s">
        <v>662</v>
      </c>
    </row>
    <row r="106" spans="2:4" x14ac:dyDescent="0.2">
      <c r="B106" s="66">
        <v>4096</v>
      </c>
      <c r="C106" s="68" t="s">
        <v>553</v>
      </c>
      <c r="D106" s="33" t="s">
        <v>662</v>
      </c>
    </row>
    <row r="107" spans="2:4" x14ac:dyDescent="0.2">
      <c r="B107" s="66">
        <v>4097</v>
      </c>
      <c r="C107" s="68" t="s">
        <v>554</v>
      </c>
      <c r="D107" s="33" t="s">
        <v>662</v>
      </c>
    </row>
    <row r="108" spans="2:4" x14ac:dyDescent="0.2">
      <c r="B108" s="66">
        <v>4098</v>
      </c>
      <c r="C108" s="68" t="s">
        <v>555</v>
      </c>
      <c r="D108" s="33" t="s">
        <v>662</v>
      </c>
    </row>
    <row r="109" spans="2:4" x14ac:dyDescent="0.2">
      <c r="B109" s="66">
        <v>4099</v>
      </c>
      <c r="C109" s="68" t="s">
        <v>556</v>
      </c>
      <c r="D109" s="33" t="s">
        <v>662</v>
      </c>
    </row>
    <row r="110" spans="2:4" x14ac:dyDescent="0.2">
      <c r="B110" s="66">
        <v>4100</v>
      </c>
      <c r="C110" s="68" t="s">
        <v>557</v>
      </c>
      <c r="D110" s="33" t="s">
        <v>662</v>
      </c>
    </row>
    <row r="111" spans="2:4" x14ac:dyDescent="0.2">
      <c r="B111" s="66">
        <v>4101</v>
      </c>
      <c r="C111" s="68" t="s">
        <v>558</v>
      </c>
      <c r="D111" s="33" t="s">
        <v>662</v>
      </c>
    </row>
    <row r="112" spans="2:4" x14ac:dyDescent="0.2">
      <c r="B112" s="66">
        <v>4102</v>
      </c>
      <c r="C112" s="68" t="s">
        <v>559</v>
      </c>
      <c r="D112" s="33" t="s">
        <v>662</v>
      </c>
    </row>
    <row r="113" spans="2:4" x14ac:dyDescent="0.2">
      <c r="B113" s="66">
        <v>4103</v>
      </c>
      <c r="C113" s="68" t="s">
        <v>560</v>
      </c>
      <c r="D113" s="33" t="s">
        <v>662</v>
      </c>
    </row>
    <row r="114" spans="2:4" x14ac:dyDescent="0.2">
      <c r="B114" s="66">
        <v>4104</v>
      </c>
      <c r="C114" s="68" t="s">
        <v>561</v>
      </c>
      <c r="D114" s="33" t="s">
        <v>662</v>
      </c>
    </row>
    <row r="115" spans="2:4" x14ac:dyDescent="0.2">
      <c r="B115" s="66">
        <v>4105</v>
      </c>
      <c r="C115" s="68" t="s">
        <v>562</v>
      </c>
      <c r="D115" s="33" t="s">
        <v>662</v>
      </c>
    </row>
    <row r="116" spans="2:4" x14ac:dyDescent="0.2">
      <c r="B116" s="66">
        <v>4107</v>
      </c>
      <c r="C116" s="68" t="s">
        <v>563</v>
      </c>
      <c r="D116" s="33" t="s">
        <v>662</v>
      </c>
    </row>
    <row r="117" spans="2:4" x14ac:dyDescent="0.2">
      <c r="B117" s="66">
        <v>4108</v>
      </c>
      <c r="C117" s="68" t="s">
        <v>564</v>
      </c>
      <c r="D117" s="33" t="s">
        <v>662</v>
      </c>
    </row>
    <row r="118" spans="2:4" x14ac:dyDescent="0.2">
      <c r="B118" s="66">
        <v>4109</v>
      </c>
      <c r="C118" s="68" t="s">
        <v>565</v>
      </c>
      <c r="D118" s="33" t="s">
        <v>662</v>
      </c>
    </row>
    <row r="119" spans="2:4" x14ac:dyDescent="0.2">
      <c r="B119" s="66">
        <v>4110</v>
      </c>
      <c r="C119" s="68" t="s">
        <v>566</v>
      </c>
      <c r="D119" s="33" t="s">
        <v>662</v>
      </c>
    </row>
    <row r="120" spans="2:4" x14ac:dyDescent="0.2">
      <c r="B120" s="66">
        <v>4111</v>
      </c>
      <c r="C120" s="68" t="s">
        <v>567</v>
      </c>
      <c r="D120" s="33" t="s">
        <v>662</v>
      </c>
    </row>
    <row r="121" spans="2:4" x14ac:dyDescent="0.2">
      <c r="B121" s="66">
        <v>4112</v>
      </c>
      <c r="C121" s="68" t="s">
        <v>568</v>
      </c>
      <c r="D121" s="33" t="s">
        <v>662</v>
      </c>
    </row>
    <row r="122" spans="2:4" x14ac:dyDescent="0.2">
      <c r="B122" s="66">
        <v>4113</v>
      </c>
      <c r="C122" s="68" t="s">
        <v>569</v>
      </c>
      <c r="D122" s="33" t="s">
        <v>662</v>
      </c>
    </row>
    <row r="123" spans="2:4" x14ac:dyDescent="0.2">
      <c r="B123" s="66">
        <v>4114</v>
      </c>
      <c r="C123" s="68" t="s">
        <v>570</v>
      </c>
      <c r="D123" s="33" t="s">
        <v>662</v>
      </c>
    </row>
    <row r="124" spans="2:4" x14ac:dyDescent="0.2">
      <c r="B124" s="66">
        <v>4115</v>
      </c>
      <c r="C124" s="68" t="s">
        <v>571</v>
      </c>
      <c r="D124" s="33" t="s">
        <v>662</v>
      </c>
    </row>
    <row r="125" spans="2:4" x14ac:dyDescent="0.2">
      <c r="B125" s="66">
        <v>4116</v>
      </c>
      <c r="C125" s="68" t="s">
        <v>572</v>
      </c>
      <c r="D125" s="33" t="s">
        <v>662</v>
      </c>
    </row>
    <row r="126" spans="2:4" x14ac:dyDescent="0.2">
      <c r="B126" s="66">
        <v>4117</v>
      </c>
      <c r="C126" s="68" t="s">
        <v>573</v>
      </c>
      <c r="D126" s="33" t="s">
        <v>662</v>
      </c>
    </row>
    <row r="127" spans="2:4" x14ac:dyDescent="0.2">
      <c r="B127" s="66">
        <v>4118</v>
      </c>
      <c r="C127" s="68" t="s">
        <v>574</v>
      </c>
      <c r="D127" s="33" t="s">
        <v>662</v>
      </c>
    </row>
    <row r="128" spans="2:4" x14ac:dyDescent="0.2">
      <c r="B128" s="66">
        <v>4119</v>
      </c>
      <c r="C128" s="68" t="s">
        <v>575</v>
      </c>
      <c r="D128" s="33" t="s">
        <v>662</v>
      </c>
    </row>
    <row r="129" spans="2:4" x14ac:dyDescent="0.2">
      <c r="B129" s="66">
        <v>4120</v>
      </c>
      <c r="C129" s="68" t="s">
        <v>576</v>
      </c>
      <c r="D129" s="33" t="s">
        <v>662</v>
      </c>
    </row>
    <row r="130" spans="2:4" x14ac:dyDescent="0.2">
      <c r="B130" s="66">
        <v>4122</v>
      </c>
      <c r="C130" s="68" t="s">
        <v>577</v>
      </c>
      <c r="D130" s="33" t="s">
        <v>662</v>
      </c>
    </row>
    <row r="131" spans="2:4" x14ac:dyDescent="0.2">
      <c r="B131" s="66">
        <v>4123</v>
      </c>
      <c r="C131" s="68" t="s">
        <v>578</v>
      </c>
      <c r="D131" s="33" t="s">
        <v>662</v>
      </c>
    </row>
    <row r="132" spans="2:4" x14ac:dyDescent="0.2">
      <c r="B132" s="66">
        <v>4124</v>
      </c>
      <c r="C132" s="68" t="s">
        <v>579</v>
      </c>
      <c r="D132" s="33" t="s">
        <v>662</v>
      </c>
    </row>
    <row r="133" spans="2:4" x14ac:dyDescent="0.2">
      <c r="B133" s="66">
        <v>4125</v>
      </c>
      <c r="C133" s="68" t="s">
        <v>580</v>
      </c>
      <c r="D133" s="33" t="s">
        <v>662</v>
      </c>
    </row>
    <row r="134" spans="2:4" x14ac:dyDescent="0.2">
      <c r="B134" s="66">
        <v>4126</v>
      </c>
      <c r="C134" s="68" t="s">
        <v>581</v>
      </c>
      <c r="D134" s="33" t="s">
        <v>662</v>
      </c>
    </row>
    <row r="135" spans="2:4" x14ac:dyDescent="0.2">
      <c r="B135" s="66">
        <v>4127</v>
      </c>
      <c r="C135" s="68" t="s">
        <v>582</v>
      </c>
      <c r="D135" s="33" t="s">
        <v>662</v>
      </c>
    </row>
    <row r="136" spans="2:4" x14ac:dyDescent="0.2">
      <c r="B136" s="66">
        <v>4128</v>
      </c>
      <c r="C136" s="68" t="s">
        <v>583</v>
      </c>
      <c r="D136" s="33" t="s">
        <v>662</v>
      </c>
    </row>
    <row r="137" spans="2:4" x14ac:dyDescent="0.2">
      <c r="B137" s="66">
        <v>4129</v>
      </c>
      <c r="C137" s="68" t="s">
        <v>584</v>
      </c>
      <c r="D137" s="33" t="s">
        <v>662</v>
      </c>
    </row>
    <row r="138" spans="2:4" x14ac:dyDescent="0.2">
      <c r="B138" s="66">
        <v>4130</v>
      </c>
      <c r="C138" s="68" t="s">
        <v>585</v>
      </c>
      <c r="D138" s="33" t="s">
        <v>662</v>
      </c>
    </row>
    <row r="139" spans="2:4" x14ac:dyDescent="0.2">
      <c r="B139" s="66">
        <v>4131</v>
      </c>
      <c r="C139" s="68" t="s">
        <v>586</v>
      </c>
      <c r="D139" s="33" t="s">
        <v>662</v>
      </c>
    </row>
    <row r="140" spans="2:4" x14ac:dyDescent="0.2">
      <c r="B140" s="66">
        <v>4132</v>
      </c>
      <c r="C140" s="68" t="s">
        <v>587</v>
      </c>
      <c r="D140" s="33" t="s">
        <v>662</v>
      </c>
    </row>
    <row r="141" spans="2:4" x14ac:dyDescent="0.2">
      <c r="B141" s="66">
        <v>4133</v>
      </c>
      <c r="C141" s="68" t="s">
        <v>588</v>
      </c>
      <c r="D141" s="33" t="s">
        <v>662</v>
      </c>
    </row>
    <row r="142" spans="2:4" x14ac:dyDescent="0.2">
      <c r="B142" s="66">
        <v>4134</v>
      </c>
      <c r="C142" s="68" t="s">
        <v>589</v>
      </c>
      <c r="D142" s="33" t="s">
        <v>662</v>
      </c>
    </row>
    <row r="143" spans="2:4" ht="25.5" x14ac:dyDescent="0.2">
      <c r="B143" s="66">
        <v>4135</v>
      </c>
      <c r="C143" s="68" t="s">
        <v>590</v>
      </c>
      <c r="D143" s="33" t="s">
        <v>662</v>
      </c>
    </row>
    <row r="144" spans="2:4" x14ac:dyDescent="0.2">
      <c r="B144" s="66">
        <v>4136</v>
      </c>
      <c r="C144" s="68" t="s">
        <v>591</v>
      </c>
      <c r="D144" s="33" t="s">
        <v>662</v>
      </c>
    </row>
    <row r="145" spans="2:4" x14ac:dyDescent="0.2">
      <c r="B145" s="66">
        <v>4137</v>
      </c>
      <c r="C145" s="68" t="s">
        <v>592</v>
      </c>
      <c r="D145" s="33" t="s">
        <v>662</v>
      </c>
    </row>
    <row r="146" spans="2:4" x14ac:dyDescent="0.2">
      <c r="B146" s="66">
        <v>4138</v>
      </c>
      <c r="C146" s="68" t="s">
        <v>593</v>
      </c>
      <c r="D146" s="33" t="s">
        <v>662</v>
      </c>
    </row>
    <row r="147" spans="2:4" x14ac:dyDescent="0.2">
      <c r="B147" s="66">
        <v>4999</v>
      </c>
      <c r="C147" s="68" t="s">
        <v>594</v>
      </c>
      <c r="D147" s="33" t="s">
        <v>662</v>
      </c>
    </row>
    <row r="148" spans="2:4" x14ac:dyDescent="0.2">
      <c r="B148" s="66">
        <v>5023</v>
      </c>
      <c r="C148" s="68" t="s">
        <v>595</v>
      </c>
      <c r="D148" s="33" t="s">
        <v>662</v>
      </c>
    </row>
    <row r="149" spans="2:4" x14ac:dyDescent="0.2">
      <c r="B149" s="66" t="s">
        <v>597</v>
      </c>
      <c r="C149" s="68" t="s">
        <v>596</v>
      </c>
      <c r="D149" s="33" t="s">
        <v>662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1"/>
  <sheetViews>
    <sheetView rightToLeft="1" topLeftCell="D63" zoomScale="130" zoomScaleNormal="130" workbookViewId="0">
      <selection activeCell="D124" sqref="D124"/>
    </sheetView>
  </sheetViews>
  <sheetFormatPr defaultRowHeight="14.25" x14ac:dyDescent="0.2"/>
  <cols>
    <col min="1" max="1" width="11" bestFit="1" customWidth="1"/>
    <col min="2" max="2" width="11.375" bestFit="1" customWidth="1"/>
    <col min="3" max="3" width="11.625" bestFit="1" customWidth="1"/>
    <col min="4" max="4" width="14.5" bestFit="1" customWidth="1"/>
    <col min="5" max="5" width="6" customWidth="1"/>
    <col min="6" max="6" width="11.375" customWidth="1"/>
    <col min="7" max="7" width="51.25" customWidth="1"/>
  </cols>
  <sheetData>
    <row r="1" spans="1:7" x14ac:dyDescent="0.2">
      <c r="A1" s="40" t="s">
        <v>18</v>
      </c>
      <c r="B1" s="41">
        <v>16</v>
      </c>
      <c r="C1" s="41">
        <v>22</v>
      </c>
      <c r="D1" s="41">
        <v>30</v>
      </c>
      <c r="E1" s="41">
        <v>10</v>
      </c>
      <c r="F1" s="41">
        <v>48</v>
      </c>
      <c r="G1" s="41">
        <v>32</v>
      </c>
    </row>
    <row r="2" spans="1:7" x14ac:dyDescent="0.2">
      <c r="A2" s="1" t="s">
        <v>6</v>
      </c>
      <c r="B2" s="10" t="s">
        <v>13</v>
      </c>
      <c r="C2" s="10" t="s">
        <v>9</v>
      </c>
      <c r="D2" s="10" t="s">
        <v>14</v>
      </c>
      <c r="E2" s="10" t="s">
        <v>15</v>
      </c>
      <c r="F2" s="10" t="s">
        <v>16</v>
      </c>
      <c r="G2" s="10" t="s">
        <v>17</v>
      </c>
    </row>
    <row r="3" spans="1:7" x14ac:dyDescent="0.2">
      <c r="A3" s="1" t="s">
        <v>18</v>
      </c>
      <c r="B3" s="10">
        <v>16</v>
      </c>
      <c r="C3" s="10">
        <v>22</v>
      </c>
      <c r="D3" s="10">
        <v>30</v>
      </c>
      <c r="E3" s="10">
        <v>10</v>
      </c>
      <c r="F3" s="10">
        <v>48</v>
      </c>
      <c r="G3" s="10">
        <v>32</v>
      </c>
    </row>
    <row r="4" spans="1:7" x14ac:dyDescent="0.2">
      <c r="A4" s="1" t="s">
        <v>50</v>
      </c>
      <c r="B4" s="10" t="s">
        <v>51</v>
      </c>
      <c r="C4" s="10" t="s">
        <v>51</v>
      </c>
      <c r="D4" s="10" t="s">
        <v>51</v>
      </c>
      <c r="E4" s="10" t="s">
        <v>51</v>
      </c>
      <c r="F4" s="10" t="s">
        <v>52</v>
      </c>
      <c r="G4" s="10" t="s">
        <v>52</v>
      </c>
    </row>
    <row r="5" spans="1:7" x14ac:dyDescent="0.2">
      <c r="A5" s="1" t="s">
        <v>19</v>
      </c>
      <c r="B5" s="10" t="s">
        <v>8</v>
      </c>
      <c r="C5" s="10" t="s">
        <v>8</v>
      </c>
      <c r="D5" s="10"/>
      <c r="E5" s="10"/>
      <c r="F5" s="10"/>
      <c r="G5" s="10"/>
    </row>
    <row r="6" spans="1:7" x14ac:dyDescent="0.2">
      <c r="A6" s="1" t="s">
        <v>20</v>
      </c>
      <c r="B6" s="10" t="s">
        <v>21</v>
      </c>
      <c r="C6" s="10" t="s">
        <v>22</v>
      </c>
      <c r="D6" s="10"/>
      <c r="E6" s="10"/>
      <c r="F6" s="10" t="s">
        <v>21</v>
      </c>
      <c r="G6" s="10"/>
    </row>
    <row r="7" spans="1:7" x14ac:dyDescent="0.2">
      <c r="A7" s="1" t="s">
        <v>38</v>
      </c>
      <c r="B7" s="10"/>
      <c r="C7" s="34"/>
      <c r="D7" s="34">
        <v>7001</v>
      </c>
      <c r="E7" s="34"/>
      <c r="F7" s="34"/>
      <c r="G7" s="34" t="s">
        <v>54</v>
      </c>
    </row>
    <row r="8" spans="1:7" x14ac:dyDescent="0.2">
      <c r="A8" s="1"/>
      <c r="B8" s="66">
        <v>4086</v>
      </c>
      <c r="C8" s="54">
        <v>10603</v>
      </c>
      <c r="D8" s="54">
        <v>10603</v>
      </c>
      <c r="E8" s="1"/>
      <c r="F8" s="1" t="s">
        <v>87</v>
      </c>
      <c r="G8" s="49" t="s">
        <v>425</v>
      </c>
    </row>
    <row r="9" spans="1:7" x14ac:dyDescent="0.2">
      <c r="A9" s="1"/>
      <c r="B9" s="66">
        <v>4086</v>
      </c>
      <c r="C9" s="42">
        <v>398110</v>
      </c>
      <c r="D9" s="54">
        <v>10610</v>
      </c>
      <c r="E9" s="1"/>
      <c r="F9" s="1" t="s">
        <v>87</v>
      </c>
      <c r="G9" s="48" t="s">
        <v>426</v>
      </c>
    </row>
    <row r="10" spans="1:7" x14ac:dyDescent="0.2">
      <c r="A10" s="1"/>
      <c r="B10" s="66">
        <v>4086</v>
      </c>
      <c r="C10" s="42">
        <v>398120</v>
      </c>
      <c r="D10" s="54">
        <v>10620</v>
      </c>
      <c r="E10" s="1"/>
      <c r="F10" s="1" t="s">
        <v>87</v>
      </c>
      <c r="G10" s="48" t="s">
        <v>89</v>
      </c>
    </row>
    <row r="11" spans="1:7" x14ac:dyDescent="0.2">
      <c r="A11" s="1"/>
      <c r="B11" s="66">
        <v>4086</v>
      </c>
      <c r="C11" s="42">
        <v>398130</v>
      </c>
      <c r="D11" s="54">
        <v>10640</v>
      </c>
      <c r="E11" s="1"/>
      <c r="F11" s="1" t="s">
        <v>87</v>
      </c>
      <c r="G11" s="48" t="s">
        <v>427</v>
      </c>
    </row>
    <row r="12" spans="1:7" x14ac:dyDescent="0.2">
      <c r="A12" s="1"/>
      <c r="B12" s="66">
        <v>4086</v>
      </c>
      <c r="C12" s="42">
        <v>398140</v>
      </c>
      <c r="D12" s="54">
        <v>10650</v>
      </c>
      <c r="E12" s="1"/>
      <c r="F12" s="1" t="s">
        <v>87</v>
      </c>
      <c r="G12" s="48" t="s">
        <v>428</v>
      </c>
    </row>
    <row r="13" spans="1:7" x14ac:dyDescent="0.2">
      <c r="B13" s="66">
        <v>4086</v>
      </c>
      <c r="C13" s="42">
        <v>398150</v>
      </c>
      <c r="D13" s="54">
        <v>10660</v>
      </c>
      <c r="E13" s="40"/>
      <c r="F13" s="1" t="s">
        <v>87</v>
      </c>
      <c r="G13" s="48" t="s">
        <v>429</v>
      </c>
    </row>
    <row r="14" spans="1:7" x14ac:dyDescent="0.2">
      <c r="A14" s="40"/>
      <c r="B14" s="66">
        <v>4086</v>
      </c>
      <c r="C14" s="42">
        <v>398160</v>
      </c>
      <c r="D14" s="54">
        <v>10670</v>
      </c>
      <c r="F14" s="1" t="s">
        <v>87</v>
      </c>
      <c r="G14" s="48" t="s">
        <v>90</v>
      </c>
    </row>
    <row r="15" spans="1:7" x14ac:dyDescent="0.2">
      <c r="A15" s="40"/>
      <c r="B15" s="66">
        <v>4086</v>
      </c>
      <c r="C15" s="42">
        <v>398170</v>
      </c>
      <c r="D15" s="54">
        <v>10680</v>
      </c>
      <c r="F15" s="1" t="s">
        <v>87</v>
      </c>
      <c r="G15" s="48" t="s">
        <v>430</v>
      </c>
    </row>
    <row r="16" spans="1:7" x14ac:dyDescent="0.2">
      <c r="B16" s="66">
        <v>4086</v>
      </c>
      <c r="C16" s="42">
        <v>398180</v>
      </c>
      <c r="D16" s="54">
        <v>10699</v>
      </c>
      <c r="F16" s="1" t="s">
        <v>87</v>
      </c>
      <c r="G16" s="48" t="s">
        <v>431</v>
      </c>
    </row>
    <row r="17" spans="2:7" x14ac:dyDescent="0.2">
      <c r="B17" s="66">
        <v>4086</v>
      </c>
      <c r="C17" s="42">
        <v>438110</v>
      </c>
      <c r="D17" s="54">
        <v>21005</v>
      </c>
      <c r="F17" s="1" t="s">
        <v>87</v>
      </c>
      <c r="G17" s="47" t="s">
        <v>91</v>
      </c>
    </row>
    <row r="18" spans="2:7" x14ac:dyDescent="0.2">
      <c r="B18" s="66">
        <v>4086</v>
      </c>
      <c r="C18" s="42">
        <v>438120</v>
      </c>
      <c r="D18" s="54">
        <v>21017</v>
      </c>
      <c r="F18" s="1" t="s">
        <v>87</v>
      </c>
      <c r="G18" s="47" t="s">
        <v>92</v>
      </c>
    </row>
    <row r="19" spans="2:7" x14ac:dyDescent="0.2">
      <c r="B19" s="66">
        <v>4086</v>
      </c>
      <c r="C19" s="42">
        <v>708580</v>
      </c>
      <c r="D19" s="54">
        <v>21048</v>
      </c>
      <c r="F19" s="1" t="s">
        <v>87</v>
      </c>
      <c r="G19" s="46" t="s">
        <v>432</v>
      </c>
    </row>
    <row r="20" spans="2:7" x14ac:dyDescent="0.2">
      <c r="B20" s="66">
        <v>4086</v>
      </c>
      <c r="C20" s="42">
        <v>368110</v>
      </c>
      <c r="D20" s="54">
        <v>55022</v>
      </c>
      <c r="F20" s="1" t="s">
        <v>87</v>
      </c>
      <c r="G20" s="46" t="s">
        <v>93</v>
      </c>
    </row>
    <row r="21" spans="2:7" x14ac:dyDescent="0.2">
      <c r="B21" s="66">
        <v>4086</v>
      </c>
      <c r="C21" s="42">
        <v>368120</v>
      </c>
      <c r="D21" s="54">
        <v>55023</v>
      </c>
      <c r="F21" s="1" t="s">
        <v>87</v>
      </c>
      <c r="G21" s="46" t="s">
        <v>433</v>
      </c>
    </row>
    <row r="22" spans="2:7" x14ac:dyDescent="0.2">
      <c r="B22" s="66">
        <v>4086</v>
      </c>
      <c r="C22" s="42">
        <v>368130</v>
      </c>
      <c r="D22" s="54">
        <v>55024</v>
      </c>
      <c r="F22" s="1" t="s">
        <v>87</v>
      </c>
      <c r="G22" s="46" t="s">
        <v>400</v>
      </c>
    </row>
    <row r="23" spans="2:7" x14ac:dyDescent="0.2">
      <c r="B23" s="66">
        <v>4086</v>
      </c>
      <c r="C23" s="42">
        <v>368140</v>
      </c>
      <c r="D23" s="54">
        <v>55027</v>
      </c>
      <c r="F23" s="1" t="s">
        <v>87</v>
      </c>
      <c r="G23" s="46" t="s">
        <v>401</v>
      </c>
    </row>
    <row r="24" spans="2:7" x14ac:dyDescent="0.2">
      <c r="B24" s="66">
        <v>4086</v>
      </c>
      <c r="C24" s="42">
        <v>368150</v>
      </c>
      <c r="D24" s="54">
        <v>55028</v>
      </c>
      <c r="F24" s="1" t="s">
        <v>87</v>
      </c>
      <c r="G24" s="46" t="s">
        <v>402</v>
      </c>
    </row>
    <row r="25" spans="2:7" x14ac:dyDescent="0.2">
      <c r="B25" s="66">
        <v>4086</v>
      </c>
      <c r="C25" s="42">
        <v>368160</v>
      </c>
      <c r="D25" s="54">
        <v>55032</v>
      </c>
      <c r="F25" s="1" t="s">
        <v>87</v>
      </c>
      <c r="G25" s="46" t="s">
        <v>94</v>
      </c>
    </row>
    <row r="26" spans="2:7" x14ac:dyDescent="0.2">
      <c r="B26" s="66">
        <v>4086</v>
      </c>
      <c r="C26" s="42">
        <v>368170</v>
      </c>
      <c r="D26" s="54">
        <v>55033</v>
      </c>
      <c r="F26" s="1" t="s">
        <v>87</v>
      </c>
      <c r="G26" s="46" t="s">
        <v>434</v>
      </c>
    </row>
    <row r="27" spans="2:7" x14ac:dyDescent="0.2">
      <c r="B27" s="66">
        <v>4086</v>
      </c>
      <c r="C27" s="42">
        <v>368180</v>
      </c>
      <c r="D27" s="54">
        <v>55034</v>
      </c>
      <c r="F27" s="1" t="s">
        <v>87</v>
      </c>
      <c r="G27" s="46" t="s">
        <v>95</v>
      </c>
    </row>
    <row r="28" spans="2:7" x14ac:dyDescent="0.2">
      <c r="B28" s="66">
        <v>4086</v>
      </c>
      <c r="C28" s="42">
        <v>368190</v>
      </c>
      <c r="D28" s="54">
        <v>56013</v>
      </c>
      <c r="F28" s="1" t="s">
        <v>87</v>
      </c>
      <c r="G28" s="47" t="s">
        <v>435</v>
      </c>
    </row>
    <row r="29" spans="2:7" x14ac:dyDescent="0.2">
      <c r="B29" s="66">
        <v>4086</v>
      </c>
      <c r="C29" s="42">
        <v>368200</v>
      </c>
      <c r="D29" s="54">
        <v>56023</v>
      </c>
      <c r="F29" s="1" t="s">
        <v>87</v>
      </c>
      <c r="G29" s="47" t="s">
        <v>436</v>
      </c>
    </row>
    <row r="30" spans="2:7" x14ac:dyDescent="0.2">
      <c r="B30" s="66">
        <v>4086</v>
      </c>
      <c r="C30" s="42">
        <v>368210</v>
      </c>
      <c r="D30" s="65">
        <v>56033</v>
      </c>
      <c r="F30" s="1" t="s">
        <v>87</v>
      </c>
      <c r="G30" s="47" t="s">
        <v>437</v>
      </c>
    </row>
    <row r="31" spans="2:7" x14ac:dyDescent="0.2">
      <c r="B31" s="66">
        <v>4086</v>
      </c>
      <c r="C31" s="42">
        <v>368220</v>
      </c>
      <c r="D31" s="65">
        <v>56043</v>
      </c>
      <c r="F31" s="1" t="s">
        <v>87</v>
      </c>
      <c r="G31" s="47" t="s">
        <v>438</v>
      </c>
    </row>
    <row r="32" spans="2:7" x14ac:dyDescent="0.2">
      <c r="B32" s="66">
        <v>4086</v>
      </c>
      <c r="C32" s="42">
        <v>368230</v>
      </c>
      <c r="D32" s="54">
        <v>57013</v>
      </c>
      <c r="F32" s="1" t="s">
        <v>87</v>
      </c>
      <c r="G32" s="47" t="s">
        <v>439</v>
      </c>
    </row>
    <row r="33" spans="2:7" x14ac:dyDescent="0.2">
      <c r="B33" s="66">
        <v>4086</v>
      </c>
      <c r="C33" s="42">
        <v>368240</v>
      </c>
      <c r="D33" s="54">
        <v>57023</v>
      </c>
      <c r="F33" s="1" t="s">
        <v>87</v>
      </c>
      <c r="G33" s="47" t="s">
        <v>440</v>
      </c>
    </row>
    <row r="34" spans="2:7" x14ac:dyDescent="0.2">
      <c r="B34" s="66">
        <v>4086</v>
      </c>
      <c r="C34" s="42">
        <v>368250</v>
      </c>
      <c r="D34" s="54">
        <v>57033</v>
      </c>
      <c r="F34" s="1" t="s">
        <v>87</v>
      </c>
      <c r="G34" s="47" t="s">
        <v>441</v>
      </c>
    </row>
    <row r="35" spans="2:7" x14ac:dyDescent="0.2">
      <c r="B35" s="66">
        <v>4086</v>
      </c>
      <c r="C35" s="42">
        <v>368260</v>
      </c>
      <c r="D35" s="54">
        <v>57043</v>
      </c>
      <c r="F35" s="1" t="s">
        <v>87</v>
      </c>
      <c r="G35" s="47" t="s">
        <v>442</v>
      </c>
    </row>
    <row r="36" spans="2:7" x14ac:dyDescent="0.2">
      <c r="B36" s="66">
        <v>4086</v>
      </c>
      <c r="C36" s="42">
        <v>368270</v>
      </c>
      <c r="D36" s="54">
        <v>57053</v>
      </c>
      <c r="F36" s="1" t="s">
        <v>87</v>
      </c>
      <c r="G36" s="47" t="s">
        <v>443</v>
      </c>
    </row>
    <row r="37" spans="2:7" x14ac:dyDescent="0.2">
      <c r="B37" s="66">
        <v>4086</v>
      </c>
      <c r="C37" s="42">
        <v>708110</v>
      </c>
      <c r="D37" s="54">
        <v>58070</v>
      </c>
      <c r="F37" s="1" t="s">
        <v>87</v>
      </c>
      <c r="G37" s="47" t="s">
        <v>96</v>
      </c>
    </row>
    <row r="38" spans="2:7" x14ac:dyDescent="0.2">
      <c r="B38" s="66">
        <v>4086</v>
      </c>
      <c r="C38" s="42">
        <v>708120</v>
      </c>
      <c r="D38" s="54">
        <v>58080</v>
      </c>
      <c r="F38" s="1" t="s">
        <v>87</v>
      </c>
      <c r="G38" s="47" t="s">
        <v>97</v>
      </c>
    </row>
    <row r="39" spans="2:7" x14ac:dyDescent="0.2">
      <c r="B39" s="66">
        <v>4086</v>
      </c>
      <c r="C39" s="42">
        <v>708130</v>
      </c>
      <c r="D39" s="54">
        <v>58090</v>
      </c>
      <c r="F39" s="1" t="s">
        <v>87</v>
      </c>
      <c r="G39" s="47" t="s">
        <v>69</v>
      </c>
    </row>
    <row r="40" spans="2:7" x14ac:dyDescent="0.2">
      <c r="B40" s="66">
        <v>4086</v>
      </c>
      <c r="C40" s="42">
        <v>708140</v>
      </c>
      <c r="D40" s="54">
        <v>84001</v>
      </c>
      <c r="F40" s="1" t="s">
        <v>87</v>
      </c>
      <c r="G40" s="47" t="s">
        <v>444</v>
      </c>
    </row>
    <row r="41" spans="2:7" x14ac:dyDescent="0.2">
      <c r="B41" s="66">
        <v>4086</v>
      </c>
      <c r="C41" s="42">
        <v>918110</v>
      </c>
      <c r="D41" s="54">
        <v>90015</v>
      </c>
      <c r="F41" s="1" t="s">
        <v>87</v>
      </c>
      <c r="G41" s="47" t="s">
        <v>98</v>
      </c>
    </row>
    <row r="42" spans="2:7" x14ac:dyDescent="0.2">
      <c r="B42" s="66">
        <v>4086</v>
      </c>
      <c r="C42" s="42">
        <v>918120</v>
      </c>
      <c r="D42" s="54">
        <v>90020</v>
      </c>
      <c r="F42" s="1" t="s">
        <v>87</v>
      </c>
      <c r="G42" s="46" t="s">
        <v>445</v>
      </c>
    </row>
    <row r="43" spans="2:7" x14ac:dyDescent="0.2">
      <c r="B43" s="66">
        <v>4086</v>
      </c>
      <c r="C43" s="42">
        <v>618110</v>
      </c>
      <c r="D43" s="54">
        <v>97023</v>
      </c>
      <c r="F43" s="1" t="s">
        <v>87</v>
      </c>
      <c r="G43" s="47" t="s">
        <v>99</v>
      </c>
    </row>
    <row r="44" spans="2:7" x14ac:dyDescent="0.2">
      <c r="B44" s="66">
        <v>4086</v>
      </c>
      <c r="C44" s="42">
        <v>918130</v>
      </c>
      <c r="D44" s="54">
        <v>97524</v>
      </c>
      <c r="F44" s="1" t="s">
        <v>87</v>
      </c>
      <c r="G44" s="47" t="s">
        <v>100</v>
      </c>
    </row>
    <row r="45" spans="2:7" x14ac:dyDescent="0.2">
      <c r="B45" s="66">
        <v>4086</v>
      </c>
      <c r="C45" s="42">
        <v>398190</v>
      </c>
      <c r="D45" s="54">
        <v>106912</v>
      </c>
      <c r="F45" s="1" t="s">
        <v>87</v>
      </c>
      <c r="G45" s="47" t="s">
        <v>446</v>
      </c>
    </row>
    <row r="46" spans="2:7" x14ac:dyDescent="0.2">
      <c r="B46" s="66">
        <v>4086</v>
      </c>
      <c r="C46" s="42">
        <v>398200</v>
      </c>
      <c r="D46" s="54">
        <v>106913</v>
      </c>
      <c r="F46" s="1" t="s">
        <v>87</v>
      </c>
      <c r="G46" s="47" t="s">
        <v>447</v>
      </c>
    </row>
    <row r="47" spans="2:7" x14ac:dyDescent="0.2">
      <c r="B47" s="66">
        <v>4086</v>
      </c>
      <c r="C47" s="42">
        <v>398210</v>
      </c>
      <c r="D47" s="54">
        <v>106914</v>
      </c>
      <c r="F47" s="1" t="s">
        <v>87</v>
      </c>
      <c r="G47" s="47" t="s">
        <v>448</v>
      </c>
    </row>
    <row r="48" spans="2:7" x14ac:dyDescent="0.2">
      <c r="B48" s="66">
        <v>4086</v>
      </c>
      <c r="C48" s="42">
        <v>398220</v>
      </c>
      <c r="D48" s="54">
        <v>106916</v>
      </c>
      <c r="F48" s="1" t="s">
        <v>87</v>
      </c>
      <c r="G48" s="47" t="s">
        <v>449</v>
      </c>
    </row>
    <row r="49" spans="2:7" x14ac:dyDescent="0.2">
      <c r="B49" s="66">
        <v>4086</v>
      </c>
      <c r="C49" s="42">
        <v>398230</v>
      </c>
      <c r="D49" s="54">
        <v>106981</v>
      </c>
      <c r="F49" s="1" t="s">
        <v>87</v>
      </c>
      <c r="G49" s="47" t="s">
        <v>450</v>
      </c>
    </row>
    <row r="50" spans="2:7" x14ac:dyDescent="0.2">
      <c r="B50" s="66">
        <v>4086</v>
      </c>
      <c r="C50" s="42">
        <v>358110</v>
      </c>
      <c r="D50" s="54">
        <v>144015</v>
      </c>
      <c r="F50" s="1" t="s">
        <v>87</v>
      </c>
      <c r="G50" s="47" t="s">
        <v>101</v>
      </c>
    </row>
    <row r="51" spans="2:7" x14ac:dyDescent="0.2">
      <c r="B51" s="66">
        <v>4086</v>
      </c>
      <c r="C51" s="42">
        <v>358120</v>
      </c>
      <c r="D51" s="54">
        <v>144025</v>
      </c>
      <c r="F51" s="1" t="s">
        <v>87</v>
      </c>
      <c r="G51" s="47" t="s">
        <v>102</v>
      </c>
    </row>
    <row r="52" spans="2:7" x14ac:dyDescent="0.2">
      <c r="B52" s="66">
        <v>4086</v>
      </c>
      <c r="C52" s="42">
        <v>358130</v>
      </c>
      <c r="D52" s="54">
        <v>144038</v>
      </c>
      <c r="F52" s="1" t="s">
        <v>87</v>
      </c>
      <c r="G52" s="47" t="s">
        <v>103</v>
      </c>
    </row>
    <row r="53" spans="2:7" x14ac:dyDescent="0.2">
      <c r="B53" s="66">
        <v>4086</v>
      </c>
      <c r="C53" s="42">
        <v>358140</v>
      </c>
      <c r="D53" s="54">
        <v>144043</v>
      </c>
      <c r="F53" s="1" t="s">
        <v>87</v>
      </c>
      <c r="G53" s="47" t="s">
        <v>104</v>
      </c>
    </row>
    <row r="54" spans="2:7" x14ac:dyDescent="0.2">
      <c r="B54" s="66">
        <v>4086</v>
      </c>
      <c r="C54" s="42">
        <v>358150</v>
      </c>
      <c r="D54" s="54">
        <v>144050</v>
      </c>
      <c r="F54" s="1" t="s">
        <v>87</v>
      </c>
      <c r="G54" s="47" t="s">
        <v>105</v>
      </c>
    </row>
    <row r="55" spans="2:7" x14ac:dyDescent="0.2">
      <c r="B55" s="66">
        <v>4086</v>
      </c>
      <c r="C55" s="42">
        <v>358160</v>
      </c>
      <c r="D55" s="54">
        <v>144053</v>
      </c>
      <c r="F55" s="1" t="s">
        <v>87</v>
      </c>
      <c r="G55" s="46" t="s">
        <v>451</v>
      </c>
    </row>
    <row r="56" spans="2:7" x14ac:dyDescent="0.2">
      <c r="B56" s="66">
        <v>4086</v>
      </c>
      <c r="C56" s="42">
        <v>708150</v>
      </c>
      <c r="D56" s="54">
        <v>156001</v>
      </c>
      <c r="F56" s="1" t="s">
        <v>87</v>
      </c>
      <c r="G56" s="47" t="s">
        <v>106</v>
      </c>
    </row>
    <row r="57" spans="2:7" x14ac:dyDescent="0.2">
      <c r="B57" s="66">
        <v>4086</v>
      </c>
      <c r="C57" s="42">
        <v>708160</v>
      </c>
      <c r="D57" s="54">
        <v>156004</v>
      </c>
      <c r="F57" s="1" t="s">
        <v>87</v>
      </c>
      <c r="G57" s="47" t="s">
        <v>107</v>
      </c>
    </row>
    <row r="58" spans="2:7" x14ac:dyDescent="0.2">
      <c r="B58" s="66">
        <v>4086</v>
      </c>
      <c r="C58" s="42">
        <v>648110</v>
      </c>
      <c r="D58" s="54">
        <v>161005</v>
      </c>
      <c r="F58" s="1" t="s">
        <v>87</v>
      </c>
      <c r="G58" s="47" t="s">
        <v>108</v>
      </c>
    </row>
    <row r="59" spans="2:7" x14ac:dyDescent="0.2">
      <c r="B59" s="66">
        <v>4086</v>
      </c>
      <c r="C59" s="42">
        <v>648120</v>
      </c>
      <c r="D59" s="54">
        <v>161006</v>
      </c>
      <c r="F59" s="1" t="s">
        <v>87</v>
      </c>
      <c r="G59" s="47" t="s">
        <v>109</v>
      </c>
    </row>
    <row r="60" spans="2:7" x14ac:dyDescent="0.2">
      <c r="B60" s="66">
        <v>4086</v>
      </c>
      <c r="C60" s="42">
        <v>648130</v>
      </c>
      <c r="D60" s="54">
        <v>161043</v>
      </c>
      <c r="F60" s="1" t="s">
        <v>87</v>
      </c>
      <c r="G60" s="47" t="s">
        <v>110</v>
      </c>
    </row>
    <row r="61" spans="2:7" x14ac:dyDescent="0.2">
      <c r="B61" s="66">
        <v>4086</v>
      </c>
      <c r="C61" s="42">
        <v>648140</v>
      </c>
      <c r="D61" s="54">
        <v>161044</v>
      </c>
      <c r="F61" s="1" t="s">
        <v>87</v>
      </c>
      <c r="G61" s="47" t="s">
        <v>111</v>
      </c>
    </row>
    <row r="62" spans="2:7" x14ac:dyDescent="0.2">
      <c r="B62" s="66">
        <v>4086</v>
      </c>
      <c r="C62" s="42">
        <v>648150</v>
      </c>
      <c r="D62" s="54">
        <v>161046</v>
      </c>
      <c r="F62" s="1" t="s">
        <v>87</v>
      </c>
      <c r="G62" s="47" t="s">
        <v>112</v>
      </c>
    </row>
    <row r="63" spans="2:7" x14ac:dyDescent="0.2">
      <c r="B63" s="66">
        <v>4086</v>
      </c>
      <c r="C63" s="42">
        <v>648160</v>
      </c>
      <c r="D63" s="54">
        <v>161047</v>
      </c>
      <c r="F63" s="1" t="s">
        <v>87</v>
      </c>
      <c r="G63" s="47" t="s">
        <v>113</v>
      </c>
    </row>
    <row r="64" spans="2:7" x14ac:dyDescent="0.2">
      <c r="B64" s="66">
        <v>4086</v>
      </c>
      <c r="C64" s="42">
        <v>648170</v>
      </c>
      <c r="D64" s="54">
        <v>161049</v>
      </c>
      <c r="F64" s="1" t="s">
        <v>87</v>
      </c>
      <c r="G64" s="47" t="s">
        <v>114</v>
      </c>
    </row>
    <row r="65" spans="2:7" x14ac:dyDescent="0.2">
      <c r="B65" s="66">
        <v>4086</v>
      </c>
      <c r="C65" s="42">
        <v>648180</v>
      </c>
      <c r="D65" s="54">
        <v>161062</v>
      </c>
      <c r="F65" s="1" t="s">
        <v>87</v>
      </c>
      <c r="G65" s="47" t="s">
        <v>115</v>
      </c>
    </row>
    <row r="66" spans="2:7" x14ac:dyDescent="0.2">
      <c r="B66" s="66">
        <v>4086</v>
      </c>
      <c r="C66" s="42">
        <v>218110</v>
      </c>
      <c r="D66" s="54">
        <v>268110</v>
      </c>
      <c r="F66" s="1" t="s">
        <v>87</v>
      </c>
      <c r="G66" s="47" t="s">
        <v>498</v>
      </c>
    </row>
    <row r="67" spans="2:7" x14ac:dyDescent="0.2">
      <c r="B67" s="66">
        <v>4086</v>
      </c>
      <c r="C67" s="42">
        <v>368280</v>
      </c>
      <c r="D67" s="54">
        <v>590201</v>
      </c>
      <c r="F67" s="1" t="s">
        <v>87</v>
      </c>
      <c r="G67" s="47" t="s">
        <v>116</v>
      </c>
    </row>
    <row r="68" spans="2:7" x14ac:dyDescent="0.2">
      <c r="B68" s="66">
        <v>4086</v>
      </c>
      <c r="C68" s="42">
        <v>708170</v>
      </c>
      <c r="D68" s="54">
        <v>833001</v>
      </c>
      <c r="F68" s="1" t="s">
        <v>87</v>
      </c>
      <c r="G68" s="47" t="s">
        <v>117</v>
      </c>
    </row>
    <row r="69" spans="2:7" x14ac:dyDescent="0.2">
      <c r="B69" s="66">
        <v>4086</v>
      </c>
      <c r="C69" s="42">
        <v>618120</v>
      </c>
      <c r="D69" s="54">
        <v>839709</v>
      </c>
      <c r="F69" s="1" t="s">
        <v>87</v>
      </c>
      <c r="G69" s="47" t="s">
        <v>118</v>
      </c>
    </row>
    <row r="70" spans="2:7" x14ac:dyDescent="0.2">
      <c r="B70" s="66">
        <v>4086</v>
      </c>
      <c r="C70" s="42">
        <v>918140</v>
      </c>
      <c r="D70" s="54">
        <v>901117</v>
      </c>
      <c r="F70" s="1" t="s">
        <v>87</v>
      </c>
      <c r="G70" s="47" t="s">
        <v>119</v>
      </c>
    </row>
    <row r="71" spans="2:7" x14ac:dyDescent="0.2">
      <c r="B71" s="66">
        <v>4086</v>
      </c>
      <c r="C71" s="42">
        <v>918150</v>
      </c>
      <c r="D71" s="54">
        <v>901130</v>
      </c>
      <c r="F71" s="1" t="s">
        <v>87</v>
      </c>
      <c r="G71" s="47" t="s">
        <v>120</v>
      </c>
    </row>
    <row r="72" spans="2:7" x14ac:dyDescent="0.2">
      <c r="B72" s="66">
        <v>4086</v>
      </c>
      <c r="C72" s="42">
        <v>818110</v>
      </c>
      <c r="D72" s="54">
        <v>951843</v>
      </c>
      <c r="F72" s="1" t="s">
        <v>87</v>
      </c>
      <c r="G72" s="47" t="s">
        <v>121</v>
      </c>
    </row>
    <row r="73" spans="2:7" x14ac:dyDescent="0.2">
      <c r="B73" s="66">
        <v>4086</v>
      </c>
      <c r="C73" s="42">
        <v>928110</v>
      </c>
      <c r="D73" s="54">
        <v>981038</v>
      </c>
      <c r="F73" s="1" t="s">
        <v>87</v>
      </c>
      <c r="G73" s="47" t="s">
        <v>122</v>
      </c>
    </row>
    <row r="74" spans="2:7" x14ac:dyDescent="0.2">
      <c r="B74" s="66">
        <v>4086</v>
      </c>
      <c r="C74" s="42">
        <v>378110</v>
      </c>
      <c r="D74" s="54">
        <v>1015050</v>
      </c>
      <c r="F74" s="1" t="s">
        <v>87</v>
      </c>
      <c r="G74" s="47" t="s">
        <v>123</v>
      </c>
    </row>
    <row r="75" spans="2:7" x14ac:dyDescent="0.2">
      <c r="B75" s="66">
        <v>4086</v>
      </c>
      <c r="C75" s="42">
        <v>218120</v>
      </c>
      <c r="D75" s="54">
        <v>1020109</v>
      </c>
      <c r="F75" s="1" t="s">
        <v>87</v>
      </c>
      <c r="G75" s="47" t="s">
        <v>124</v>
      </c>
    </row>
    <row r="76" spans="2:7" x14ac:dyDescent="0.2">
      <c r="B76" s="66">
        <v>4086</v>
      </c>
      <c r="C76" s="42">
        <v>218130</v>
      </c>
      <c r="D76" s="54">
        <v>1020113</v>
      </c>
      <c r="F76" s="1" t="s">
        <v>87</v>
      </c>
      <c r="G76" s="47" t="s">
        <v>125</v>
      </c>
    </row>
    <row r="77" spans="2:7" x14ac:dyDescent="0.2">
      <c r="B77" s="66">
        <v>4086</v>
      </c>
      <c r="C77" s="42">
        <v>708180</v>
      </c>
      <c r="D77" s="54">
        <v>1050020</v>
      </c>
      <c r="F77" s="1" t="s">
        <v>87</v>
      </c>
      <c r="G77" s="47" t="s">
        <v>126</v>
      </c>
    </row>
    <row r="78" spans="2:7" x14ac:dyDescent="0.2">
      <c r="B78" s="66">
        <v>4086</v>
      </c>
      <c r="C78" s="42">
        <v>798110</v>
      </c>
      <c r="D78" s="54">
        <v>1107408</v>
      </c>
      <c r="F78" s="1" t="s">
        <v>87</v>
      </c>
      <c r="G78" s="46" t="s">
        <v>452</v>
      </c>
    </row>
    <row r="79" spans="2:7" x14ac:dyDescent="0.2">
      <c r="B79" s="66">
        <v>4086</v>
      </c>
      <c r="C79" s="42">
        <v>798120</v>
      </c>
      <c r="D79" s="54">
        <v>1107409</v>
      </c>
      <c r="F79" s="1" t="s">
        <v>87</v>
      </c>
      <c r="G79" s="46" t="s">
        <v>127</v>
      </c>
    </row>
    <row r="80" spans="2:7" x14ac:dyDescent="0.2">
      <c r="B80" s="66">
        <v>4086</v>
      </c>
      <c r="C80" s="42">
        <v>648190</v>
      </c>
      <c r="D80" s="54">
        <v>1119750</v>
      </c>
      <c r="F80" s="1" t="s">
        <v>87</v>
      </c>
      <c r="G80" s="47" t="s">
        <v>128</v>
      </c>
    </row>
    <row r="81" spans="2:7" x14ac:dyDescent="0.2">
      <c r="B81" s="66">
        <v>4086</v>
      </c>
      <c r="C81" s="42">
        <v>378120</v>
      </c>
      <c r="D81" s="54">
        <v>1200201</v>
      </c>
      <c r="F81" s="1" t="s">
        <v>87</v>
      </c>
      <c r="G81" s="46" t="s">
        <v>453</v>
      </c>
    </row>
    <row r="82" spans="2:7" x14ac:dyDescent="0.2">
      <c r="B82" s="66">
        <v>4086</v>
      </c>
      <c r="C82" s="42">
        <v>378130</v>
      </c>
      <c r="D82" s="54">
        <v>1200202</v>
      </c>
      <c r="F82" s="1" t="s">
        <v>87</v>
      </c>
      <c r="G82" s="47" t="s">
        <v>129</v>
      </c>
    </row>
    <row r="83" spans="2:7" x14ac:dyDescent="0.2">
      <c r="B83" s="66">
        <v>4086</v>
      </c>
      <c r="C83" s="42">
        <v>378140</v>
      </c>
      <c r="D83" s="54">
        <v>1200203</v>
      </c>
      <c r="F83" s="1" t="s">
        <v>87</v>
      </c>
      <c r="G83" s="47" t="s">
        <v>130</v>
      </c>
    </row>
    <row r="84" spans="2:7" x14ac:dyDescent="0.2">
      <c r="B84" s="66">
        <v>4086</v>
      </c>
      <c r="C84" s="42">
        <v>378150</v>
      </c>
      <c r="D84" s="54">
        <v>1203004</v>
      </c>
      <c r="F84" s="1" t="s">
        <v>87</v>
      </c>
      <c r="G84" s="47" t="s">
        <v>131</v>
      </c>
    </row>
    <row r="85" spans="2:7" x14ac:dyDescent="0.2">
      <c r="B85" s="66">
        <v>4086</v>
      </c>
      <c r="C85" s="42">
        <v>938110</v>
      </c>
      <c r="D85" s="54">
        <v>1517004</v>
      </c>
      <c r="F85" s="1" t="s">
        <v>87</v>
      </c>
      <c r="G85" s="47" t="s">
        <v>132</v>
      </c>
    </row>
    <row r="86" spans="2:7" x14ac:dyDescent="0.2">
      <c r="B86" s="66">
        <v>4086</v>
      </c>
      <c r="C86" s="42">
        <v>708190</v>
      </c>
      <c r="D86" s="54">
        <v>1520051</v>
      </c>
      <c r="F86" s="1" t="s">
        <v>87</v>
      </c>
      <c r="G86" s="47" t="s">
        <v>133</v>
      </c>
    </row>
    <row r="87" spans="2:7" x14ac:dyDescent="0.2">
      <c r="B87" s="66">
        <v>4086</v>
      </c>
      <c r="C87" s="42">
        <v>928120</v>
      </c>
      <c r="D87" s="54">
        <v>1525011</v>
      </c>
      <c r="F87" s="1" t="s">
        <v>87</v>
      </c>
      <c r="G87" s="47" t="s">
        <v>134</v>
      </c>
    </row>
    <row r="88" spans="2:7" x14ac:dyDescent="0.2">
      <c r="B88" s="66">
        <v>4086</v>
      </c>
      <c r="C88" s="42">
        <v>818120</v>
      </c>
      <c r="D88" s="54">
        <v>2382861</v>
      </c>
      <c r="F88" s="1" t="s">
        <v>87</v>
      </c>
      <c r="G88" s="47" t="s">
        <v>135</v>
      </c>
    </row>
    <row r="89" spans="2:7" x14ac:dyDescent="0.2">
      <c r="B89" s="66">
        <v>4086</v>
      </c>
      <c r="C89" s="42">
        <v>928130</v>
      </c>
      <c r="D89" s="54">
        <v>2400044</v>
      </c>
      <c r="F89" s="1" t="s">
        <v>87</v>
      </c>
      <c r="G89" s="46" t="s">
        <v>454</v>
      </c>
    </row>
    <row r="90" spans="2:7" x14ac:dyDescent="0.2">
      <c r="B90" s="66">
        <v>4086</v>
      </c>
      <c r="C90" s="42">
        <v>928140</v>
      </c>
      <c r="D90" s="54">
        <v>2400070</v>
      </c>
      <c r="F90" s="1" t="s">
        <v>87</v>
      </c>
      <c r="G90" s="47" t="s">
        <v>136</v>
      </c>
    </row>
    <row r="91" spans="2:7" x14ac:dyDescent="0.2">
      <c r="B91" s="66">
        <v>4086</v>
      </c>
      <c r="C91" s="42">
        <v>928150</v>
      </c>
      <c r="D91" s="54">
        <v>2400074</v>
      </c>
      <c r="F91" s="1" t="s">
        <v>87</v>
      </c>
      <c r="G91" s="47" t="s">
        <v>137</v>
      </c>
    </row>
    <row r="92" spans="2:7" x14ac:dyDescent="0.2">
      <c r="B92" s="66">
        <v>4086</v>
      </c>
      <c r="C92" s="42">
        <v>928160</v>
      </c>
      <c r="D92" s="54">
        <v>2400075</v>
      </c>
      <c r="F92" s="1" t="s">
        <v>87</v>
      </c>
      <c r="G92" s="47" t="s">
        <v>138</v>
      </c>
    </row>
    <row r="93" spans="2:7" x14ac:dyDescent="0.2">
      <c r="B93" s="66">
        <v>4086</v>
      </c>
      <c r="C93" s="42">
        <v>928170</v>
      </c>
      <c r="D93" s="54">
        <v>2400076</v>
      </c>
      <c r="F93" s="1" t="s">
        <v>87</v>
      </c>
      <c r="G93" s="47" t="s">
        <v>139</v>
      </c>
    </row>
    <row r="94" spans="2:7" x14ac:dyDescent="0.2">
      <c r="B94" s="66">
        <v>4086</v>
      </c>
      <c r="C94" s="42">
        <v>928180</v>
      </c>
      <c r="D94" s="54">
        <v>2400077</v>
      </c>
      <c r="F94" s="1" t="s">
        <v>87</v>
      </c>
      <c r="G94" s="47" t="s">
        <v>140</v>
      </c>
    </row>
    <row r="95" spans="2:7" x14ac:dyDescent="0.2">
      <c r="B95" s="66">
        <v>4086</v>
      </c>
      <c r="C95" s="42">
        <v>928190</v>
      </c>
      <c r="D95" s="54">
        <v>2400079</v>
      </c>
      <c r="F95" s="1" t="s">
        <v>87</v>
      </c>
      <c r="G95" s="47" t="s">
        <v>141</v>
      </c>
    </row>
    <row r="96" spans="2:7" x14ac:dyDescent="0.2">
      <c r="B96" s="66">
        <v>4086</v>
      </c>
      <c r="C96" s="42">
        <v>928200</v>
      </c>
      <c r="D96" s="54">
        <v>2400081</v>
      </c>
      <c r="F96" s="1" t="s">
        <v>87</v>
      </c>
      <c r="G96" s="47" t="s">
        <v>142</v>
      </c>
    </row>
    <row r="97" spans="2:7" x14ac:dyDescent="0.2">
      <c r="B97" s="66">
        <v>4086</v>
      </c>
      <c r="C97" s="42">
        <v>928210</v>
      </c>
      <c r="D97" s="54">
        <v>2400089</v>
      </c>
      <c r="F97" s="1" t="s">
        <v>87</v>
      </c>
      <c r="G97" s="47" t="s">
        <v>143</v>
      </c>
    </row>
    <row r="98" spans="2:7" x14ac:dyDescent="0.2">
      <c r="B98" s="66">
        <v>4086</v>
      </c>
      <c r="C98" s="42">
        <v>928220</v>
      </c>
      <c r="D98" s="54">
        <v>2410086</v>
      </c>
      <c r="F98" s="1" t="s">
        <v>87</v>
      </c>
      <c r="G98" s="47" t="s">
        <v>144</v>
      </c>
    </row>
    <row r="99" spans="2:7" x14ac:dyDescent="0.2">
      <c r="B99" s="66">
        <v>4086</v>
      </c>
      <c r="C99" s="42">
        <v>708200</v>
      </c>
      <c r="D99" s="54">
        <v>2500281</v>
      </c>
      <c r="F99" s="1" t="s">
        <v>87</v>
      </c>
      <c r="G99" s="47" t="s">
        <v>145</v>
      </c>
    </row>
    <row r="100" spans="2:7" x14ac:dyDescent="0.2">
      <c r="B100" s="66">
        <v>4086</v>
      </c>
      <c r="C100" s="42">
        <v>648200</v>
      </c>
      <c r="D100" s="54">
        <v>2807022</v>
      </c>
      <c r="F100" s="1" t="s">
        <v>87</v>
      </c>
      <c r="G100" s="47" t="s">
        <v>146</v>
      </c>
    </row>
    <row r="101" spans="2:7" x14ac:dyDescent="0.2">
      <c r="B101" s="66">
        <v>4086</v>
      </c>
      <c r="C101" s="42">
        <v>618130</v>
      </c>
      <c r="D101" s="54">
        <v>2818050</v>
      </c>
      <c r="F101" s="1" t="s">
        <v>87</v>
      </c>
      <c r="G101" s="47" t="s">
        <v>147</v>
      </c>
    </row>
    <row r="102" spans="2:7" x14ac:dyDescent="0.2">
      <c r="B102" s="66">
        <v>4086</v>
      </c>
      <c r="C102" s="42">
        <v>628110</v>
      </c>
      <c r="D102" s="54">
        <v>2910382</v>
      </c>
      <c r="F102" s="1" t="s">
        <v>87</v>
      </c>
      <c r="G102" s="47" t="s">
        <v>148</v>
      </c>
    </row>
    <row r="103" spans="2:7" x14ac:dyDescent="0.2">
      <c r="B103" s="66">
        <v>4086</v>
      </c>
      <c r="C103" s="42">
        <v>218140</v>
      </c>
      <c r="D103" s="54">
        <v>3700201</v>
      </c>
      <c r="F103" s="1" t="s">
        <v>87</v>
      </c>
      <c r="G103" s="47" t="s">
        <v>149</v>
      </c>
    </row>
    <row r="104" spans="2:7" x14ac:dyDescent="0.2">
      <c r="B104" s="66">
        <v>4086</v>
      </c>
      <c r="C104" s="42">
        <v>218150</v>
      </c>
      <c r="D104" s="54">
        <v>3700202</v>
      </c>
      <c r="F104" s="1" t="s">
        <v>87</v>
      </c>
      <c r="G104" s="47" t="s">
        <v>150</v>
      </c>
    </row>
    <row r="105" spans="2:7" x14ac:dyDescent="0.2">
      <c r="B105" s="66">
        <v>4086</v>
      </c>
      <c r="C105" s="42">
        <v>218160</v>
      </c>
      <c r="D105" s="54">
        <v>3700203</v>
      </c>
      <c r="F105" s="1" t="s">
        <v>87</v>
      </c>
      <c r="G105" s="47" t="s">
        <v>151</v>
      </c>
    </row>
    <row r="106" spans="2:7" x14ac:dyDescent="0.2">
      <c r="B106" s="66">
        <v>4086</v>
      </c>
      <c r="C106" s="42">
        <v>218170</v>
      </c>
      <c r="D106" s="54">
        <v>3700205</v>
      </c>
      <c r="F106" s="1" t="s">
        <v>87</v>
      </c>
      <c r="G106" s="46" t="s">
        <v>152</v>
      </c>
    </row>
    <row r="107" spans="2:7" x14ac:dyDescent="0.2">
      <c r="B107" s="66">
        <v>4086</v>
      </c>
      <c r="C107" s="42">
        <v>438130</v>
      </c>
      <c r="D107" s="54">
        <v>3700304</v>
      </c>
      <c r="F107" s="1" t="s">
        <v>87</v>
      </c>
      <c r="G107" s="47" t="s">
        <v>153</v>
      </c>
    </row>
    <row r="108" spans="2:7" x14ac:dyDescent="0.2">
      <c r="B108" s="66">
        <v>4086</v>
      </c>
      <c r="C108" s="42">
        <v>218180</v>
      </c>
      <c r="D108" s="54">
        <v>3700320</v>
      </c>
      <c r="F108" s="1" t="s">
        <v>87</v>
      </c>
      <c r="G108" s="47" t="s">
        <v>154</v>
      </c>
    </row>
    <row r="109" spans="2:7" x14ac:dyDescent="0.2">
      <c r="B109" s="66">
        <v>4086</v>
      </c>
      <c r="C109" s="42">
        <v>218190</v>
      </c>
      <c r="D109" s="54">
        <v>3700324</v>
      </c>
      <c r="F109" s="1" t="s">
        <v>87</v>
      </c>
      <c r="G109" s="46" t="s">
        <v>77</v>
      </c>
    </row>
    <row r="110" spans="2:7" x14ac:dyDescent="0.2">
      <c r="B110" s="66">
        <v>4086</v>
      </c>
      <c r="C110" s="42">
        <v>218200</v>
      </c>
      <c r="D110" s="54">
        <v>3700326</v>
      </c>
      <c r="F110" s="1" t="s">
        <v>87</v>
      </c>
      <c r="G110" s="47" t="s">
        <v>155</v>
      </c>
    </row>
    <row r="111" spans="2:7" x14ac:dyDescent="0.2">
      <c r="B111" s="66">
        <v>4086</v>
      </c>
      <c r="C111" s="42">
        <v>708210</v>
      </c>
      <c r="D111" s="54">
        <v>3920220</v>
      </c>
      <c r="F111" s="1" t="s">
        <v>87</v>
      </c>
      <c r="G111" s="47" t="s">
        <v>156</v>
      </c>
    </row>
    <row r="112" spans="2:7" x14ac:dyDescent="0.2">
      <c r="B112" s="66">
        <v>4086</v>
      </c>
      <c r="C112" s="42">
        <v>708220</v>
      </c>
      <c r="D112" s="54">
        <v>3920504</v>
      </c>
      <c r="F112" s="1" t="s">
        <v>87</v>
      </c>
      <c r="G112" s="47" t="s">
        <v>157</v>
      </c>
    </row>
    <row r="113" spans="2:7" x14ac:dyDescent="0.2">
      <c r="B113" s="66">
        <v>4086</v>
      </c>
      <c r="C113" s="42">
        <v>708230</v>
      </c>
      <c r="D113" s="54">
        <v>3922451</v>
      </c>
      <c r="F113" s="1" t="s">
        <v>87</v>
      </c>
      <c r="G113" s="47" t="s">
        <v>158</v>
      </c>
    </row>
    <row r="114" spans="2:7" x14ac:dyDescent="0.2">
      <c r="B114" s="66">
        <v>4086</v>
      </c>
      <c r="C114" s="42">
        <v>708240</v>
      </c>
      <c r="D114" s="54">
        <v>3922461</v>
      </c>
      <c r="F114" s="1" t="s">
        <v>87</v>
      </c>
      <c r="G114" s="47" t="s">
        <v>159</v>
      </c>
    </row>
    <row r="115" spans="2:7" x14ac:dyDescent="0.2">
      <c r="B115" s="66">
        <v>4086</v>
      </c>
      <c r="C115" s="42">
        <v>708250</v>
      </c>
      <c r="D115" s="54">
        <v>3924262</v>
      </c>
      <c r="F115" s="1" t="s">
        <v>87</v>
      </c>
      <c r="G115" s="47" t="s">
        <v>160</v>
      </c>
    </row>
    <row r="116" spans="2:7" x14ac:dyDescent="0.2">
      <c r="B116" s="66">
        <v>4086</v>
      </c>
      <c r="C116" s="42">
        <v>228110</v>
      </c>
      <c r="D116" s="54">
        <v>3944024</v>
      </c>
      <c r="F116" s="1" t="s">
        <v>87</v>
      </c>
      <c r="G116" s="46" t="s">
        <v>455</v>
      </c>
    </row>
    <row r="117" spans="2:7" x14ac:dyDescent="0.2">
      <c r="B117" s="66">
        <v>4086</v>
      </c>
      <c r="C117" s="42">
        <v>228120</v>
      </c>
      <c r="D117" s="54">
        <v>3948006</v>
      </c>
      <c r="F117" s="1" t="s">
        <v>87</v>
      </c>
      <c r="G117" s="47" t="s">
        <v>161</v>
      </c>
    </row>
    <row r="118" spans="2:7" x14ac:dyDescent="0.2">
      <c r="B118" s="66">
        <v>4086</v>
      </c>
      <c r="C118" s="42">
        <v>648210</v>
      </c>
      <c r="D118" s="54">
        <v>3992006</v>
      </c>
      <c r="F118" s="1" t="s">
        <v>87</v>
      </c>
      <c r="G118" s="47" t="s">
        <v>162</v>
      </c>
    </row>
    <row r="119" spans="2:7" x14ac:dyDescent="0.2">
      <c r="B119" s="66">
        <v>4086</v>
      </c>
      <c r="C119" s="42">
        <v>648220</v>
      </c>
      <c r="D119" s="54">
        <v>3992067</v>
      </c>
      <c r="F119" s="1" t="s">
        <v>87</v>
      </c>
      <c r="G119" s="47" t="s">
        <v>163</v>
      </c>
    </row>
    <row r="120" spans="2:7" x14ac:dyDescent="0.2">
      <c r="B120" s="66">
        <v>4086</v>
      </c>
      <c r="C120" s="42">
        <v>648230</v>
      </c>
      <c r="D120" s="54">
        <v>3992069</v>
      </c>
      <c r="F120" s="1" t="s">
        <v>87</v>
      </c>
      <c r="G120" s="47" t="s">
        <v>164</v>
      </c>
    </row>
    <row r="121" spans="2:7" x14ac:dyDescent="0.2">
      <c r="B121" s="66">
        <v>4086</v>
      </c>
      <c r="C121" s="42">
        <v>648240</v>
      </c>
      <c r="D121" s="54">
        <v>3994927</v>
      </c>
      <c r="F121" s="1" t="s">
        <v>87</v>
      </c>
      <c r="G121" s="47" t="s">
        <v>165</v>
      </c>
    </row>
    <row r="122" spans="2:7" x14ac:dyDescent="0.2">
      <c r="B122" s="66">
        <v>4086</v>
      </c>
      <c r="C122" s="42">
        <v>648250</v>
      </c>
      <c r="D122" s="54">
        <v>3994937</v>
      </c>
      <c r="F122" s="1" t="s">
        <v>87</v>
      </c>
      <c r="G122" s="47" t="s">
        <v>166</v>
      </c>
    </row>
    <row r="123" spans="2:7" x14ac:dyDescent="0.2">
      <c r="B123" s="66">
        <v>4086</v>
      </c>
      <c r="C123" s="42">
        <v>648260</v>
      </c>
      <c r="D123" s="54">
        <v>4426436</v>
      </c>
      <c r="F123" s="1" t="s">
        <v>87</v>
      </c>
      <c r="G123" s="47" t="s">
        <v>167</v>
      </c>
    </row>
    <row r="124" spans="2:7" x14ac:dyDescent="0.2">
      <c r="B124" s="66">
        <v>4086</v>
      </c>
      <c r="C124" s="42">
        <v>708260</v>
      </c>
      <c r="D124" s="54">
        <v>4427826</v>
      </c>
      <c r="F124" s="1" t="s">
        <v>87</v>
      </c>
      <c r="G124" s="47" t="s">
        <v>168</v>
      </c>
    </row>
    <row r="125" spans="2:7" x14ac:dyDescent="0.2">
      <c r="B125" s="66">
        <v>4086</v>
      </c>
      <c r="C125" s="42">
        <v>648270</v>
      </c>
      <c r="D125" s="54">
        <v>4444083</v>
      </c>
      <c r="F125" s="1" t="s">
        <v>87</v>
      </c>
      <c r="G125" s="47" t="s">
        <v>169</v>
      </c>
    </row>
    <row r="126" spans="2:7" x14ac:dyDescent="0.2">
      <c r="B126" s="66">
        <v>4086</v>
      </c>
      <c r="C126" s="42">
        <v>708270</v>
      </c>
      <c r="D126" s="54">
        <v>4610401</v>
      </c>
      <c r="E126" s="40"/>
      <c r="F126" s="1" t="s">
        <v>87</v>
      </c>
      <c r="G126" s="47" t="s">
        <v>67</v>
      </c>
    </row>
    <row r="127" spans="2:7" x14ac:dyDescent="0.2">
      <c r="B127" s="66">
        <v>4086</v>
      </c>
      <c r="C127" s="42">
        <v>708280</v>
      </c>
      <c r="D127" s="54">
        <v>4610406</v>
      </c>
      <c r="F127" s="1" t="s">
        <v>87</v>
      </c>
      <c r="G127" s="47" t="s">
        <v>68</v>
      </c>
    </row>
    <row r="128" spans="2:7" x14ac:dyDescent="0.2">
      <c r="B128" s="66">
        <v>4086</v>
      </c>
      <c r="C128" s="42">
        <v>708290</v>
      </c>
      <c r="D128" s="54">
        <v>4610425</v>
      </c>
      <c r="F128" s="1" t="s">
        <v>87</v>
      </c>
      <c r="G128" s="46" t="s">
        <v>66</v>
      </c>
    </row>
    <row r="129" spans="2:7" x14ac:dyDescent="0.2">
      <c r="B129" s="66">
        <v>4086</v>
      </c>
      <c r="C129" s="42">
        <v>708300</v>
      </c>
      <c r="D129" s="54">
        <v>4610430</v>
      </c>
      <c r="F129" s="1" t="s">
        <v>87</v>
      </c>
      <c r="G129" s="47" t="s">
        <v>170</v>
      </c>
    </row>
    <row r="130" spans="2:7" x14ac:dyDescent="0.2">
      <c r="B130" s="66">
        <v>4086</v>
      </c>
      <c r="C130" s="42">
        <v>618140</v>
      </c>
      <c r="D130" s="54">
        <v>4620031</v>
      </c>
      <c r="F130" s="1" t="s">
        <v>87</v>
      </c>
      <c r="G130" s="47" t="s">
        <v>171</v>
      </c>
    </row>
    <row r="131" spans="2:7" x14ac:dyDescent="0.2">
      <c r="B131" s="66">
        <v>4086</v>
      </c>
      <c r="C131" s="42">
        <v>938120</v>
      </c>
      <c r="D131" s="54">
        <v>4931899</v>
      </c>
      <c r="F131" s="1" t="s">
        <v>87</v>
      </c>
      <c r="G131" s="47" t="s">
        <v>172</v>
      </c>
    </row>
    <row r="132" spans="2:7" x14ac:dyDescent="0.2">
      <c r="B132" s="66">
        <v>4086</v>
      </c>
      <c r="C132" s="42">
        <v>408110</v>
      </c>
      <c r="D132" s="54">
        <v>4932201</v>
      </c>
      <c r="F132" s="1" t="s">
        <v>87</v>
      </c>
      <c r="G132" s="47" t="s">
        <v>173</v>
      </c>
    </row>
    <row r="133" spans="2:7" x14ac:dyDescent="0.2">
      <c r="B133" s="66">
        <v>4086</v>
      </c>
      <c r="C133" s="42">
        <v>408120</v>
      </c>
      <c r="D133" s="54">
        <v>4932302</v>
      </c>
      <c r="F133" s="1" t="s">
        <v>87</v>
      </c>
      <c r="G133" s="47" t="s">
        <v>174</v>
      </c>
    </row>
    <row r="134" spans="2:7" x14ac:dyDescent="0.2">
      <c r="B134" s="66">
        <v>4086</v>
      </c>
      <c r="C134" s="42">
        <v>408130</v>
      </c>
      <c r="D134" s="54">
        <v>4932303</v>
      </c>
      <c r="F134" s="1" t="s">
        <v>87</v>
      </c>
      <c r="G134" s="47" t="s">
        <v>175</v>
      </c>
    </row>
    <row r="135" spans="2:7" x14ac:dyDescent="0.2">
      <c r="B135" s="66">
        <v>4086</v>
      </c>
      <c r="C135" s="42">
        <v>408140</v>
      </c>
      <c r="D135" s="54">
        <v>4932305</v>
      </c>
      <c r="F135" s="1" t="s">
        <v>87</v>
      </c>
      <c r="G135" s="47" t="s">
        <v>176</v>
      </c>
    </row>
    <row r="136" spans="2:7" x14ac:dyDescent="0.2">
      <c r="B136" s="66">
        <v>4086</v>
      </c>
      <c r="C136" s="42">
        <v>238110</v>
      </c>
      <c r="D136" s="54">
        <v>4932721</v>
      </c>
      <c r="F136" s="1" t="s">
        <v>87</v>
      </c>
      <c r="G136" s="47" t="s">
        <v>177</v>
      </c>
    </row>
    <row r="137" spans="2:7" x14ac:dyDescent="0.2">
      <c r="B137" s="66">
        <v>4086</v>
      </c>
      <c r="C137" s="42">
        <v>238120</v>
      </c>
      <c r="D137" s="54">
        <v>4932729</v>
      </c>
      <c r="F137" s="1" t="s">
        <v>87</v>
      </c>
      <c r="G137" s="46" t="s">
        <v>456</v>
      </c>
    </row>
    <row r="138" spans="2:7" x14ac:dyDescent="0.2">
      <c r="B138" s="66">
        <v>4086</v>
      </c>
      <c r="C138" s="42">
        <v>238130</v>
      </c>
      <c r="D138" s="54">
        <v>4932731</v>
      </c>
      <c r="F138" s="1" t="s">
        <v>87</v>
      </c>
      <c r="G138" s="47" t="s">
        <v>178</v>
      </c>
    </row>
    <row r="139" spans="2:7" x14ac:dyDescent="0.2">
      <c r="B139" s="66">
        <v>4086</v>
      </c>
      <c r="C139" s="42">
        <v>238140</v>
      </c>
      <c r="D139" s="54">
        <v>4932743</v>
      </c>
      <c r="F139" s="1" t="s">
        <v>87</v>
      </c>
      <c r="G139" s="47" t="s">
        <v>179</v>
      </c>
    </row>
    <row r="140" spans="2:7" x14ac:dyDescent="0.2">
      <c r="B140" s="66">
        <v>4086</v>
      </c>
      <c r="C140" s="42">
        <v>318110</v>
      </c>
      <c r="D140" s="54">
        <v>5951020</v>
      </c>
      <c r="F140" s="1" t="s">
        <v>87</v>
      </c>
      <c r="G140" s="47" t="s">
        <v>86</v>
      </c>
    </row>
    <row r="141" spans="2:7" x14ac:dyDescent="0.2">
      <c r="B141" s="66">
        <v>4086</v>
      </c>
      <c r="C141" s="42">
        <v>318120</v>
      </c>
      <c r="D141" s="54">
        <v>5951021</v>
      </c>
      <c r="F141" s="1" t="s">
        <v>87</v>
      </c>
      <c r="G141" s="46" t="s">
        <v>85</v>
      </c>
    </row>
    <row r="142" spans="2:7" x14ac:dyDescent="0.2">
      <c r="B142" s="66">
        <v>4086</v>
      </c>
      <c r="C142" s="42">
        <v>318130</v>
      </c>
      <c r="D142" s="54">
        <v>5951030</v>
      </c>
      <c r="F142" s="1" t="s">
        <v>87</v>
      </c>
      <c r="G142" s="47" t="s">
        <v>180</v>
      </c>
    </row>
    <row r="143" spans="2:7" x14ac:dyDescent="0.2">
      <c r="B143" s="66">
        <v>4086</v>
      </c>
      <c r="C143" s="42">
        <v>318140</v>
      </c>
      <c r="D143" s="54">
        <v>5951031</v>
      </c>
      <c r="F143" s="1" t="s">
        <v>87</v>
      </c>
      <c r="G143" s="47" t="s">
        <v>181</v>
      </c>
    </row>
    <row r="144" spans="2:7" x14ac:dyDescent="0.2">
      <c r="B144" s="66">
        <v>4086</v>
      </c>
      <c r="C144" s="42">
        <v>318150</v>
      </c>
      <c r="D144" s="54">
        <v>5951033</v>
      </c>
      <c r="F144" s="1" t="s">
        <v>87</v>
      </c>
      <c r="G144" s="47" t="s">
        <v>182</v>
      </c>
    </row>
    <row r="145" spans="2:7" x14ac:dyDescent="0.2">
      <c r="B145" s="66">
        <v>4086</v>
      </c>
      <c r="C145" s="42">
        <v>318160</v>
      </c>
      <c r="D145" s="54">
        <v>5951040</v>
      </c>
      <c r="F145" s="1" t="s">
        <v>87</v>
      </c>
      <c r="G145" s="47" t="s">
        <v>183</v>
      </c>
    </row>
    <row r="146" spans="2:7" x14ac:dyDescent="0.2">
      <c r="B146" s="66">
        <v>4086</v>
      </c>
      <c r="C146" s="42">
        <v>318170</v>
      </c>
      <c r="D146" s="54">
        <v>5951041</v>
      </c>
      <c r="F146" s="1" t="s">
        <v>87</v>
      </c>
      <c r="G146" s="47" t="s">
        <v>184</v>
      </c>
    </row>
    <row r="147" spans="2:7" x14ac:dyDescent="0.2">
      <c r="B147" s="66">
        <v>4086</v>
      </c>
      <c r="C147" s="42">
        <v>318180</v>
      </c>
      <c r="D147" s="54">
        <v>5951060</v>
      </c>
      <c r="F147" s="1" t="s">
        <v>87</v>
      </c>
      <c r="G147" s="46" t="s">
        <v>457</v>
      </c>
    </row>
    <row r="148" spans="2:7" x14ac:dyDescent="0.2">
      <c r="B148" s="66">
        <v>4086</v>
      </c>
      <c r="C148" s="42">
        <v>318190</v>
      </c>
      <c r="D148" s="54">
        <v>5951061</v>
      </c>
      <c r="F148" s="1" t="s">
        <v>87</v>
      </c>
      <c r="G148" s="47" t="s">
        <v>185</v>
      </c>
    </row>
    <row r="149" spans="2:7" x14ac:dyDescent="0.2">
      <c r="B149" s="66">
        <v>4086</v>
      </c>
      <c r="C149" s="42">
        <v>318200</v>
      </c>
      <c r="D149" s="54">
        <v>5951080</v>
      </c>
      <c r="F149" s="1" t="s">
        <v>87</v>
      </c>
      <c r="G149" s="47" t="s">
        <v>186</v>
      </c>
    </row>
    <row r="150" spans="2:7" x14ac:dyDescent="0.2">
      <c r="B150" s="66">
        <v>4086</v>
      </c>
      <c r="C150" s="42">
        <v>318210</v>
      </c>
      <c r="D150" s="54">
        <v>5951081</v>
      </c>
      <c r="F150" s="1" t="s">
        <v>87</v>
      </c>
      <c r="G150" s="47" t="s">
        <v>88</v>
      </c>
    </row>
    <row r="151" spans="2:7" x14ac:dyDescent="0.2">
      <c r="B151" s="66">
        <v>4086</v>
      </c>
      <c r="C151" s="42">
        <v>318220</v>
      </c>
      <c r="D151" s="54">
        <v>5951120</v>
      </c>
      <c r="F151" s="1" t="s">
        <v>87</v>
      </c>
      <c r="G151" s="47" t="s">
        <v>187</v>
      </c>
    </row>
    <row r="152" spans="2:7" x14ac:dyDescent="0.2">
      <c r="B152" s="66">
        <v>4086</v>
      </c>
      <c r="C152" s="42">
        <v>318230</v>
      </c>
      <c r="D152" s="54">
        <v>5951140</v>
      </c>
      <c r="F152" s="1" t="s">
        <v>87</v>
      </c>
      <c r="G152" s="47" t="s">
        <v>188</v>
      </c>
    </row>
    <row r="153" spans="2:7" x14ac:dyDescent="0.2">
      <c r="B153" s="66">
        <v>4086</v>
      </c>
      <c r="C153" s="42">
        <v>318240</v>
      </c>
      <c r="D153" s="54">
        <v>5951160</v>
      </c>
      <c r="F153" s="1" t="s">
        <v>87</v>
      </c>
      <c r="G153" s="47" t="s">
        <v>189</v>
      </c>
    </row>
    <row r="154" spans="2:7" x14ac:dyDescent="0.2">
      <c r="B154" s="66">
        <v>4086</v>
      </c>
      <c r="C154" s="42">
        <v>318250</v>
      </c>
      <c r="D154" s="54">
        <v>5952040</v>
      </c>
      <c r="F154" s="1" t="s">
        <v>87</v>
      </c>
      <c r="G154" s="47" t="s">
        <v>190</v>
      </c>
    </row>
    <row r="155" spans="2:7" x14ac:dyDescent="0.2">
      <c r="B155" s="66">
        <v>4086</v>
      </c>
      <c r="C155" s="42">
        <v>318260</v>
      </c>
      <c r="D155" s="54">
        <v>5952070</v>
      </c>
      <c r="F155" s="1" t="s">
        <v>87</v>
      </c>
      <c r="G155" s="47" t="s">
        <v>191</v>
      </c>
    </row>
    <row r="156" spans="2:7" x14ac:dyDescent="0.2">
      <c r="B156" s="66">
        <v>4086</v>
      </c>
      <c r="C156" s="42">
        <v>318270</v>
      </c>
      <c r="D156" s="54">
        <v>5952080</v>
      </c>
      <c r="F156" s="1" t="s">
        <v>87</v>
      </c>
      <c r="G156" s="47" t="s">
        <v>192</v>
      </c>
    </row>
    <row r="157" spans="2:7" x14ac:dyDescent="0.2">
      <c r="B157" s="66">
        <v>4086</v>
      </c>
      <c r="C157" s="42">
        <v>318280</v>
      </c>
      <c r="D157" s="54">
        <v>5952090</v>
      </c>
      <c r="F157" s="1" t="s">
        <v>87</v>
      </c>
      <c r="G157" s="47" t="s">
        <v>458</v>
      </c>
    </row>
    <row r="158" spans="2:7" x14ac:dyDescent="0.2">
      <c r="B158" s="66">
        <v>4086</v>
      </c>
      <c r="C158" s="42">
        <v>318290</v>
      </c>
      <c r="D158" s="54">
        <v>5952110</v>
      </c>
      <c r="F158" s="1" t="s">
        <v>87</v>
      </c>
      <c r="G158" s="47" t="s">
        <v>459</v>
      </c>
    </row>
    <row r="159" spans="2:7" x14ac:dyDescent="0.2">
      <c r="B159" s="66">
        <v>4086</v>
      </c>
      <c r="C159" s="42">
        <v>318300</v>
      </c>
      <c r="D159" s="54">
        <v>5953100</v>
      </c>
      <c r="F159" s="1" t="s">
        <v>87</v>
      </c>
      <c r="G159" s="47" t="s">
        <v>460</v>
      </c>
    </row>
    <row r="160" spans="2:7" x14ac:dyDescent="0.2">
      <c r="B160" s="66">
        <v>4086</v>
      </c>
      <c r="C160" s="42">
        <v>348110</v>
      </c>
      <c r="D160" s="54">
        <v>5954025</v>
      </c>
      <c r="F160" s="1" t="s">
        <v>87</v>
      </c>
      <c r="G160" s="47" t="s">
        <v>461</v>
      </c>
    </row>
    <row r="161" spans="2:7" x14ac:dyDescent="0.2">
      <c r="B161" s="66">
        <v>4086</v>
      </c>
      <c r="C161" s="42">
        <v>348120</v>
      </c>
      <c r="D161" s="54">
        <v>5954042</v>
      </c>
      <c r="F161" s="1" t="s">
        <v>87</v>
      </c>
      <c r="G161" s="47" t="s">
        <v>462</v>
      </c>
    </row>
    <row r="162" spans="2:7" x14ac:dyDescent="0.2">
      <c r="B162" s="66">
        <v>4086</v>
      </c>
      <c r="C162" s="42">
        <v>348130</v>
      </c>
      <c r="D162" s="54">
        <v>5954045</v>
      </c>
      <c r="F162" s="1" t="s">
        <v>87</v>
      </c>
      <c r="G162" s="47" t="s">
        <v>463</v>
      </c>
    </row>
    <row r="163" spans="2:7" x14ac:dyDescent="0.2">
      <c r="B163" s="66">
        <v>4086</v>
      </c>
      <c r="C163" s="42">
        <v>348140</v>
      </c>
      <c r="D163" s="54">
        <v>5954061</v>
      </c>
      <c r="F163" s="1" t="s">
        <v>87</v>
      </c>
      <c r="G163" s="47" t="s">
        <v>464</v>
      </c>
    </row>
    <row r="164" spans="2:7" x14ac:dyDescent="0.2">
      <c r="B164" s="66">
        <v>4086</v>
      </c>
      <c r="C164" s="42">
        <v>348150</v>
      </c>
      <c r="D164" s="54">
        <v>5954075</v>
      </c>
      <c r="F164" s="1" t="s">
        <v>87</v>
      </c>
      <c r="G164" s="47" t="s">
        <v>465</v>
      </c>
    </row>
    <row r="165" spans="2:7" x14ac:dyDescent="0.2">
      <c r="B165" s="66">
        <v>4086</v>
      </c>
      <c r="C165" s="42">
        <v>348160</v>
      </c>
      <c r="D165" s="54">
        <v>5954083</v>
      </c>
      <c r="F165" s="1" t="s">
        <v>87</v>
      </c>
      <c r="G165" s="47" t="s">
        <v>466</v>
      </c>
    </row>
    <row r="166" spans="2:7" x14ac:dyDescent="0.2">
      <c r="B166" s="66">
        <v>4086</v>
      </c>
      <c r="C166" s="42">
        <v>348170</v>
      </c>
      <c r="D166" s="54">
        <v>5954091</v>
      </c>
      <c r="F166" s="1" t="s">
        <v>87</v>
      </c>
      <c r="G166" s="47" t="s">
        <v>467</v>
      </c>
    </row>
    <row r="167" spans="2:7" x14ac:dyDescent="0.2">
      <c r="B167" s="66">
        <v>4086</v>
      </c>
      <c r="C167" s="42">
        <v>368290</v>
      </c>
      <c r="D167" s="54">
        <v>5954260</v>
      </c>
      <c r="F167" s="1" t="s">
        <v>87</v>
      </c>
      <c r="G167" s="47" t="s">
        <v>513</v>
      </c>
    </row>
    <row r="168" spans="2:7" x14ac:dyDescent="0.2">
      <c r="B168" s="66">
        <v>4086</v>
      </c>
      <c r="C168" s="42">
        <v>318310</v>
      </c>
      <c r="D168" s="54">
        <v>5974009</v>
      </c>
      <c r="F168" s="1" t="s">
        <v>87</v>
      </c>
      <c r="G168" s="47" t="s">
        <v>193</v>
      </c>
    </row>
    <row r="169" spans="2:7" x14ac:dyDescent="0.2">
      <c r="B169" s="66">
        <v>4086</v>
      </c>
      <c r="C169" s="42">
        <v>318320</v>
      </c>
      <c r="D169" s="54">
        <v>5974010</v>
      </c>
      <c r="F169" s="1" t="s">
        <v>87</v>
      </c>
      <c r="G169" s="46" t="s">
        <v>468</v>
      </c>
    </row>
    <row r="170" spans="2:7" x14ac:dyDescent="0.2">
      <c r="B170" s="66">
        <v>4086</v>
      </c>
      <c r="C170" s="42">
        <v>318330</v>
      </c>
      <c r="D170" s="54">
        <v>5974020</v>
      </c>
      <c r="F170" s="1" t="s">
        <v>87</v>
      </c>
      <c r="G170" s="47" t="s">
        <v>194</v>
      </c>
    </row>
    <row r="171" spans="2:7" x14ac:dyDescent="0.2">
      <c r="B171" s="66">
        <v>4086</v>
      </c>
      <c r="C171" s="42">
        <v>318340</v>
      </c>
      <c r="D171" s="54">
        <v>5974030</v>
      </c>
      <c r="F171" s="1" t="s">
        <v>87</v>
      </c>
      <c r="G171" s="47" t="s">
        <v>195</v>
      </c>
    </row>
    <row r="172" spans="2:7" x14ac:dyDescent="0.2">
      <c r="B172" s="66">
        <v>4086</v>
      </c>
      <c r="C172" s="42">
        <v>318350</v>
      </c>
      <c r="D172" s="54">
        <v>5974040</v>
      </c>
      <c r="F172" s="1" t="s">
        <v>87</v>
      </c>
      <c r="G172" s="47" t="s">
        <v>196</v>
      </c>
    </row>
    <row r="173" spans="2:7" x14ac:dyDescent="0.2">
      <c r="B173" s="66">
        <v>4086</v>
      </c>
      <c r="C173" s="42">
        <v>318360</v>
      </c>
      <c r="D173" s="54">
        <v>5974050</v>
      </c>
      <c r="F173" s="1" t="s">
        <v>87</v>
      </c>
      <c r="G173" s="46" t="s">
        <v>469</v>
      </c>
    </row>
    <row r="174" spans="2:7" x14ac:dyDescent="0.2">
      <c r="B174" s="66">
        <v>4086</v>
      </c>
      <c r="C174" s="42">
        <v>708310</v>
      </c>
      <c r="D174" s="54">
        <v>6605004</v>
      </c>
      <c r="F174" s="1" t="s">
        <v>87</v>
      </c>
      <c r="G174" s="47" t="s">
        <v>197</v>
      </c>
    </row>
    <row r="175" spans="2:7" x14ac:dyDescent="0.2">
      <c r="B175" s="66">
        <v>4086</v>
      </c>
      <c r="C175" s="42">
        <v>238150</v>
      </c>
      <c r="D175" s="54">
        <v>6801007</v>
      </c>
      <c r="F175" s="1" t="s">
        <v>87</v>
      </c>
      <c r="G175" s="47" t="s">
        <v>198</v>
      </c>
    </row>
    <row r="176" spans="2:7" x14ac:dyDescent="0.2">
      <c r="B176" s="66">
        <v>4086</v>
      </c>
      <c r="C176" s="42">
        <v>238160</v>
      </c>
      <c r="D176" s="54">
        <v>6801008</v>
      </c>
      <c r="F176" s="1" t="s">
        <v>87</v>
      </c>
      <c r="G176" s="47" t="s">
        <v>199</v>
      </c>
    </row>
    <row r="177" spans="2:7" x14ac:dyDescent="0.2">
      <c r="B177" s="66">
        <v>4086</v>
      </c>
      <c r="C177" s="42">
        <v>238170</v>
      </c>
      <c r="D177" s="54">
        <v>6802003</v>
      </c>
      <c r="F177" s="1" t="s">
        <v>87</v>
      </c>
      <c r="G177" s="47" t="s">
        <v>200</v>
      </c>
    </row>
    <row r="178" spans="2:7" x14ac:dyDescent="0.2">
      <c r="B178" s="66">
        <v>4086</v>
      </c>
      <c r="C178" s="42">
        <v>238180</v>
      </c>
      <c r="D178" s="54">
        <v>6802006</v>
      </c>
      <c r="F178" s="1" t="s">
        <v>87</v>
      </c>
      <c r="G178" s="47" t="s">
        <v>201</v>
      </c>
    </row>
    <row r="179" spans="2:7" x14ac:dyDescent="0.2">
      <c r="B179" s="66">
        <v>4086</v>
      </c>
      <c r="C179" s="42">
        <v>238190</v>
      </c>
      <c r="D179" s="54">
        <v>6814220</v>
      </c>
      <c r="F179" s="1" t="s">
        <v>87</v>
      </c>
      <c r="G179" s="47" t="s">
        <v>514</v>
      </c>
    </row>
    <row r="180" spans="2:7" x14ac:dyDescent="0.2">
      <c r="B180" s="66">
        <v>4086</v>
      </c>
      <c r="C180" s="42">
        <v>238200</v>
      </c>
      <c r="D180" s="54">
        <v>6814310</v>
      </c>
      <c r="F180" s="1" t="s">
        <v>87</v>
      </c>
      <c r="G180" s="47" t="s">
        <v>202</v>
      </c>
    </row>
    <row r="181" spans="2:7" x14ac:dyDescent="0.2">
      <c r="B181" s="66">
        <v>4086</v>
      </c>
      <c r="C181" s="42">
        <v>238210</v>
      </c>
      <c r="D181" s="54">
        <v>7000001</v>
      </c>
      <c r="F181" s="1" t="s">
        <v>87</v>
      </c>
      <c r="G181" s="46" t="s">
        <v>470</v>
      </c>
    </row>
    <row r="182" spans="2:7" x14ac:dyDescent="0.2">
      <c r="B182" s="66">
        <v>4086</v>
      </c>
      <c r="C182" s="42">
        <v>238220</v>
      </c>
      <c r="D182" s="54">
        <v>7000002</v>
      </c>
      <c r="F182" s="1" t="s">
        <v>87</v>
      </c>
      <c r="G182" s="46" t="s">
        <v>471</v>
      </c>
    </row>
    <row r="183" spans="2:7" x14ac:dyDescent="0.2">
      <c r="B183" s="66">
        <v>4086</v>
      </c>
      <c r="C183" s="42">
        <v>238230</v>
      </c>
      <c r="D183" s="54">
        <v>7000003</v>
      </c>
      <c r="F183" s="1" t="s">
        <v>87</v>
      </c>
      <c r="G183" s="47" t="s">
        <v>203</v>
      </c>
    </row>
    <row r="184" spans="2:7" x14ac:dyDescent="0.2">
      <c r="B184" s="66">
        <v>4086</v>
      </c>
      <c r="C184" s="42">
        <v>238240</v>
      </c>
      <c r="D184" s="54">
        <v>7000005</v>
      </c>
      <c r="F184" s="1" t="s">
        <v>87</v>
      </c>
      <c r="G184" s="47" t="s">
        <v>204</v>
      </c>
    </row>
    <row r="185" spans="2:7" x14ac:dyDescent="0.2">
      <c r="B185" s="66">
        <v>4086</v>
      </c>
      <c r="C185" s="42">
        <v>798130</v>
      </c>
      <c r="D185" s="54">
        <v>8014292</v>
      </c>
      <c r="F185" s="1" t="s">
        <v>87</v>
      </c>
      <c r="G185" s="47" t="s">
        <v>205</v>
      </c>
    </row>
    <row r="186" spans="2:7" x14ac:dyDescent="0.2">
      <c r="B186" s="66">
        <v>4086</v>
      </c>
      <c r="C186" s="42">
        <v>218210</v>
      </c>
      <c r="D186" s="54">
        <v>8103006</v>
      </c>
      <c r="F186" s="1" t="s">
        <v>87</v>
      </c>
      <c r="G186" s="47" t="s">
        <v>206</v>
      </c>
    </row>
    <row r="187" spans="2:7" x14ac:dyDescent="0.2">
      <c r="B187" s="66">
        <v>4086</v>
      </c>
      <c r="C187" s="42">
        <v>218220</v>
      </c>
      <c r="D187" s="54">
        <v>8103016</v>
      </c>
      <c r="F187" s="1" t="s">
        <v>87</v>
      </c>
      <c r="G187" s="47" t="s">
        <v>207</v>
      </c>
    </row>
    <row r="188" spans="2:7" x14ac:dyDescent="0.2">
      <c r="B188" s="66">
        <v>4086</v>
      </c>
      <c r="C188" s="42">
        <v>438140</v>
      </c>
      <c r="D188" s="54">
        <v>8103200</v>
      </c>
      <c r="F188" s="1" t="s">
        <v>87</v>
      </c>
      <c r="G188" s="47" t="s">
        <v>208</v>
      </c>
    </row>
    <row r="189" spans="2:7" x14ac:dyDescent="0.2">
      <c r="B189" s="66">
        <v>4086</v>
      </c>
      <c r="C189" s="42">
        <v>438150</v>
      </c>
      <c r="D189" s="54">
        <v>8103205</v>
      </c>
      <c r="F189" s="1" t="s">
        <v>87</v>
      </c>
      <c r="G189" s="47" t="s">
        <v>209</v>
      </c>
    </row>
    <row r="190" spans="2:7" x14ac:dyDescent="0.2">
      <c r="B190" s="66">
        <v>4086</v>
      </c>
      <c r="C190" s="42">
        <v>438160</v>
      </c>
      <c r="D190" s="54">
        <v>8103390</v>
      </c>
      <c r="F190" s="1" t="s">
        <v>87</v>
      </c>
      <c r="G190" s="47" t="s">
        <v>210</v>
      </c>
    </row>
    <row r="191" spans="2:7" x14ac:dyDescent="0.2">
      <c r="B191" s="66">
        <v>4086</v>
      </c>
      <c r="C191" s="42">
        <v>438170</v>
      </c>
      <c r="D191" s="54">
        <v>8103400</v>
      </c>
      <c r="F191" s="1" t="s">
        <v>87</v>
      </c>
      <c r="G191" s="47" t="s">
        <v>211</v>
      </c>
    </row>
    <row r="192" spans="2:7" x14ac:dyDescent="0.2">
      <c r="B192" s="66">
        <v>4086</v>
      </c>
      <c r="C192" s="42">
        <v>218230</v>
      </c>
      <c r="D192" s="54">
        <v>8107004</v>
      </c>
      <c r="F192" s="1" t="s">
        <v>87</v>
      </c>
      <c r="G192" s="47" t="s">
        <v>212</v>
      </c>
    </row>
    <row r="193" spans="2:7" x14ac:dyDescent="0.2">
      <c r="B193" s="66">
        <v>4086</v>
      </c>
      <c r="C193" s="42">
        <v>228130</v>
      </c>
      <c r="D193" s="54">
        <v>8400004</v>
      </c>
      <c r="F193" s="1" t="s">
        <v>87</v>
      </c>
      <c r="G193" s="46" t="s">
        <v>79</v>
      </c>
    </row>
    <row r="194" spans="2:7" x14ac:dyDescent="0.2">
      <c r="B194" s="66">
        <v>4086</v>
      </c>
      <c r="C194" s="42">
        <v>228140</v>
      </c>
      <c r="D194" s="54">
        <v>8400005</v>
      </c>
      <c r="F194" s="1" t="s">
        <v>87</v>
      </c>
      <c r="G194" s="46" t="s">
        <v>472</v>
      </c>
    </row>
    <row r="195" spans="2:7" x14ac:dyDescent="0.2">
      <c r="B195" s="66">
        <v>4086</v>
      </c>
      <c r="C195" s="42">
        <v>228150</v>
      </c>
      <c r="D195" s="54">
        <v>8400010</v>
      </c>
      <c r="F195" s="1" t="s">
        <v>87</v>
      </c>
      <c r="G195" s="46" t="s">
        <v>473</v>
      </c>
    </row>
    <row r="196" spans="2:7" x14ac:dyDescent="0.2">
      <c r="B196" s="66">
        <v>4086</v>
      </c>
      <c r="C196" s="42">
        <v>228160</v>
      </c>
      <c r="D196" s="54">
        <v>8400014</v>
      </c>
      <c r="F196" s="1" t="s">
        <v>87</v>
      </c>
      <c r="G196" s="46" t="s">
        <v>474</v>
      </c>
    </row>
    <row r="197" spans="2:7" x14ac:dyDescent="0.2">
      <c r="B197" s="66">
        <v>4086</v>
      </c>
      <c r="C197" s="42">
        <v>228170</v>
      </c>
      <c r="D197" s="54">
        <v>8400015</v>
      </c>
      <c r="F197" s="1" t="s">
        <v>87</v>
      </c>
      <c r="G197" s="47" t="s">
        <v>213</v>
      </c>
    </row>
    <row r="198" spans="2:7" x14ac:dyDescent="0.2">
      <c r="B198" s="66">
        <v>4086</v>
      </c>
      <c r="C198" s="42">
        <v>228180</v>
      </c>
      <c r="D198" s="54">
        <v>8400017</v>
      </c>
      <c r="F198" s="1" t="s">
        <v>87</v>
      </c>
      <c r="G198" s="46" t="s">
        <v>475</v>
      </c>
    </row>
    <row r="199" spans="2:7" x14ac:dyDescent="0.2">
      <c r="B199" s="66">
        <v>4086</v>
      </c>
      <c r="C199" s="42">
        <v>228190</v>
      </c>
      <c r="D199" s="54">
        <v>8400020</v>
      </c>
      <c r="F199" s="1" t="s">
        <v>87</v>
      </c>
      <c r="G199" s="47" t="s">
        <v>214</v>
      </c>
    </row>
    <row r="200" spans="2:7" x14ac:dyDescent="0.2">
      <c r="B200" s="66">
        <v>4086</v>
      </c>
      <c r="C200" s="42">
        <v>228200</v>
      </c>
      <c r="D200" s="54">
        <v>8400027</v>
      </c>
      <c r="F200" s="1" t="s">
        <v>87</v>
      </c>
      <c r="G200" s="47" t="s">
        <v>215</v>
      </c>
    </row>
    <row r="201" spans="2:7" x14ac:dyDescent="0.2">
      <c r="B201" s="66">
        <v>4086</v>
      </c>
      <c r="C201" s="42">
        <v>228210</v>
      </c>
      <c r="D201" s="54">
        <v>8400028</v>
      </c>
      <c r="F201" s="1" t="s">
        <v>87</v>
      </c>
      <c r="G201" s="47" t="s">
        <v>216</v>
      </c>
    </row>
    <row r="202" spans="2:7" x14ac:dyDescent="0.2">
      <c r="B202" s="66">
        <v>4086</v>
      </c>
      <c r="C202" s="42">
        <v>228220</v>
      </c>
      <c r="D202" s="54">
        <v>8400029</v>
      </c>
      <c r="F202" s="1" t="s">
        <v>87</v>
      </c>
      <c r="G202" s="47" t="s">
        <v>217</v>
      </c>
    </row>
    <row r="203" spans="2:7" x14ac:dyDescent="0.2">
      <c r="B203" s="66">
        <v>4086</v>
      </c>
      <c r="C203" s="42">
        <v>918160</v>
      </c>
      <c r="D203" s="54">
        <v>8400054</v>
      </c>
      <c r="F203" s="1" t="s">
        <v>87</v>
      </c>
      <c r="G203" s="47" t="s">
        <v>218</v>
      </c>
    </row>
    <row r="204" spans="2:7" x14ac:dyDescent="0.2">
      <c r="B204" s="66">
        <v>4086</v>
      </c>
      <c r="C204" s="42">
        <v>918170</v>
      </c>
      <c r="D204" s="54">
        <v>8400059</v>
      </c>
      <c r="F204" s="1" t="s">
        <v>87</v>
      </c>
      <c r="G204" s="47" t="s">
        <v>219</v>
      </c>
    </row>
    <row r="205" spans="2:7" x14ac:dyDescent="0.2">
      <c r="B205" s="66">
        <v>4086</v>
      </c>
      <c r="C205" s="42">
        <v>438180</v>
      </c>
      <c r="D205" s="54">
        <v>8400061</v>
      </c>
      <c r="F205" s="1" t="s">
        <v>87</v>
      </c>
      <c r="G205" s="47" t="s">
        <v>220</v>
      </c>
    </row>
    <row r="206" spans="2:7" x14ac:dyDescent="0.2">
      <c r="B206" s="66">
        <v>4086</v>
      </c>
      <c r="C206" s="42">
        <v>438190</v>
      </c>
      <c r="D206" s="54">
        <v>8400062</v>
      </c>
      <c r="F206" s="1" t="s">
        <v>87</v>
      </c>
      <c r="G206" s="47" t="s">
        <v>221</v>
      </c>
    </row>
    <row r="207" spans="2:7" x14ac:dyDescent="0.2">
      <c r="B207" s="66">
        <v>4086</v>
      </c>
      <c r="C207" s="42">
        <v>218240</v>
      </c>
      <c r="D207" s="54">
        <v>8400088</v>
      </c>
      <c r="F207" s="1" t="s">
        <v>87</v>
      </c>
      <c r="G207" s="47" t="s">
        <v>222</v>
      </c>
    </row>
    <row r="208" spans="2:7" x14ac:dyDescent="0.2">
      <c r="B208" s="66">
        <v>4086</v>
      </c>
      <c r="C208" s="42">
        <v>218250</v>
      </c>
      <c r="D208" s="54">
        <v>8400090</v>
      </c>
      <c r="F208" s="1" t="s">
        <v>87</v>
      </c>
      <c r="G208" s="47" t="s">
        <v>223</v>
      </c>
    </row>
    <row r="209" spans="2:7" x14ac:dyDescent="0.2">
      <c r="B209" s="66">
        <v>4086</v>
      </c>
      <c r="C209" s="42">
        <v>218260</v>
      </c>
      <c r="D209" s="54">
        <v>8600003</v>
      </c>
      <c r="F209" s="1" t="s">
        <v>87</v>
      </c>
      <c r="G209" s="46" t="s">
        <v>224</v>
      </c>
    </row>
    <row r="210" spans="2:7" x14ac:dyDescent="0.2">
      <c r="B210" s="66">
        <v>4086</v>
      </c>
      <c r="C210" s="42">
        <v>218270</v>
      </c>
      <c r="D210" s="54">
        <v>8600004</v>
      </c>
      <c r="F210" s="1" t="s">
        <v>87</v>
      </c>
      <c r="G210" s="46" t="s">
        <v>225</v>
      </c>
    </row>
    <row r="211" spans="2:7" x14ac:dyDescent="0.2">
      <c r="B211" s="66">
        <v>4086</v>
      </c>
      <c r="C211" s="42">
        <v>218280</v>
      </c>
      <c r="D211" s="54">
        <v>8600005</v>
      </c>
      <c r="F211" s="1" t="s">
        <v>87</v>
      </c>
      <c r="G211" s="47" t="s">
        <v>226</v>
      </c>
    </row>
    <row r="212" spans="2:7" x14ac:dyDescent="0.2">
      <c r="B212" s="66">
        <v>4086</v>
      </c>
      <c r="C212" s="42">
        <v>218290</v>
      </c>
      <c r="D212" s="54">
        <v>8600103</v>
      </c>
      <c r="F212" s="1" t="s">
        <v>87</v>
      </c>
      <c r="G212" s="46" t="s">
        <v>227</v>
      </c>
    </row>
    <row r="213" spans="2:7" x14ac:dyDescent="0.2">
      <c r="B213" s="66">
        <v>4086</v>
      </c>
      <c r="C213" s="42">
        <v>218300</v>
      </c>
      <c r="D213" s="54">
        <v>8600104</v>
      </c>
      <c r="F213" s="1" t="s">
        <v>87</v>
      </c>
      <c r="G213" s="46" t="s">
        <v>476</v>
      </c>
    </row>
    <row r="214" spans="2:7" x14ac:dyDescent="0.2">
      <c r="B214" s="66">
        <v>4086</v>
      </c>
      <c r="C214" s="42">
        <v>218310</v>
      </c>
      <c r="D214" s="54">
        <v>8600105</v>
      </c>
      <c r="F214" s="1" t="s">
        <v>87</v>
      </c>
      <c r="G214" s="46" t="s">
        <v>477</v>
      </c>
    </row>
    <row r="215" spans="2:7" x14ac:dyDescent="0.2">
      <c r="B215" s="66">
        <v>4086</v>
      </c>
      <c r="C215" s="42">
        <v>218320</v>
      </c>
      <c r="D215" s="54">
        <v>8600106</v>
      </c>
      <c r="F215" s="1" t="s">
        <v>87</v>
      </c>
      <c r="G215" s="46" t="s">
        <v>228</v>
      </c>
    </row>
    <row r="216" spans="2:7" x14ac:dyDescent="0.2">
      <c r="B216" s="66">
        <v>4086</v>
      </c>
      <c r="C216" s="42">
        <v>218330</v>
      </c>
      <c r="D216" s="54">
        <v>8600108</v>
      </c>
      <c r="F216" s="1" t="s">
        <v>87</v>
      </c>
      <c r="G216" s="46" t="s">
        <v>229</v>
      </c>
    </row>
    <row r="217" spans="2:7" x14ac:dyDescent="0.2">
      <c r="B217" s="66">
        <v>4086</v>
      </c>
      <c r="C217" s="42">
        <v>218340</v>
      </c>
      <c r="D217" s="54">
        <v>8600110</v>
      </c>
      <c r="F217" s="1" t="s">
        <v>87</v>
      </c>
      <c r="G217" s="46" t="s">
        <v>230</v>
      </c>
    </row>
    <row r="218" spans="2:7" x14ac:dyDescent="0.2">
      <c r="B218" s="66">
        <v>4086</v>
      </c>
      <c r="C218" s="42">
        <v>218350</v>
      </c>
      <c r="D218" s="54">
        <v>8600112</v>
      </c>
      <c r="E218" s="40"/>
      <c r="F218" s="1" t="s">
        <v>87</v>
      </c>
      <c r="G218" s="46" t="s">
        <v>478</v>
      </c>
    </row>
    <row r="219" spans="2:7" x14ac:dyDescent="0.2">
      <c r="B219" s="66">
        <v>4086</v>
      </c>
      <c r="C219" s="42">
        <v>218360</v>
      </c>
      <c r="D219" s="54">
        <v>8600113</v>
      </c>
      <c r="E219" s="40"/>
      <c r="F219" s="1" t="s">
        <v>87</v>
      </c>
      <c r="G219" s="46" t="s">
        <v>231</v>
      </c>
    </row>
    <row r="220" spans="2:7" x14ac:dyDescent="0.2">
      <c r="B220" s="66">
        <v>4086</v>
      </c>
      <c r="C220" s="42">
        <v>218370</v>
      </c>
      <c r="D220" s="54">
        <v>8600114</v>
      </c>
      <c r="F220" s="1" t="s">
        <v>87</v>
      </c>
      <c r="G220" s="46" t="s">
        <v>232</v>
      </c>
    </row>
    <row r="221" spans="2:7" x14ac:dyDescent="0.2">
      <c r="B221" s="66">
        <v>4086</v>
      </c>
      <c r="C221" s="42">
        <v>218380</v>
      </c>
      <c r="D221" s="54">
        <v>8600115</v>
      </c>
      <c r="F221" s="1" t="s">
        <v>87</v>
      </c>
      <c r="G221" s="47" t="s">
        <v>233</v>
      </c>
    </row>
    <row r="222" spans="2:7" x14ac:dyDescent="0.2">
      <c r="B222" s="66">
        <v>4086</v>
      </c>
      <c r="C222" s="42">
        <v>218390</v>
      </c>
      <c r="D222" s="54">
        <v>8600118</v>
      </c>
      <c r="F222" s="1" t="s">
        <v>87</v>
      </c>
      <c r="G222" s="47" t="s">
        <v>234</v>
      </c>
    </row>
    <row r="223" spans="2:7" x14ac:dyDescent="0.2">
      <c r="B223" s="66">
        <v>4086</v>
      </c>
      <c r="C223" s="42">
        <v>218400</v>
      </c>
      <c r="D223" s="54">
        <v>8600121</v>
      </c>
      <c r="F223" s="1" t="s">
        <v>87</v>
      </c>
      <c r="G223" s="47" t="s">
        <v>235</v>
      </c>
    </row>
    <row r="224" spans="2:7" x14ac:dyDescent="0.2">
      <c r="B224" s="66">
        <v>4086</v>
      </c>
      <c r="C224" s="42">
        <v>238250</v>
      </c>
      <c r="D224" s="54">
        <v>8910026</v>
      </c>
      <c r="F224" s="1" t="s">
        <v>87</v>
      </c>
      <c r="G224" s="47" t="s">
        <v>236</v>
      </c>
    </row>
    <row r="225" spans="1:7" x14ac:dyDescent="0.2">
      <c r="A225" s="40"/>
      <c r="B225" s="66">
        <v>4086</v>
      </c>
      <c r="C225" s="42">
        <v>238260</v>
      </c>
      <c r="D225" s="54">
        <v>8910031</v>
      </c>
      <c r="F225" s="1" t="s">
        <v>87</v>
      </c>
      <c r="G225" s="47" t="s">
        <v>237</v>
      </c>
    </row>
    <row r="226" spans="1:7" x14ac:dyDescent="0.2">
      <c r="B226" s="66">
        <v>4086</v>
      </c>
      <c r="C226" s="42">
        <v>238270</v>
      </c>
      <c r="D226" s="54">
        <v>8910036</v>
      </c>
      <c r="F226" s="1" t="s">
        <v>87</v>
      </c>
      <c r="G226" s="47" t="s">
        <v>238</v>
      </c>
    </row>
    <row r="227" spans="1:7" x14ac:dyDescent="0.2">
      <c r="B227" s="66">
        <v>4086</v>
      </c>
      <c r="C227" s="42">
        <v>238280</v>
      </c>
      <c r="D227" s="54">
        <v>8910251</v>
      </c>
      <c r="F227" s="1" t="s">
        <v>87</v>
      </c>
      <c r="G227" s="47" t="s">
        <v>239</v>
      </c>
    </row>
    <row r="228" spans="1:7" x14ac:dyDescent="0.2">
      <c r="B228" s="66">
        <v>4086</v>
      </c>
      <c r="C228" s="42">
        <v>238290</v>
      </c>
      <c r="D228" s="54">
        <v>8910736</v>
      </c>
      <c r="F228" s="1" t="s">
        <v>87</v>
      </c>
      <c r="G228" s="47" t="s">
        <v>240</v>
      </c>
    </row>
    <row r="229" spans="1:7" x14ac:dyDescent="0.2">
      <c r="B229" s="66">
        <v>4086</v>
      </c>
      <c r="C229" s="42">
        <v>238300</v>
      </c>
      <c r="D229" s="54">
        <v>8911011</v>
      </c>
      <c r="F229" s="1" t="s">
        <v>87</v>
      </c>
      <c r="G229" s="47" t="s">
        <v>241</v>
      </c>
    </row>
    <row r="230" spans="1:7" x14ac:dyDescent="0.2">
      <c r="B230" s="66">
        <v>4086</v>
      </c>
      <c r="C230" s="42">
        <v>238310</v>
      </c>
      <c r="D230" s="54">
        <v>8911021</v>
      </c>
      <c r="F230" s="1" t="s">
        <v>87</v>
      </c>
      <c r="G230" s="47" t="s">
        <v>242</v>
      </c>
    </row>
    <row r="231" spans="1:7" x14ac:dyDescent="0.2">
      <c r="B231" s="66">
        <v>4086</v>
      </c>
      <c r="C231" s="42">
        <v>238320</v>
      </c>
      <c r="D231" s="54">
        <v>8911026</v>
      </c>
      <c r="F231" s="1" t="s">
        <v>87</v>
      </c>
      <c r="G231" s="47" t="s">
        <v>243</v>
      </c>
    </row>
    <row r="232" spans="1:7" x14ac:dyDescent="0.2">
      <c r="B232" s="66">
        <v>4086</v>
      </c>
      <c r="C232" s="42">
        <v>238330</v>
      </c>
      <c r="D232" s="54">
        <v>8911036</v>
      </c>
      <c r="F232" s="1" t="s">
        <v>87</v>
      </c>
      <c r="G232" s="47" t="s">
        <v>244</v>
      </c>
    </row>
    <row r="233" spans="1:7" x14ac:dyDescent="0.2">
      <c r="B233" s="66">
        <v>4086</v>
      </c>
      <c r="C233" s="42">
        <v>238340</v>
      </c>
      <c r="D233" s="54">
        <v>8911041</v>
      </c>
      <c r="F233" s="1" t="s">
        <v>87</v>
      </c>
      <c r="G233" s="47" t="s">
        <v>245</v>
      </c>
    </row>
    <row r="234" spans="1:7" x14ac:dyDescent="0.2">
      <c r="B234" s="66">
        <v>4086</v>
      </c>
      <c r="C234" s="42">
        <v>238350</v>
      </c>
      <c r="D234" s="54">
        <v>8911046</v>
      </c>
      <c r="F234" s="1" t="s">
        <v>87</v>
      </c>
      <c r="G234" s="47" t="s">
        <v>246</v>
      </c>
    </row>
    <row r="235" spans="1:7" x14ac:dyDescent="0.2">
      <c r="B235" s="66">
        <v>4086</v>
      </c>
      <c r="C235" s="42">
        <v>238360</v>
      </c>
      <c r="D235" s="54">
        <v>8911111</v>
      </c>
      <c r="F235" s="1" t="s">
        <v>87</v>
      </c>
      <c r="G235" s="47" t="s">
        <v>247</v>
      </c>
    </row>
    <row r="236" spans="1:7" x14ac:dyDescent="0.2">
      <c r="B236" s="66">
        <v>4086</v>
      </c>
      <c r="C236" s="42">
        <v>238370</v>
      </c>
      <c r="D236" s="54">
        <v>8911121</v>
      </c>
      <c r="F236" s="1" t="s">
        <v>87</v>
      </c>
      <c r="G236" s="47" t="s">
        <v>248</v>
      </c>
    </row>
    <row r="237" spans="1:7" x14ac:dyDescent="0.2">
      <c r="B237" s="66">
        <v>4086</v>
      </c>
      <c r="C237" s="42">
        <v>238380</v>
      </c>
      <c r="D237" s="54">
        <v>8911141</v>
      </c>
      <c r="F237" s="1" t="s">
        <v>87</v>
      </c>
      <c r="G237" s="47" t="s">
        <v>249</v>
      </c>
    </row>
    <row r="238" spans="1:7" x14ac:dyDescent="0.2">
      <c r="B238" s="66">
        <v>4086</v>
      </c>
      <c r="C238" s="42">
        <v>238390</v>
      </c>
      <c r="D238" s="54">
        <v>8911186</v>
      </c>
      <c r="F238" s="1" t="s">
        <v>87</v>
      </c>
      <c r="G238" s="47" t="s">
        <v>250</v>
      </c>
    </row>
    <row r="239" spans="1:7" x14ac:dyDescent="0.2">
      <c r="B239" s="66">
        <v>4086</v>
      </c>
      <c r="C239" s="42">
        <v>238400</v>
      </c>
      <c r="D239" s="54">
        <v>8911191</v>
      </c>
      <c r="F239" s="1" t="s">
        <v>87</v>
      </c>
      <c r="G239" s="47" t="s">
        <v>251</v>
      </c>
    </row>
    <row r="240" spans="1:7" x14ac:dyDescent="0.2">
      <c r="B240" s="66">
        <v>4086</v>
      </c>
      <c r="C240" s="42">
        <v>238410</v>
      </c>
      <c r="D240" s="54">
        <v>8911196</v>
      </c>
      <c r="F240" s="1" t="s">
        <v>87</v>
      </c>
      <c r="G240" s="47" t="s">
        <v>252</v>
      </c>
    </row>
    <row r="241" spans="2:7" x14ac:dyDescent="0.2">
      <c r="B241" s="66">
        <v>4086</v>
      </c>
      <c r="C241" s="42">
        <v>238420</v>
      </c>
      <c r="D241" s="54">
        <v>8911251</v>
      </c>
      <c r="F241" s="1" t="s">
        <v>87</v>
      </c>
      <c r="G241" s="47" t="s">
        <v>253</v>
      </c>
    </row>
    <row r="242" spans="2:7" x14ac:dyDescent="0.2">
      <c r="B242" s="66">
        <v>4086</v>
      </c>
      <c r="C242" s="42">
        <v>238430</v>
      </c>
      <c r="D242" s="54">
        <v>8991234</v>
      </c>
      <c r="F242" s="1" t="s">
        <v>87</v>
      </c>
      <c r="G242" s="47" t="s">
        <v>254</v>
      </c>
    </row>
    <row r="243" spans="2:7" x14ac:dyDescent="0.2">
      <c r="B243" s="66">
        <v>4086</v>
      </c>
      <c r="C243" s="42">
        <v>238440</v>
      </c>
      <c r="D243" s="54">
        <v>8991235</v>
      </c>
      <c r="F243" s="1" t="s">
        <v>87</v>
      </c>
      <c r="G243" s="47" t="s">
        <v>255</v>
      </c>
    </row>
    <row r="244" spans="2:7" x14ac:dyDescent="0.2">
      <c r="B244" s="66">
        <v>4086</v>
      </c>
      <c r="C244" s="42">
        <v>818130</v>
      </c>
      <c r="D244" s="54">
        <v>9511640</v>
      </c>
      <c r="F244" s="1" t="s">
        <v>87</v>
      </c>
      <c r="G244" s="47" t="s">
        <v>256</v>
      </c>
    </row>
    <row r="245" spans="2:7" x14ac:dyDescent="0.2">
      <c r="B245" s="66">
        <v>4086</v>
      </c>
      <c r="C245" s="42">
        <v>798140</v>
      </c>
      <c r="D245" s="54">
        <v>9956596</v>
      </c>
      <c r="F245" s="1" t="s">
        <v>87</v>
      </c>
      <c r="G245" s="47" t="s">
        <v>257</v>
      </c>
    </row>
    <row r="246" spans="2:7" x14ac:dyDescent="0.2">
      <c r="B246" s="66">
        <v>4086</v>
      </c>
      <c r="C246" s="42">
        <v>218410</v>
      </c>
      <c r="D246" s="54">
        <v>10201052</v>
      </c>
      <c r="F246" s="1" t="s">
        <v>87</v>
      </c>
      <c r="G246" s="47" t="s">
        <v>258</v>
      </c>
    </row>
    <row r="247" spans="2:7" x14ac:dyDescent="0.2">
      <c r="B247" s="66">
        <v>4086</v>
      </c>
      <c r="C247" s="42">
        <v>218420</v>
      </c>
      <c r="D247" s="54">
        <v>10201091</v>
      </c>
      <c r="F247" s="1" t="s">
        <v>87</v>
      </c>
      <c r="G247" s="47" t="s">
        <v>259</v>
      </c>
    </row>
    <row r="248" spans="2:7" x14ac:dyDescent="0.2">
      <c r="B248" s="66">
        <v>4086</v>
      </c>
      <c r="C248" s="42">
        <v>938130</v>
      </c>
      <c r="D248" s="54">
        <v>10901103</v>
      </c>
      <c r="F248" s="1" t="s">
        <v>87</v>
      </c>
      <c r="G248" s="47" t="s">
        <v>260</v>
      </c>
    </row>
    <row r="249" spans="2:7" x14ac:dyDescent="0.2">
      <c r="B249" s="66">
        <v>4086</v>
      </c>
      <c r="C249" s="42">
        <v>938140</v>
      </c>
      <c r="D249" s="54">
        <v>15170022</v>
      </c>
      <c r="F249" s="1" t="s">
        <v>87</v>
      </c>
      <c r="G249" s="47" t="s">
        <v>261</v>
      </c>
    </row>
    <row r="250" spans="2:7" x14ac:dyDescent="0.2">
      <c r="B250" s="66">
        <v>4086</v>
      </c>
      <c r="C250" s="42">
        <v>938150</v>
      </c>
      <c r="D250" s="54">
        <v>15170043</v>
      </c>
      <c r="F250" s="1" t="s">
        <v>87</v>
      </c>
      <c r="G250" s="47" t="s">
        <v>262</v>
      </c>
    </row>
    <row r="251" spans="2:7" x14ac:dyDescent="0.2">
      <c r="B251" s="66">
        <v>4086</v>
      </c>
      <c r="C251" s="42">
        <v>938160</v>
      </c>
      <c r="D251" s="54">
        <v>15170061</v>
      </c>
      <c r="F251" s="1" t="s">
        <v>87</v>
      </c>
      <c r="G251" s="47" t="s">
        <v>263</v>
      </c>
    </row>
    <row r="252" spans="2:7" x14ac:dyDescent="0.2">
      <c r="B252" s="66">
        <v>4086</v>
      </c>
      <c r="C252" s="42">
        <v>708320</v>
      </c>
      <c r="D252" s="54">
        <v>15240067</v>
      </c>
      <c r="F252" s="1" t="s">
        <v>87</v>
      </c>
      <c r="G252" s="47" t="s">
        <v>264</v>
      </c>
    </row>
    <row r="253" spans="2:7" x14ac:dyDescent="0.2">
      <c r="B253" s="66">
        <v>4086</v>
      </c>
      <c r="C253" s="42">
        <v>318370</v>
      </c>
      <c r="D253" s="54">
        <v>15250122</v>
      </c>
      <c r="F253" s="1" t="s">
        <v>87</v>
      </c>
      <c r="G253" s="47" t="s">
        <v>265</v>
      </c>
    </row>
    <row r="254" spans="2:7" x14ac:dyDescent="0.2">
      <c r="B254" s="66">
        <v>4086</v>
      </c>
      <c r="C254" s="42">
        <v>648280</v>
      </c>
      <c r="D254" s="54">
        <v>22293007</v>
      </c>
      <c r="F254" s="1" t="s">
        <v>87</v>
      </c>
      <c r="G254" s="46" t="s">
        <v>479</v>
      </c>
    </row>
    <row r="255" spans="2:7" x14ac:dyDescent="0.2">
      <c r="B255" s="66">
        <v>4086</v>
      </c>
      <c r="C255" s="42">
        <v>818140</v>
      </c>
      <c r="D255" s="54">
        <v>23828610</v>
      </c>
      <c r="F255" s="1" t="s">
        <v>87</v>
      </c>
      <c r="G255" s="47" t="s">
        <v>266</v>
      </c>
    </row>
    <row r="256" spans="2:7" x14ac:dyDescent="0.2">
      <c r="B256" s="66">
        <v>4086</v>
      </c>
      <c r="C256" s="42">
        <v>628120</v>
      </c>
      <c r="D256" s="54">
        <v>29103815</v>
      </c>
      <c r="F256" s="1" t="s">
        <v>87</v>
      </c>
      <c r="G256" s="47" t="s">
        <v>267</v>
      </c>
    </row>
    <row r="257" spans="2:7" x14ac:dyDescent="0.2">
      <c r="B257" s="66">
        <v>4086</v>
      </c>
      <c r="C257" s="42">
        <v>828140</v>
      </c>
      <c r="D257" s="54">
        <v>38305894</v>
      </c>
      <c r="F257" s="1" t="s">
        <v>87</v>
      </c>
      <c r="G257" s="46" t="s">
        <v>480</v>
      </c>
    </row>
    <row r="258" spans="2:7" x14ac:dyDescent="0.2">
      <c r="B258" s="66">
        <v>4086</v>
      </c>
      <c r="C258" s="42">
        <v>938170</v>
      </c>
      <c r="D258" s="54">
        <v>49318991</v>
      </c>
      <c r="F258" s="1" t="s">
        <v>87</v>
      </c>
      <c r="G258" s="47" t="s">
        <v>268</v>
      </c>
    </row>
    <row r="259" spans="2:7" x14ac:dyDescent="0.2">
      <c r="B259" s="66">
        <v>4086</v>
      </c>
      <c r="C259" s="42">
        <v>218430</v>
      </c>
      <c r="D259" s="54">
        <v>59511201</v>
      </c>
      <c r="F259" s="1" t="s">
        <v>87</v>
      </c>
      <c r="G259" s="46" t="s">
        <v>481</v>
      </c>
    </row>
    <row r="260" spans="2:7" x14ac:dyDescent="0.2">
      <c r="B260" s="66">
        <v>4086</v>
      </c>
      <c r="C260" s="42">
        <v>218440</v>
      </c>
      <c r="D260" s="54">
        <v>59520701</v>
      </c>
      <c r="F260" s="1" t="s">
        <v>87</v>
      </c>
      <c r="G260" s="47" t="s">
        <v>482</v>
      </c>
    </row>
    <row r="261" spans="2:7" x14ac:dyDescent="0.2">
      <c r="B261" s="66">
        <v>4086</v>
      </c>
      <c r="C261" s="42">
        <v>938180</v>
      </c>
      <c r="D261" s="54">
        <v>63300971</v>
      </c>
      <c r="F261" s="1" t="s">
        <v>87</v>
      </c>
      <c r="G261" s="47" t="s">
        <v>269</v>
      </c>
    </row>
    <row r="262" spans="2:7" x14ac:dyDescent="0.2">
      <c r="B262" s="66">
        <v>4086</v>
      </c>
      <c r="C262" s="42">
        <v>938190</v>
      </c>
      <c r="D262" s="54">
        <v>63300973</v>
      </c>
      <c r="F262" s="1" t="s">
        <v>87</v>
      </c>
      <c r="G262" s="47" t="s">
        <v>270</v>
      </c>
    </row>
    <row r="263" spans="2:7" x14ac:dyDescent="0.2">
      <c r="B263" s="66">
        <v>4086</v>
      </c>
      <c r="C263" s="42">
        <v>648290</v>
      </c>
      <c r="D263" s="54">
        <v>73274762</v>
      </c>
      <c r="F263" s="1" t="s">
        <v>87</v>
      </c>
      <c r="G263" s="47" t="s">
        <v>271</v>
      </c>
    </row>
    <row r="264" spans="2:7" x14ac:dyDescent="0.2">
      <c r="B264" s="66">
        <v>4086</v>
      </c>
      <c r="C264" s="42">
        <v>798150</v>
      </c>
      <c r="D264" s="54">
        <v>80145049</v>
      </c>
      <c r="F264" s="1" t="s">
        <v>87</v>
      </c>
      <c r="G264" s="47" t="s">
        <v>272</v>
      </c>
    </row>
    <row r="265" spans="2:7" x14ac:dyDescent="0.2">
      <c r="B265" s="66">
        <v>4086</v>
      </c>
      <c r="C265" s="42">
        <v>228230</v>
      </c>
      <c r="D265" s="54">
        <v>84000101</v>
      </c>
      <c r="F265" s="1" t="s">
        <v>87</v>
      </c>
      <c r="G265" s="47" t="s">
        <v>273</v>
      </c>
    </row>
    <row r="266" spans="2:7" x14ac:dyDescent="0.2">
      <c r="B266" s="66">
        <v>4086</v>
      </c>
      <c r="C266" s="42">
        <v>438200</v>
      </c>
      <c r="D266" s="54">
        <v>84000791</v>
      </c>
      <c r="F266" s="1" t="s">
        <v>87</v>
      </c>
      <c r="G266" s="46" t="s">
        <v>274</v>
      </c>
    </row>
    <row r="267" spans="2:7" x14ac:dyDescent="0.2">
      <c r="B267" s="66">
        <v>4086</v>
      </c>
      <c r="C267" s="42">
        <v>918180</v>
      </c>
      <c r="D267" s="54">
        <v>99060003</v>
      </c>
      <c r="F267" s="1" t="s">
        <v>87</v>
      </c>
      <c r="G267" s="46" t="s">
        <v>82</v>
      </c>
    </row>
    <row r="268" spans="2:7" x14ac:dyDescent="0.2">
      <c r="B268" s="66">
        <v>4086</v>
      </c>
      <c r="C268" s="42">
        <v>918190</v>
      </c>
      <c r="D268" s="54">
        <v>99060004</v>
      </c>
      <c r="F268" s="1" t="s">
        <v>87</v>
      </c>
      <c r="G268" s="47" t="s">
        <v>275</v>
      </c>
    </row>
    <row r="269" spans="2:7" x14ac:dyDescent="0.2">
      <c r="B269" s="66">
        <v>4086</v>
      </c>
      <c r="C269" s="42">
        <v>918200</v>
      </c>
      <c r="D269" s="54">
        <v>99060006</v>
      </c>
      <c r="F269" s="1" t="s">
        <v>87</v>
      </c>
      <c r="G269" s="46" t="s">
        <v>83</v>
      </c>
    </row>
    <row r="270" spans="2:7" x14ac:dyDescent="0.2">
      <c r="B270" s="66">
        <v>4086</v>
      </c>
      <c r="C270" s="42">
        <v>708330</v>
      </c>
      <c r="D270" s="54">
        <v>99070001</v>
      </c>
      <c r="F270" s="1" t="s">
        <v>87</v>
      </c>
      <c r="G270" s="47" t="s">
        <v>276</v>
      </c>
    </row>
    <row r="271" spans="2:7" x14ac:dyDescent="0.2">
      <c r="B271" s="66">
        <v>4086</v>
      </c>
      <c r="C271" s="42">
        <v>708340</v>
      </c>
      <c r="D271" s="54">
        <v>99070010</v>
      </c>
      <c r="F271" s="1" t="s">
        <v>87</v>
      </c>
      <c r="G271" s="47" t="s">
        <v>277</v>
      </c>
    </row>
    <row r="272" spans="2:7" x14ac:dyDescent="0.2">
      <c r="B272" s="66">
        <v>4086</v>
      </c>
      <c r="C272" s="42">
        <v>708350</v>
      </c>
      <c r="D272" s="54">
        <v>99080056</v>
      </c>
      <c r="F272" s="1" t="s">
        <v>87</v>
      </c>
      <c r="G272" s="46" t="s">
        <v>278</v>
      </c>
    </row>
    <row r="273" spans="2:7" x14ac:dyDescent="0.2">
      <c r="B273" s="66">
        <v>4086</v>
      </c>
      <c r="C273" s="42">
        <v>938200</v>
      </c>
      <c r="D273" s="54">
        <v>99150592</v>
      </c>
      <c r="F273" s="1" t="s">
        <v>87</v>
      </c>
      <c r="G273" s="46" t="s">
        <v>483</v>
      </c>
    </row>
    <row r="274" spans="2:7" x14ac:dyDescent="0.2">
      <c r="B274" s="66">
        <v>4086</v>
      </c>
      <c r="C274" s="42">
        <v>938210</v>
      </c>
      <c r="D274" s="54">
        <v>99150596</v>
      </c>
      <c r="F274" s="1" t="s">
        <v>87</v>
      </c>
      <c r="G274" s="46" t="s">
        <v>484</v>
      </c>
    </row>
    <row r="275" spans="2:7" x14ac:dyDescent="0.2">
      <c r="B275" s="66">
        <v>4086</v>
      </c>
      <c r="C275" s="42">
        <v>938220</v>
      </c>
      <c r="D275" s="54">
        <v>99220215</v>
      </c>
      <c r="F275" s="1" t="s">
        <v>87</v>
      </c>
      <c r="G275" s="47" t="s">
        <v>279</v>
      </c>
    </row>
    <row r="276" spans="2:7" x14ac:dyDescent="0.2">
      <c r="B276" s="66">
        <v>4086</v>
      </c>
      <c r="C276" s="42">
        <v>938230</v>
      </c>
      <c r="D276" s="54">
        <v>99221070</v>
      </c>
      <c r="F276" s="1" t="s">
        <v>87</v>
      </c>
      <c r="G276" s="47" t="s">
        <v>280</v>
      </c>
    </row>
    <row r="277" spans="2:7" x14ac:dyDescent="0.2">
      <c r="B277" s="66">
        <v>4086</v>
      </c>
      <c r="C277" s="42">
        <v>938240</v>
      </c>
      <c r="D277" s="54">
        <v>99221091</v>
      </c>
      <c r="F277" s="1" t="s">
        <v>87</v>
      </c>
      <c r="G277" s="47" t="s">
        <v>281</v>
      </c>
    </row>
    <row r="278" spans="2:7" x14ac:dyDescent="0.2">
      <c r="B278" s="66">
        <v>4086</v>
      </c>
      <c r="C278" s="42">
        <v>648300</v>
      </c>
      <c r="D278" s="54">
        <v>99291722</v>
      </c>
      <c r="F278" s="1" t="s">
        <v>87</v>
      </c>
      <c r="G278" s="46" t="s">
        <v>485</v>
      </c>
    </row>
    <row r="279" spans="2:7" x14ac:dyDescent="0.2">
      <c r="B279" s="66">
        <v>4086</v>
      </c>
      <c r="C279" s="42">
        <v>648310</v>
      </c>
      <c r="D279" s="54">
        <v>99291724</v>
      </c>
      <c r="F279" s="1" t="s">
        <v>87</v>
      </c>
      <c r="G279" s="47" t="s">
        <v>282</v>
      </c>
    </row>
    <row r="280" spans="2:7" x14ac:dyDescent="0.2">
      <c r="B280" s="66">
        <v>4086</v>
      </c>
      <c r="C280" s="42">
        <v>438210</v>
      </c>
      <c r="D280" s="54">
        <v>99450008</v>
      </c>
      <c r="F280" s="1" t="s">
        <v>87</v>
      </c>
      <c r="G280" s="47" t="s">
        <v>283</v>
      </c>
    </row>
    <row r="281" spans="2:7" x14ac:dyDescent="0.2">
      <c r="B281" s="66">
        <v>4086</v>
      </c>
      <c r="C281" s="42">
        <v>438220</v>
      </c>
      <c r="D281" s="54">
        <v>99450020</v>
      </c>
      <c r="F281" s="1" t="s">
        <v>87</v>
      </c>
      <c r="G281" s="47" t="s">
        <v>284</v>
      </c>
    </row>
    <row r="282" spans="2:7" x14ac:dyDescent="0.2">
      <c r="B282" s="66">
        <v>4086</v>
      </c>
      <c r="C282" s="42">
        <v>708360</v>
      </c>
      <c r="D282" s="54">
        <v>99451001</v>
      </c>
      <c r="E282" s="40"/>
      <c r="F282" s="1" t="s">
        <v>87</v>
      </c>
      <c r="G282" s="47" t="s">
        <v>285</v>
      </c>
    </row>
    <row r="283" spans="2:7" x14ac:dyDescent="0.2">
      <c r="B283" s="66">
        <v>4086</v>
      </c>
      <c r="C283" s="42">
        <v>798160</v>
      </c>
      <c r="D283" s="54">
        <v>99521001</v>
      </c>
      <c r="F283" s="1" t="s">
        <v>87</v>
      </c>
      <c r="G283" s="47" t="s">
        <v>286</v>
      </c>
    </row>
    <row r="284" spans="2:7" x14ac:dyDescent="0.2">
      <c r="B284" s="66">
        <v>4086</v>
      </c>
      <c r="C284" s="42">
        <v>798170</v>
      </c>
      <c r="D284" s="54">
        <v>99521003</v>
      </c>
      <c r="F284" s="1" t="s">
        <v>87</v>
      </c>
      <c r="G284" s="47" t="s">
        <v>287</v>
      </c>
    </row>
    <row r="285" spans="2:7" x14ac:dyDescent="0.2">
      <c r="B285" s="66">
        <v>4086</v>
      </c>
      <c r="C285" s="42">
        <v>928230</v>
      </c>
      <c r="D285" s="54">
        <v>99535524</v>
      </c>
      <c r="F285" s="1" t="s">
        <v>87</v>
      </c>
      <c r="G285" s="47" t="s">
        <v>288</v>
      </c>
    </row>
    <row r="286" spans="2:7" x14ac:dyDescent="0.2">
      <c r="B286" s="66">
        <v>4086</v>
      </c>
      <c r="C286" s="42">
        <v>928240</v>
      </c>
      <c r="D286" s="54">
        <v>99565002</v>
      </c>
      <c r="F286" s="1" t="s">
        <v>87</v>
      </c>
      <c r="G286" s="47" t="s">
        <v>289</v>
      </c>
    </row>
    <row r="287" spans="2:7" x14ac:dyDescent="0.2">
      <c r="B287" s="66">
        <v>4086</v>
      </c>
      <c r="C287" s="42">
        <v>928250</v>
      </c>
      <c r="D287" s="54">
        <v>99565034</v>
      </c>
      <c r="F287" s="1" t="s">
        <v>87</v>
      </c>
      <c r="G287" s="47" t="s">
        <v>290</v>
      </c>
    </row>
    <row r="288" spans="2:7" x14ac:dyDescent="0.2">
      <c r="B288" s="66">
        <v>4086</v>
      </c>
      <c r="C288" s="42">
        <v>928260</v>
      </c>
      <c r="D288" s="54">
        <v>99565037</v>
      </c>
      <c r="F288" s="1" t="s">
        <v>87</v>
      </c>
      <c r="G288" s="47" t="s">
        <v>291</v>
      </c>
    </row>
    <row r="289" spans="2:7" x14ac:dyDescent="0.2">
      <c r="B289" s="66">
        <v>4086</v>
      </c>
      <c r="C289" s="42">
        <v>928270</v>
      </c>
      <c r="D289" s="54">
        <v>99565100</v>
      </c>
      <c r="F289" s="1" t="s">
        <v>87</v>
      </c>
      <c r="G289" s="47" t="s">
        <v>292</v>
      </c>
    </row>
    <row r="290" spans="2:7" x14ac:dyDescent="0.2">
      <c r="B290" s="66">
        <v>4086</v>
      </c>
      <c r="C290" s="42">
        <v>928280</v>
      </c>
      <c r="D290" s="54">
        <v>99565120</v>
      </c>
      <c r="F290" s="1" t="s">
        <v>87</v>
      </c>
      <c r="G290" s="47" t="s">
        <v>293</v>
      </c>
    </row>
    <row r="291" spans="2:7" x14ac:dyDescent="0.2">
      <c r="B291" s="66">
        <v>4086</v>
      </c>
      <c r="C291" s="42">
        <v>928290</v>
      </c>
      <c r="D291" s="54">
        <v>99565123</v>
      </c>
      <c r="F291" s="1" t="s">
        <v>87</v>
      </c>
      <c r="G291" s="46" t="s">
        <v>486</v>
      </c>
    </row>
    <row r="292" spans="2:7" x14ac:dyDescent="0.2">
      <c r="B292" s="66">
        <v>4086</v>
      </c>
      <c r="C292" s="42">
        <v>798180</v>
      </c>
      <c r="D292" s="54">
        <v>99565212</v>
      </c>
      <c r="F292" s="1" t="s">
        <v>87</v>
      </c>
      <c r="G292" s="46" t="s">
        <v>487</v>
      </c>
    </row>
    <row r="293" spans="2:7" x14ac:dyDescent="0.2">
      <c r="B293" s="66">
        <v>4086</v>
      </c>
      <c r="C293" s="42">
        <v>798190</v>
      </c>
      <c r="D293" s="54">
        <v>99565213</v>
      </c>
      <c r="F293" s="1" t="s">
        <v>87</v>
      </c>
      <c r="G293" s="46" t="s">
        <v>488</v>
      </c>
    </row>
    <row r="294" spans="2:7" x14ac:dyDescent="0.2">
      <c r="B294" s="66">
        <v>4086</v>
      </c>
      <c r="C294" s="42">
        <v>918210</v>
      </c>
      <c r="D294" s="54">
        <v>99565256</v>
      </c>
      <c r="F294" s="1" t="s">
        <v>87</v>
      </c>
      <c r="G294" s="47" t="s">
        <v>294</v>
      </c>
    </row>
    <row r="295" spans="2:7" x14ac:dyDescent="0.2">
      <c r="B295" s="66">
        <v>4086</v>
      </c>
      <c r="C295" s="42">
        <v>918220</v>
      </c>
      <c r="D295" s="54">
        <v>99565258</v>
      </c>
      <c r="F295" s="1" t="s">
        <v>87</v>
      </c>
      <c r="G295" s="47" t="s">
        <v>295</v>
      </c>
    </row>
    <row r="296" spans="2:7" x14ac:dyDescent="0.2">
      <c r="B296" s="66">
        <v>4086</v>
      </c>
      <c r="C296" s="42">
        <v>918230</v>
      </c>
      <c r="D296" s="54">
        <v>99565259</v>
      </c>
      <c r="F296" s="1" t="s">
        <v>87</v>
      </c>
      <c r="G296" s="47" t="s">
        <v>296</v>
      </c>
    </row>
    <row r="297" spans="2:7" x14ac:dyDescent="0.2">
      <c r="B297" s="66">
        <v>4086</v>
      </c>
      <c r="C297" s="42">
        <v>918240</v>
      </c>
      <c r="D297" s="54">
        <v>99565276</v>
      </c>
      <c r="F297" s="1" t="s">
        <v>87</v>
      </c>
      <c r="G297" s="47" t="s">
        <v>297</v>
      </c>
    </row>
    <row r="298" spans="2:7" x14ac:dyDescent="0.2">
      <c r="B298" s="66">
        <v>4086</v>
      </c>
      <c r="C298" s="42">
        <v>918250</v>
      </c>
      <c r="D298" s="54">
        <v>99565317</v>
      </c>
      <c r="F298" s="1" t="s">
        <v>87</v>
      </c>
      <c r="G298" s="47" t="s">
        <v>298</v>
      </c>
    </row>
    <row r="299" spans="2:7" x14ac:dyDescent="0.2">
      <c r="B299" s="66">
        <v>4086</v>
      </c>
      <c r="C299" s="42">
        <v>928300</v>
      </c>
      <c r="D299" s="54">
        <v>99565373</v>
      </c>
      <c r="F299" s="1" t="s">
        <v>87</v>
      </c>
      <c r="G299" s="47" t="s">
        <v>299</v>
      </c>
    </row>
    <row r="300" spans="2:7" x14ac:dyDescent="0.2">
      <c r="B300" s="66">
        <v>4086</v>
      </c>
      <c r="C300" s="42">
        <v>928310</v>
      </c>
      <c r="D300" s="54">
        <v>99565477</v>
      </c>
      <c r="F300" s="1" t="s">
        <v>87</v>
      </c>
      <c r="G300" s="47" t="s">
        <v>300</v>
      </c>
    </row>
    <row r="301" spans="2:7" x14ac:dyDescent="0.2">
      <c r="B301" s="66">
        <v>4086</v>
      </c>
      <c r="C301" s="42">
        <v>928320</v>
      </c>
      <c r="D301" s="54">
        <v>99565554</v>
      </c>
      <c r="F301" s="1" t="s">
        <v>87</v>
      </c>
      <c r="G301" s="47" t="s">
        <v>301</v>
      </c>
    </row>
    <row r="302" spans="2:7" x14ac:dyDescent="0.2">
      <c r="B302" s="66">
        <v>4086</v>
      </c>
      <c r="C302" s="42">
        <v>928330</v>
      </c>
      <c r="D302" s="54">
        <v>99565557</v>
      </c>
      <c r="F302" s="1" t="s">
        <v>87</v>
      </c>
      <c r="G302" s="46" t="s">
        <v>302</v>
      </c>
    </row>
    <row r="303" spans="2:7" x14ac:dyDescent="0.2">
      <c r="B303" s="66">
        <v>4086</v>
      </c>
      <c r="C303" s="42">
        <v>928340</v>
      </c>
      <c r="D303" s="54">
        <v>99565640</v>
      </c>
      <c r="F303" s="1" t="s">
        <v>87</v>
      </c>
      <c r="G303" s="47" t="s">
        <v>303</v>
      </c>
    </row>
    <row r="304" spans="2:7" x14ac:dyDescent="0.2">
      <c r="B304" s="66">
        <v>4086</v>
      </c>
      <c r="C304" s="42">
        <v>918260</v>
      </c>
      <c r="D304" s="54">
        <v>99565654</v>
      </c>
      <c r="F304" s="1" t="s">
        <v>87</v>
      </c>
      <c r="G304" s="47" t="s">
        <v>304</v>
      </c>
    </row>
    <row r="305" spans="2:7" x14ac:dyDescent="0.2">
      <c r="B305" s="66">
        <v>4086</v>
      </c>
      <c r="C305" s="42">
        <v>918270</v>
      </c>
      <c r="D305" s="54">
        <v>99565659</v>
      </c>
      <c r="F305" s="1" t="s">
        <v>87</v>
      </c>
      <c r="G305" s="47" t="s">
        <v>305</v>
      </c>
    </row>
    <row r="306" spans="2:7" x14ac:dyDescent="0.2">
      <c r="B306" s="66">
        <v>4086</v>
      </c>
      <c r="C306" s="42">
        <v>918280</v>
      </c>
      <c r="D306" s="54">
        <v>99565662</v>
      </c>
      <c r="F306" s="1" t="s">
        <v>87</v>
      </c>
      <c r="G306" s="47" t="s">
        <v>306</v>
      </c>
    </row>
    <row r="307" spans="2:7" x14ac:dyDescent="0.2">
      <c r="B307" s="66">
        <v>4086</v>
      </c>
      <c r="C307" s="42">
        <v>798200</v>
      </c>
      <c r="D307" s="54">
        <v>99565763</v>
      </c>
      <c r="F307" s="1" t="s">
        <v>87</v>
      </c>
      <c r="G307" s="47" t="s">
        <v>307</v>
      </c>
    </row>
    <row r="308" spans="2:7" x14ac:dyDescent="0.2">
      <c r="B308" s="66">
        <v>4086</v>
      </c>
      <c r="C308" s="42">
        <v>928350</v>
      </c>
      <c r="D308" s="54">
        <v>99565986</v>
      </c>
      <c r="F308" s="1" t="s">
        <v>87</v>
      </c>
      <c r="G308" s="47" t="s">
        <v>308</v>
      </c>
    </row>
    <row r="309" spans="2:7" x14ac:dyDescent="0.2">
      <c r="B309" s="66">
        <v>4086</v>
      </c>
      <c r="C309" s="42">
        <v>928360</v>
      </c>
      <c r="D309" s="54">
        <v>99565992</v>
      </c>
      <c r="F309" s="1" t="s">
        <v>87</v>
      </c>
      <c r="G309" s="47" t="s">
        <v>511</v>
      </c>
    </row>
    <row r="310" spans="2:7" x14ac:dyDescent="0.2">
      <c r="B310" s="66">
        <v>4086</v>
      </c>
      <c r="C310" s="42">
        <v>928370</v>
      </c>
      <c r="D310" s="54">
        <v>99566002</v>
      </c>
      <c r="F310" s="1" t="s">
        <v>87</v>
      </c>
      <c r="G310" s="47" t="s">
        <v>309</v>
      </c>
    </row>
    <row r="311" spans="2:7" x14ac:dyDescent="0.2">
      <c r="B311" s="66">
        <v>4086</v>
      </c>
      <c r="C311" s="42">
        <v>928380</v>
      </c>
      <c r="D311" s="54">
        <v>99566004</v>
      </c>
      <c r="F311" s="1" t="s">
        <v>87</v>
      </c>
      <c r="G311" s="47" t="s">
        <v>310</v>
      </c>
    </row>
    <row r="312" spans="2:7" x14ac:dyDescent="0.2">
      <c r="B312" s="66">
        <v>4086</v>
      </c>
      <c r="C312" s="42">
        <v>928390</v>
      </c>
      <c r="D312" s="54">
        <v>99585112</v>
      </c>
      <c r="F312" s="1" t="s">
        <v>87</v>
      </c>
      <c r="G312" s="47" t="s">
        <v>311</v>
      </c>
    </row>
    <row r="313" spans="2:7" x14ac:dyDescent="0.2">
      <c r="B313" s="66">
        <v>4086</v>
      </c>
      <c r="C313" s="42">
        <v>928400</v>
      </c>
      <c r="D313" s="54">
        <v>99585114</v>
      </c>
      <c r="F313" s="1" t="s">
        <v>87</v>
      </c>
      <c r="G313" s="47" t="s">
        <v>312</v>
      </c>
    </row>
    <row r="314" spans="2:7" x14ac:dyDescent="0.2">
      <c r="B314" s="66">
        <v>4086</v>
      </c>
      <c r="C314" s="42">
        <v>928410</v>
      </c>
      <c r="D314" s="54">
        <v>99597006</v>
      </c>
      <c r="F314" s="1" t="s">
        <v>87</v>
      </c>
      <c r="G314" s="47" t="s">
        <v>313</v>
      </c>
    </row>
    <row r="315" spans="2:7" x14ac:dyDescent="0.2">
      <c r="B315" s="66">
        <v>4086</v>
      </c>
      <c r="C315" s="42">
        <v>228240</v>
      </c>
      <c r="D315" s="54">
        <v>99761102</v>
      </c>
      <c r="F315" s="1" t="s">
        <v>87</v>
      </c>
      <c r="G315" s="47" t="s">
        <v>314</v>
      </c>
    </row>
    <row r="316" spans="2:7" x14ac:dyDescent="0.2">
      <c r="B316" s="66">
        <v>4086</v>
      </c>
      <c r="C316" s="42">
        <v>228250</v>
      </c>
      <c r="D316" s="54">
        <v>99761104</v>
      </c>
      <c r="F316" s="1" t="s">
        <v>87</v>
      </c>
      <c r="G316" s="47" t="s">
        <v>315</v>
      </c>
    </row>
    <row r="317" spans="2:7" x14ac:dyDescent="0.2">
      <c r="B317" s="66">
        <v>4086</v>
      </c>
      <c r="C317" s="42">
        <v>228260</v>
      </c>
      <c r="D317" s="54">
        <v>99761106</v>
      </c>
      <c r="F317" s="1" t="s">
        <v>87</v>
      </c>
      <c r="G317" s="47" t="s">
        <v>316</v>
      </c>
    </row>
    <row r="318" spans="2:7" x14ac:dyDescent="0.2">
      <c r="B318" s="66">
        <v>4086</v>
      </c>
      <c r="C318" s="42">
        <v>228270</v>
      </c>
      <c r="D318" s="54">
        <v>99761113</v>
      </c>
      <c r="F318" s="1" t="s">
        <v>87</v>
      </c>
      <c r="G318" s="47" t="s">
        <v>317</v>
      </c>
    </row>
    <row r="319" spans="2:7" x14ac:dyDescent="0.2">
      <c r="B319" s="66">
        <v>4086</v>
      </c>
      <c r="C319" s="42">
        <v>228280</v>
      </c>
      <c r="D319" s="54">
        <v>99761114</v>
      </c>
      <c r="F319" s="1" t="s">
        <v>87</v>
      </c>
      <c r="G319" s="47" t="s">
        <v>318</v>
      </c>
    </row>
    <row r="320" spans="2:7" x14ac:dyDescent="0.2">
      <c r="B320" s="66">
        <v>4086</v>
      </c>
      <c r="C320" s="42">
        <v>228290</v>
      </c>
      <c r="D320" s="54">
        <v>99761424</v>
      </c>
      <c r="F320" s="1" t="s">
        <v>87</v>
      </c>
      <c r="G320" s="47" t="s">
        <v>319</v>
      </c>
    </row>
    <row r="321" spans="2:7" x14ac:dyDescent="0.2">
      <c r="B321" s="66">
        <v>4086</v>
      </c>
      <c r="C321" s="42">
        <v>618150</v>
      </c>
      <c r="D321" s="54">
        <v>99761506</v>
      </c>
      <c r="F321" s="1" t="s">
        <v>87</v>
      </c>
      <c r="G321" s="47" t="s">
        <v>320</v>
      </c>
    </row>
    <row r="322" spans="2:7" x14ac:dyDescent="0.2">
      <c r="B322" s="66">
        <v>4086</v>
      </c>
      <c r="C322" s="42">
        <v>618160</v>
      </c>
      <c r="D322" s="54">
        <v>99761512</v>
      </c>
      <c r="F322" s="1" t="s">
        <v>87</v>
      </c>
      <c r="G322" s="47" t="s">
        <v>321</v>
      </c>
    </row>
    <row r="323" spans="2:7" x14ac:dyDescent="0.2">
      <c r="B323" s="66">
        <v>4086</v>
      </c>
      <c r="C323" s="42">
        <v>618170</v>
      </c>
      <c r="D323" s="54">
        <v>99761528</v>
      </c>
      <c r="F323" s="1" t="s">
        <v>87</v>
      </c>
      <c r="G323" s="47" t="s">
        <v>322</v>
      </c>
    </row>
    <row r="324" spans="2:7" x14ac:dyDescent="0.2">
      <c r="B324" s="66">
        <v>4086</v>
      </c>
      <c r="C324" s="42">
        <v>618180</v>
      </c>
      <c r="D324" s="54">
        <v>99761550</v>
      </c>
      <c r="F324" s="1" t="s">
        <v>87</v>
      </c>
      <c r="G324" s="46" t="s">
        <v>489</v>
      </c>
    </row>
    <row r="325" spans="2:7" x14ac:dyDescent="0.2">
      <c r="B325" s="66">
        <v>4086</v>
      </c>
      <c r="C325" s="42">
        <v>708370</v>
      </c>
      <c r="D325" s="54">
        <v>99761700</v>
      </c>
      <c r="F325" s="1" t="s">
        <v>87</v>
      </c>
      <c r="G325" s="47" t="s">
        <v>323</v>
      </c>
    </row>
    <row r="326" spans="2:7" x14ac:dyDescent="0.2">
      <c r="B326" s="66">
        <v>4086</v>
      </c>
      <c r="C326" s="42">
        <v>798210</v>
      </c>
      <c r="D326" s="54">
        <v>99850038</v>
      </c>
      <c r="F326" s="1" t="s">
        <v>87</v>
      </c>
      <c r="G326" s="47" t="s">
        <v>324</v>
      </c>
    </row>
    <row r="327" spans="2:7" x14ac:dyDescent="0.2">
      <c r="B327" s="66">
        <v>4086</v>
      </c>
      <c r="C327" s="42">
        <v>708380</v>
      </c>
      <c r="D327" s="54">
        <v>99890004</v>
      </c>
      <c r="F327" s="1" t="s">
        <v>87</v>
      </c>
      <c r="G327" s="47" t="s">
        <v>325</v>
      </c>
    </row>
    <row r="328" spans="2:7" x14ac:dyDescent="0.2">
      <c r="B328" s="66">
        <v>4086</v>
      </c>
      <c r="C328" s="42">
        <v>708390</v>
      </c>
      <c r="D328" s="54">
        <v>99890008</v>
      </c>
      <c r="F328" s="1" t="s">
        <v>87</v>
      </c>
      <c r="G328" s="47" t="s">
        <v>326</v>
      </c>
    </row>
    <row r="329" spans="2:7" x14ac:dyDescent="0.2">
      <c r="B329" s="66">
        <v>4086</v>
      </c>
      <c r="C329" s="42">
        <v>708400</v>
      </c>
      <c r="D329" s="54">
        <v>99890118</v>
      </c>
      <c r="F329" s="1" t="s">
        <v>87</v>
      </c>
      <c r="G329" s="47" t="s">
        <v>327</v>
      </c>
    </row>
    <row r="330" spans="2:7" x14ac:dyDescent="0.2">
      <c r="B330" s="66">
        <v>4086</v>
      </c>
      <c r="C330" s="42">
        <v>708410</v>
      </c>
      <c r="D330" s="54">
        <v>99890120</v>
      </c>
      <c r="F330" s="1" t="s">
        <v>87</v>
      </c>
      <c r="G330" s="47" t="s">
        <v>328</v>
      </c>
    </row>
    <row r="331" spans="2:7" x14ac:dyDescent="0.2">
      <c r="B331" s="66">
        <v>4086</v>
      </c>
      <c r="C331" s="42">
        <v>708420</v>
      </c>
      <c r="D331" s="54">
        <v>99890130</v>
      </c>
      <c r="F331" s="1" t="s">
        <v>87</v>
      </c>
      <c r="G331" s="47" t="s">
        <v>329</v>
      </c>
    </row>
    <row r="332" spans="2:7" x14ac:dyDescent="0.2">
      <c r="B332" s="66">
        <v>4086</v>
      </c>
      <c r="C332" s="42">
        <v>378160</v>
      </c>
      <c r="D332" s="54">
        <v>99911009</v>
      </c>
      <c r="F332" s="1" t="s">
        <v>87</v>
      </c>
      <c r="G332" s="47" t="s">
        <v>330</v>
      </c>
    </row>
    <row r="333" spans="2:7" x14ac:dyDescent="0.2">
      <c r="B333" s="66">
        <v>4086</v>
      </c>
      <c r="C333" s="42">
        <v>628130</v>
      </c>
      <c r="D333" s="54">
        <v>461203925</v>
      </c>
      <c r="F333" s="1" t="s">
        <v>87</v>
      </c>
      <c r="G333" s="47" t="s">
        <v>331</v>
      </c>
    </row>
    <row r="334" spans="2:7" x14ac:dyDescent="0.2">
      <c r="B334" s="66">
        <v>4086</v>
      </c>
      <c r="C334" s="42">
        <v>438230</v>
      </c>
      <c r="D334" s="54">
        <v>495132786</v>
      </c>
      <c r="F334" s="1" t="s">
        <v>87</v>
      </c>
      <c r="G334" s="47" t="s">
        <v>332</v>
      </c>
    </row>
    <row r="335" spans="2:7" x14ac:dyDescent="0.2">
      <c r="B335" s="66">
        <v>4086</v>
      </c>
      <c r="C335" s="42">
        <v>438240</v>
      </c>
      <c r="D335" s="54">
        <v>495132789</v>
      </c>
      <c r="F335" s="1" t="s">
        <v>87</v>
      </c>
      <c r="G335" s="47" t="s">
        <v>333</v>
      </c>
    </row>
    <row r="336" spans="2:7" x14ac:dyDescent="0.2">
      <c r="B336" s="66">
        <v>4086</v>
      </c>
      <c r="C336" s="42">
        <v>438250</v>
      </c>
      <c r="D336" s="54">
        <v>495132790</v>
      </c>
      <c r="F336" s="1" t="s">
        <v>87</v>
      </c>
      <c r="G336" s="47" t="s">
        <v>334</v>
      </c>
    </row>
    <row r="337" spans="2:7" x14ac:dyDescent="0.2">
      <c r="B337" s="66">
        <v>4086</v>
      </c>
      <c r="C337" s="42">
        <v>928420</v>
      </c>
      <c r="D337" s="54">
        <v>495133006</v>
      </c>
      <c r="F337" s="1" t="s">
        <v>87</v>
      </c>
      <c r="G337" s="47" t="s">
        <v>335</v>
      </c>
    </row>
    <row r="338" spans="2:7" x14ac:dyDescent="0.2">
      <c r="B338" s="66">
        <v>4086</v>
      </c>
      <c r="C338" s="42">
        <v>928430</v>
      </c>
      <c r="D338" s="54">
        <v>495133009</v>
      </c>
      <c r="F338" s="1" t="s">
        <v>87</v>
      </c>
      <c r="G338" s="47" t="s">
        <v>336</v>
      </c>
    </row>
    <row r="339" spans="2:7" x14ac:dyDescent="0.2">
      <c r="B339" s="66">
        <v>4086</v>
      </c>
      <c r="C339" s="42">
        <v>708430</v>
      </c>
      <c r="D339" s="54">
        <v>695220102</v>
      </c>
      <c r="F339" s="1" t="s">
        <v>87</v>
      </c>
      <c r="G339" s="47" t="s">
        <v>337</v>
      </c>
    </row>
    <row r="340" spans="2:7" x14ac:dyDescent="0.2">
      <c r="B340" s="66">
        <v>4086</v>
      </c>
      <c r="C340" s="42">
        <v>708440</v>
      </c>
      <c r="D340" s="54">
        <v>695220501</v>
      </c>
      <c r="F340" s="1" t="s">
        <v>87</v>
      </c>
      <c r="G340" s="47" t="s">
        <v>338</v>
      </c>
    </row>
    <row r="341" spans="2:7" x14ac:dyDescent="0.2">
      <c r="B341" s="66">
        <v>4086</v>
      </c>
      <c r="C341" s="42">
        <v>708450</v>
      </c>
      <c r="D341" s="54">
        <v>695220521</v>
      </c>
      <c r="F341" s="1" t="s">
        <v>87</v>
      </c>
      <c r="G341" s="47" t="s">
        <v>339</v>
      </c>
    </row>
    <row r="342" spans="2:7" x14ac:dyDescent="0.2">
      <c r="B342" s="66">
        <v>4086</v>
      </c>
      <c r="C342" s="42">
        <v>708460</v>
      </c>
      <c r="D342" s="54">
        <v>695220611</v>
      </c>
      <c r="F342" s="1" t="s">
        <v>87</v>
      </c>
      <c r="G342" s="47" t="s">
        <v>340</v>
      </c>
    </row>
    <row r="343" spans="2:7" x14ac:dyDescent="0.2">
      <c r="B343" s="66">
        <v>4086</v>
      </c>
      <c r="C343" s="42">
        <v>708470</v>
      </c>
      <c r="D343" s="54">
        <v>695220621</v>
      </c>
      <c r="F343" s="1" t="s">
        <v>87</v>
      </c>
      <c r="G343" s="47" t="s">
        <v>341</v>
      </c>
    </row>
    <row r="344" spans="2:7" x14ac:dyDescent="0.2">
      <c r="B344" s="66">
        <v>4086</v>
      </c>
      <c r="C344" s="42">
        <v>708480</v>
      </c>
      <c r="D344" s="54">
        <v>695260006</v>
      </c>
      <c r="F344" s="1" t="s">
        <v>87</v>
      </c>
      <c r="G344" s="47" t="s">
        <v>342</v>
      </c>
    </row>
    <row r="345" spans="2:7" x14ac:dyDescent="0.2">
      <c r="B345" s="66">
        <v>4086</v>
      </c>
      <c r="C345" s="42">
        <v>708490</v>
      </c>
      <c r="D345" s="54">
        <v>695269001</v>
      </c>
      <c r="F345" s="1" t="s">
        <v>87</v>
      </c>
      <c r="G345" s="47" t="s">
        <v>343</v>
      </c>
    </row>
    <row r="346" spans="2:7" x14ac:dyDescent="0.2">
      <c r="B346" s="66">
        <v>4086</v>
      </c>
      <c r="C346" s="42">
        <v>708500</v>
      </c>
      <c r="D346" s="54">
        <v>695269008</v>
      </c>
      <c r="F346" s="1" t="s">
        <v>87</v>
      </c>
      <c r="G346" s="47" t="s">
        <v>344</v>
      </c>
    </row>
    <row r="347" spans="2:7" x14ac:dyDescent="0.2">
      <c r="B347" s="66">
        <v>4086</v>
      </c>
      <c r="C347" s="42">
        <v>708510</v>
      </c>
      <c r="D347" s="54">
        <v>695269009</v>
      </c>
      <c r="F347" s="1" t="s">
        <v>87</v>
      </c>
      <c r="G347" s="47" t="s">
        <v>345</v>
      </c>
    </row>
    <row r="348" spans="2:7" x14ac:dyDescent="0.2">
      <c r="B348" s="66">
        <v>4086</v>
      </c>
      <c r="C348" s="42">
        <v>708520</v>
      </c>
      <c r="D348" s="54">
        <v>695269012</v>
      </c>
      <c r="F348" s="1" t="s">
        <v>87</v>
      </c>
      <c r="G348" s="47" t="s">
        <v>346</v>
      </c>
    </row>
    <row r="349" spans="2:7" x14ac:dyDescent="0.2">
      <c r="B349" s="66">
        <v>4086</v>
      </c>
      <c r="C349" s="42">
        <v>708530</v>
      </c>
      <c r="D349" s="54">
        <v>695270008</v>
      </c>
      <c r="F349" s="1" t="s">
        <v>87</v>
      </c>
      <c r="G349" s="47" t="s">
        <v>347</v>
      </c>
    </row>
    <row r="350" spans="2:7" x14ac:dyDescent="0.2">
      <c r="B350" s="66">
        <v>4086</v>
      </c>
      <c r="C350" s="42">
        <v>628140</v>
      </c>
      <c r="D350" s="54">
        <v>695320101</v>
      </c>
      <c r="F350" s="1" t="s">
        <v>87</v>
      </c>
      <c r="G350" s="47" t="s">
        <v>348</v>
      </c>
    </row>
    <row r="351" spans="2:7" x14ac:dyDescent="0.2">
      <c r="B351" s="66">
        <v>4086</v>
      </c>
      <c r="C351" s="42">
        <v>628150</v>
      </c>
      <c r="D351" s="54">
        <v>695321041</v>
      </c>
      <c r="F351" s="1" t="s">
        <v>87</v>
      </c>
      <c r="G351" s="47" t="s">
        <v>349</v>
      </c>
    </row>
    <row r="352" spans="2:7" x14ac:dyDescent="0.2">
      <c r="B352" s="66">
        <v>4086</v>
      </c>
      <c r="C352" s="42">
        <v>628160</v>
      </c>
      <c r="D352" s="54">
        <v>695321405</v>
      </c>
      <c r="F352" s="1" t="s">
        <v>87</v>
      </c>
      <c r="G352" s="47" t="s">
        <v>350</v>
      </c>
    </row>
    <row r="353" spans="2:7" x14ac:dyDescent="0.2">
      <c r="B353" s="66">
        <v>4086</v>
      </c>
      <c r="C353" s="42">
        <v>628170</v>
      </c>
      <c r="D353" s="54">
        <v>695321632</v>
      </c>
      <c r="F353" s="1" t="s">
        <v>87</v>
      </c>
      <c r="G353" s="47" t="s">
        <v>351</v>
      </c>
    </row>
    <row r="354" spans="2:7" x14ac:dyDescent="0.2">
      <c r="B354" s="66">
        <v>4086</v>
      </c>
      <c r="C354" s="42">
        <v>628180</v>
      </c>
      <c r="D354" s="54">
        <v>695321681</v>
      </c>
      <c r="F354" s="1" t="s">
        <v>87</v>
      </c>
      <c r="G354" s="47" t="s">
        <v>352</v>
      </c>
    </row>
    <row r="355" spans="2:7" x14ac:dyDescent="0.2">
      <c r="B355" s="66">
        <v>4086</v>
      </c>
      <c r="C355" s="42">
        <v>628190</v>
      </c>
      <c r="D355" s="54">
        <v>695321683</v>
      </c>
      <c r="F355" s="1" t="s">
        <v>87</v>
      </c>
      <c r="G355" s="47" t="s">
        <v>353</v>
      </c>
    </row>
    <row r="356" spans="2:7" x14ac:dyDescent="0.2">
      <c r="B356" s="66">
        <v>4086</v>
      </c>
      <c r="C356" s="42">
        <v>228300</v>
      </c>
      <c r="D356" s="54">
        <v>695642001</v>
      </c>
      <c r="F356" s="1" t="s">
        <v>87</v>
      </c>
      <c r="G356" s="47" t="s">
        <v>354</v>
      </c>
    </row>
    <row r="357" spans="2:7" x14ac:dyDescent="0.2">
      <c r="B357" s="66">
        <v>4086</v>
      </c>
      <c r="C357" s="42">
        <v>228310</v>
      </c>
      <c r="D357" s="54">
        <v>695642086</v>
      </c>
      <c r="F357" s="1" t="s">
        <v>87</v>
      </c>
      <c r="G357" s="47" t="s">
        <v>355</v>
      </c>
    </row>
    <row r="358" spans="2:7" x14ac:dyDescent="0.2">
      <c r="B358" s="66">
        <v>4086</v>
      </c>
      <c r="C358" s="42">
        <v>228320</v>
      </c>
      <c r="D358" s="54">
        <v>695642804</v>
      </c>
      <c r="F358" s="1" t="s">
        <v>87</v>
      </c>
      <c r="G358" s="47" t="s">
        <v>356</v>
      </c>
    </row>
    <row r="359" spans="2:7" x14ac:dyDescent="0.2">
      <c r="B359" s="66">
        <v>4086</v>
      </c>
      <c r="C359" s="42">
        <v>228330</v>
      </c>
      <c r="D359" s="54">
        <v>695642831</v>
      </c>
      <c r="F359" s="1" t="s">
        <v>87</v>
      </c>
      <c r="G359" s="47" t="s">
        <v>357</v>
      </c>
    </row>
    <row r="360" spans="2:7" x14ac:dyDescent="0.2">
      <c r="B360" s="66">
        <v>4086</v>
      </c>
      <c r="C360" s="42">
        <v>228340</v>
      </c>
      <c r="D360" s="54">
        <v>695642833</v>
      </c>
      <c r="F360" s="1" t="s">
        <v>87</v>
      </c>
      <c r="G360" s="47" t="s">
        <v>358</v>
      </c>
    </row>
    <row r="361" spans="2:7" x14ac:dyDescent="0.2">
      <c r="B361" s="66">
        <v>4086</v>
      </c>
      <c r="C361" s="42">
        <v>648320</v>
      </c>
      <c r="D361" s="54">
        <v>696444022</v>
      </c>
      <c r="F361" s="1" t="s">
        <v>87</v>
      </c>
      <c r="G361" s="47" t="s">
        <v>359</v>
      </c>
    </row>
    <row r="362" spans="2:7" x14ac:dyDescent="0.2">
      <c r="B362" s="66">
        <v>4086</v>
      </c>
      <c r="C362" s="42">
        <v>228350</v>
      </c>
      <c r="D362" s="54">
        <v>840001800</v>
      </c>
      <c r="F362" s="1" t="s">
        <v>87</v>
      </c>
      <c r="G362" s="46" t="s">
        <v>491</v>
      </c>
    </row>
    <row r="363" spans="2:7" x14ac:dyDescent="0.2">
      <c r="B363" s="66">
        <v>4086</v>
      </c>
      <c r="C363" s="42">
        <v>228360</v>
      </c>
      <c r="D363" s="54">
        <v>840001801</v>
      </c>
      <c r="F363" s="1" t="s">
        <v>87</v>
      </c>
      <c r="G363" s="47" t="s">
        <v>360</v>
      </c>
    </row>
    <row r="364" spans="2:7" x14ac:dyDescent="0.2">
      <c r="B364" s="66">
        <v>4086</v>
      </c>
      <c r="C364" s="42">
        <v>228370</v>
      </c>
      <c r="D364" s="54">
        <v>840001810</v>
      </c>
      <c r="F364" s="1" t="s">
        <v>87</v>
      </c>
      <c r="G364" s="46" t="s">
        <v>492</v>
      </c>
    </row>
    <row r="365" spans="2:7" x14ac:dyDescent="0.2">
      <c r="B365" s="66">
        <v>4086</v>
      </c>
      <c r="C365" s="42">
        <v>228380</v>
      </c>
      <c r="D365" s="54">
        <v>840001812</v>
      </c>
      <c r="F365" s="1" t="s">
        <v>87</v>
      </c>
      <c r="G365" s="47" t="s">
        <v>361</v>
      </c>
    </row>
    <row r="366" spans="2:7" x14ac:dyDescent="0.2">
      <c r="B366" s="66">
        <v>4086</v>
      </c>
      <c r="C366" s="42">
        <v>228390</v>
      </c>
      <c r="D366" s="54">
        <v>840001813</v>
      </c>
      <c r="F366" s="1" t="s">
        <v>87</v>
      </c>
      <c r="G366" s="46" t="s">
        <v>493</v>
      </c>
    </row>
    <row r="367" spans="2:7" x14ac:dyDescent="0.2">
      <c r="B367" s="66">
        <v>4086</v>
      </c>
      <c r="C367" s="42">
        <v>228400</v>
      </c>
      <c r="D367" s="54">
        <v>840001831</v>
      </c>
      <c r="F367" s="1" t="s">
        <v>87</v>
      </c>
      <c r="G367" s="47" t="s">
        <v>362</v>
      </c>
    </row>
    <row r="368" spans="2:7" x14ac:dyDescent="0.2">
      <c r="B368" s="66">
        <v>4086</v>
      </c>
      <c r="C368" s="42">
        <v>228410</v>
      </c>
      <c r="D368" s="54">
        <v>840001841</v>
      </c>
      <c r="F368" s="1" t="s">
        <v>87</v>
      </c>
      <c r="G368" s="47" t="s">
        <v>363</v>
      </c>
    </row>
    <row r="369" spans="2:7" x14ac:dyDescent="0.2">
      <c r="B369" s="66">
        <v>4086</v>
      </c>
      <c r="C369" s="42">
        <v>228420</v>
      </c>
      <c r="D369" s="54">
        <v>840005211</v>
      </c>
      <c r="F369" s="1" t="s">
        <v>87</v>
      </c>
      <c r="G369" s="47" t="s">
        <v>364</v>
      </c>
    </row>
    <row r="370" spans="2:7" x14ac:dyDescent="0.2">
      <c r="B370" s="66">
        <v>4086</v>
      </c>
      <c r="C370" s="42">
        <v>708540</v>
      </c>
      <c r="D370" s="54">
        <v>990700022</v>
      </c>
      <c r="F370" s="1" t="s">
        <v>87</v>
      </c>
      <c r="G370" s="47" t="s">
        <v>365</v>
      </c>
    </row>
    <row r="371" spans="2:7" x14ac:dyDescent="0.2">
      <c r="B371" s="66">
        <v>4086</v>
      </c>
      <c r="C371" s="42">
        <v>798220</v>
      </c>
      <c r="D371" s="54">
        <v>990800550</v>
      </c>
      <c r="F371" s="1" t="s">
        <v>87</v>
      </c>
      <c r="G371" s="47" t="s">
        <v>366</v>
      </c>
    </row>
    <row r="372" spans="2:7" x14ac:dyDescent="0.2">
      <c r="B372" s="66">
        <v>4086</v>
      </c>
      <c r="C372" s="42">
        <v>798230</v>
      </c>
      <c r="D372" s="54">
        <v>990800552</v>
      </c>
      <c r="F372" s="1" t="s">
        <v>87</v>
      </c>
      <c r="G372" s="47" t="s">
        <v>367</v>
      </c>
    </row>
    <row r="373" spans="2:7" x14ac:dyDescent="0.2">
      <c r="B373" s="66">
        <v>4086</v>
      </c>
      <c r="C373" s="42">
        <v>798240</v>
      </c>
      <c r="D373" s="54">
        <v>990800553</v>
      </c>
      <c r="F373" s="1" t="s">
        <v>87</v>
      </c>
      <c r="G373" s="47" t="s">
        <v>81</v>
      </c>
    </row>
    <row r="374" spans="2:7" x14ac:dyDescent="0.2">
      <c r="B374" s="66">
        <v>4086</v>
      </c>
      <c r="C374" s="42">
        <v>798250</v>
      </c>
      <c r="D374" s="54">
        <v>990800554</v>
      </c>
      <c r="F374" s="1" t="s">
        <v>87</v>
      </c>
      <c r="G374" s="47" t="s">
        <v>368</v>
      </c>
    </row>
    <row r="375" spans="2:7" x14ac:dyDescent="0.2">
      <c r="B375" s="66">
        <v>4086</v>
      </c>
      <c r="C375" s="42">
        <v>798260</v>
      </c>
      <c r="D375" s="54">
        <v>990800559</v>
      </c>
      <c r="F375" s="1" t="s">
        <v>87</v>
      </c>
      <c r="G375" s="47" t="s">
        <v>369</v>
      </c>
    </row>
    <row r="376" spans="2:7" x14ac:dyDescent="0.2">
      <c r="B376" s="66">
        <v>4086</v>
      </c>
      <c r="C376" s="42">
        <v>928440</v>
      </c>
      <c r="D376" s="54">
        <v>992200102</v>
      </c>
      <c r="F376" s="1" t="s">
        <v>87</v>
      </c>
      <c r="G376" s="47" t="s">
        <v>370</v>
      </c>
    </row>
    <row r="377" spans="2:7" x14ac:dyDescent="0.2">
      <c r="B377" s="66">
        <v>4086</v>
      </c>
      <c r="C377" s="42">
        <v>938250</v>
      </c>
      <c r="D377" s="54">
        <v>992211001</v>
      </c>
      <c r="F377" s="1" t="s">
        <v>87</v>
      </c>
      <c r="G377" s="47" t="s">
        <v>371</v>
      </c>
    </row>
    <row r="378" spans="2:7" x14ac:dyDescent="0.2">
      <c r="B378" s="66">
        <v>4086</v>
      </c>
      <c r="C378" s="42">
        <v>848140</v>
      </c>
      <c r="D378" s="54">
        <v>993189533</v>
      </c>
      <c r="F378" s="1" t="s">
        <v>87</v>
      </c>
      <c r="G378" s="47" t="s">
        <v>372</v>
      </c>
    </row>
    <row r="379" spans="2:7" x14ac:dyDescent="0.2">
      <c r="B379" s="66">
        <v>4086</v>
      </c>
      <c r="C379" s="42">
        <v>928450</v>
      </c>
      <c r="D379" s="54">
        <v>995650275</v>
      </c>
      <c r="F379" s="1" t="s">
        <v>87</v>
      </c>
      <c r="G379" s="47" t="s">
        <v>373</v>
      </c>
    </row>
    <row r="380" spans="2:7" x14ac:dyDescent="0.2">
      <c r="B380" s="66">
        <v>4086</v>
      </c>
      <c r="C380" s="42">
        <v>928460</v>
      </c>
      <c r="D380" s="54">
        <v>995650277</v>
      </c>
      <c r="F380" s="1" t="s">
        <v>87</v>
      </c>
      <c r="G380" s="47" t="s">
        <v>374</v>
      </c>
    </row>
    <row r="381" spans="2:7" x14ac:dyDescent="0.2">
      <c r="B381" s="66">
        <v>4086</v>
      </c>
      <c r="C381" s="42">
        <v>928470</v>
      </c>
      <c r="D381" s="54">
        <v>995650421</v>
      </c>
      <c r="F381" s="1" t="s">
        <v>87</v>
      </c>
      <c r="G381" s="47" t="s">
        <v>375</v>
      </c>
    </row>
    <row r="382" spans="2:7" x14ac:dyDescent="0.2">
      <c r="B382" s="66">
        <v>4086</v>
      </c>
      <c r="C382" s="42">
        <v>928480</v>
      </c>
      <c r="D382" s="54">
        <v>995650434</v>
      </c>
      <c r="F382" s="1" t="s">
        <v>87</v>
      </c>
      <c r="G382" s="47" t="s">
        <v>376</v>
      </c>
    </row>
    <row r="383" spans="2:7" x14ac:dyDescent="0.2">
      <c r="B383" s="66">
        <v>4086</v>
      </c>
      <c r="C383" s="42">
        <v>798270</v>
      </c>
      <c r="D383" s="54">
        <v>995650473</v>
      </c>
      <c r="F383" s="1" t="s">
        <v>87</v>
      </c>
      <c r="G383" s="47" t="s">
        <v>377</v>
      </c>
    </row>
    <row r="384" spans="2:7" x14ac:dyDescent="0.2">
      <c r="B384" s="66">
        <v>4086</v>
      </c>
      <c r="C384" s="42">
        <v>928490</v>
      </c>
      <c r="D384" s="54">
        <v>995650532</v>
      </c>
      <c r="F384" s="1" t="s">
        <v>87</v>
      </c>
      <c r="G384" s="47" t="s">
        <v>378</v>
      </c>
    </row>
    <row r="385" spans="2:7" x14ac:dyDescent="0.2">
      <c r="B385" s="66">
        <v>4086</v>
      </c>
      <c r="C385" s="42">
        <v>928500</v>
      </c>
      <c r="D385" s="54">
        <v>995651357</v>
      </c>
      <c r="F385" s="1" t="s">
        <v>87</v>
      </c>
      <c r="G385" s="47" t="s">
        <v>379</v>
      </c>
    </row>
    <row r="386" spans="2:7" x14ac:dyDescent="0.2">
      <c r="B386" s="66">
        <v>4086</v>
      </c>
      <c r="C386" s="42">
        <v>928510</v>
      </c>
      <c r="D386" s="54">
        <v>995652166</v>
      </c>
      <c r="F386" s="1" t="s">
        <v>87</v>
      </c>
      <c r="G386" s="47" t="s">
        <v>380</v>
      </c>
    </row>
    <row r="387" spans="2:7" x14ac:dyDescent="0.2">
      <c r="B387" s="66">
        <v>4086</v>
      </c>
      <c r="C387" s="42">
        <v>928520</v>
      </c>
      <c r="D387" s="54">
        <v>995654830</v>
      </c>
      <c r="F387" s="1" t="s">
        <v>87</v>
      </c>
      <c r="G387" s="47" t="s">
        <v>381</v>
      </c>
    </row>
    <row r="388" spans="2:7" x14ac:dyDescent="0.2">
      <c r="B388" s="66">
        <v>4086</v>
      </c>
      <c r="C388" s="42">
        <v>928530</v>
      </c>
      <c r="D388" s="54">
        <v>995655504</v>
      </c>
      <c r="F388" s="1" t="s">
        <v>87</v>
      </c>
      <c r="G388" s="47" t="s">
        <v>382</v>
      </c>
    </row>
    <row r="389" spans="2:7" x14ac:dyDescent="0.2">
      <c r="B389" s="66">
        <v>4086</v>
      </c>
      <c r="C389" s="42">
        <v>228430</v>
      </c>
      <c r="D389" s="54">
        <v>997600221</v>
      </c>
      <c r="F389" s="1" t="s">
        <v>87</v>
      </c>
      <c r="G389" s="47" t="s">
        <v>383</v>
      </c>
    </row>
    <row r="390" spans="2:7" x14ac:dyDescent="0.2">
      <c r="B390" s="66">
        <v>4086</v>
      </c>
      <c r="C390" s="42">
        <v>228440</v>
      </c>
      <c r="D390" s="54">
        <v>997611140</v>
      </c>
      <c r="F390" s="1" t="s">
        <v>87</v>
      </c>
      <c r="G390" s="47" t="s">
        <v>384</v>
      </c>
    </row>
    <row r="391" spans="2:7" x14ac:dyDescent="0.2">
      <c r="B391" s="66">
        <v>4086</v>
      </c>
      <c r="C391" s="42">
        <v>618190</v>
      </c>
      <c r="D391" s="54">
        <v>997615482</v>
      </c>
      <c r="F391" s="1" t="s">
        <v>87</v>
      </c>
      <c r="G391" s="46" t="s">
        <v>494</v>
      </c>
    </row>
    <row r="392" spans="2:7" x14ac:dyDescent="0.2">
      <c r="B392" s="66">
        <v>4086</v>
      </c>
      <c r="C392" s="42">
        <v>708550</v>
      </c>
      <c r="D392" s="54">
        <v>998900030</v>
      </c>
      <c r="F392" s="1" t="s">
        <v>87</v>
      </c>
      <c r="G392" s="47" t="s">
        <v>385</v>
      </c>
    </row>
    <row r="393" spans="2:7" x14ac:dyDescent="0.2">
      <c r="B393" s="66">
        <v>4086</v>
      </c>
      <c r="C393" s="42">
        <v>708560</v>
      </c>
      <c r="D393" s="54">
        <v>998900050</v>
      </c>
      <c r="F393" s="1" t="s">
        <v>87</v>
      </c>
      <c r="G393" s="47" t="s">
        <v>386</v>
      </c>
    </row>
    <row r="394" spans="2:7" x14ac:dyDescent="0.2">
      <c r="B394" s="66">
        <v>4086</v>
      </c>
      <c r="C394" s="42">
        <v>708570</v>
      </c>
      <c r="D394" s="54">
        <v>998900060</v>
      </c>
      <c r="F394" s="1" t="s">
        <v>87</v>
      </c>
      <c r="G394" s="47" t="s">
        <v>387</v>
      </c>
    </row>
    <row r="395" spans="2:7" x14ac:dyDescent="0.2">
      <c r="B395" s="66">
        <v>4086</v>
      </c>
      <c r="C395" s="42">
        <v>628200</v>
      </c>
      <c r="D395" s="54">
        <v>4612043541</v>
      </c>
      <c r="F395" s="1" t="s">
        <v>87</v>
      </c>
      <c r="G395" s="47" t="s">
        <v>388</v>
      </c>
    </row>
    <row r="396" spans="2:7" x14ac:dyDescent="0.2">
      <c r="B396" s="66">
        <v>4086</v>
      </c>
      <c r="C396" s="42">
        <v>928540</v>
      </c>
      <c r="D396" s="54">
        <v>4951330031</v>
      </c>
      <c r="F396" s="1" t="s">
        <v>87</v>
      </c>
      <c r="G396" s="47" t="s">
        <v>389</v>
      </c>
    </row>
    <row r="397" spans="2:7" x14ac:dyDescent="0.2">
      <c r="B397" s="66">
        <v>4086</v>
      </c>
      <c r="C397" s="42">
        <v>928550</v>
      </c>
      <c r="D397" s="54">
        <v>4951330051</v>
      </c>
      <c r="F397" s="1" t="s">
        <v>87</v>
      </c>
      <c r="G397" s="47" t="s">
        <v>390</v>
      </c>
    </row>
    <row r="398" spans="2:7" x14ac:dyDescent="0.2">
      <c r="B398" s="66">
        <v>4086</v>
      </c>
      <c r="C398" s="42">
        <v>928560</v>
      </c>
      <c r="D398" s="54">
        <v>9956513582</v>
      </c>
      <c r="F398" s="1" t="s">
        <v>87</v>
      </c>
      <c r="G398" s="47" t="s">
        <v>391</v>
      </c>
    </row>
    <row r="399" spans="2:7" x14ac:dyDescent="0.2">
      <c r="B399" s="66">
        <v>4086</v>
      </c>
      <c r="C399" s="42">
        <v>928570</v>
      </c>
      <c r="D399" s="54">
        <v>9956615010</v>
      </c>
      <c r="F399" s="1" t="s">
        <v>87</v>
      </c>
      <c r="G399" s="47" t="s">
        <v>516</v>
      </c>
    </row>
    <row r="400" spans="2:7" x14ac:dyDescent="0.2">
      <c r="B400" s="66">
        <v>4086</v>
      </c>
      <c r="C400" s="42">
        <v>928580</v>
      </c>
      <c r="D400" s="54">
        <v>9956615011</v>
      </c>
      <c r="F400" s="1" t="s">
        <v>87</v>
      </c>
      <c r="G400" s="47" t="s">
        <v>392</v>
      </c>
    </row>
    <row r="401" spans="2:7" x14ac:dyDescent="0.2">
      <c r="B401" s="66">
        <v>4086</v>
      </c>
      <c r="C401" s="42">
        <v>928590</v>
      </c>
      <c r="D401" s="54">
        <v>9956615012</v>
      </c>
      <c r="F401" s="1" t="s">
        <v>87</v>
      </c>
      <c r="G401" s="47" t="s">
        <v>393</v>
      </c>
    </row>
    <row r="402" spans="2:7" x14ac:dyDescent="0.2">
      <c r="B402" s="66">
        <v>4086</v>
      </c>
      <c r="C402" s="42">
        <v>928600</v>
      </c>
      <c r="D402" s="54">
        <v>9956615033</v>
      </c>
      <c r="F402" s="1" t="s">
        <v>87</v>
      </c>
      <c r="G402" s="47" t="s">
        <v>394</v>
      </c>
    </row>
    <row r="403" spans="2:7" x14ac:dyDescent="0.2">
      <c r="B403" s="66">
        <v>4086</v>
      </c>
      <c r="C403" s="42">
        <v>928610</v>
      </c>
      <c r="D403" s="54">
        <v>9956615102</v>
      </c>
      <c r="F403" s="1" t="s">
        <v>87</v>
      </c>
      <c r="G403" s="47" t="s">
        <v>395</v>
      </c>
    </row>
    <row r="404" spans="2:7" x14ac:dyDescent="0.2">
      <c r="B404" s="66">
        <v>4086</v>
      </c>
      <c r="C404" s="42">
        <v>928620</v>
      </c>
      <c r="D404" s="54">
        <v>9956615262</v>
      </c>
      <c r="F404" s="1" t="s">
        <v>87</v>
      </c>
      <c r="G404" s="47" t="s">
        <v>396</v>
      </c>
    </row>
    <row r="405" spans="2:7" x14ac:dyDescent="0.2">
      <c r="B405" s="66">
        <v>4086</v>
      </c>
      <c r="C405" s="42">
        <v>928630</v>
      </c>
      <c r="D405" s="54">
        <v>9991105100</v>
      </c>
      <c r="F405" s="1" t="s">
        <v>87</v>
      </c>
      <c r="G405" s="47" t="s">
        <v>397</v>
      </c>
    </row>
    <row r="406" spans="2:7" x14ac:dyDescent="0.2">
      <c r="B406" s="66">
        <v>4086</v>
      </c>
      <c r="C406" s="42">
        <v>618200</v>
      </c>
      <c r="D406" s="54">
        <v>46112199804</v>
      </c>
      <c r="F406" s="1" t="s">
        <v>87</v>
      </c>
      <c r="G406" s="47" t="s">
        <v>398</v>
      </c>
    </row>
    <row r="407" spans="2:7" x14ac:dyDescent="0.2">
      <c r="B407" s="66">
        <v>4086</v>
      </c>
      <c r="C407" s="42">
        <v>928640</v>
      </c>
      <c r="D407" s="54">
        <v>99566104272</v>
      </c>
      <c r="F407" s="1" t="s">
        <v>87</v>
      </c>
      <c r="G407" s="47" t="s">
        <v>399</v>
      </c>
    </row>
    <row r="408" spans="2:7" x14ac:dyDescent="0.2">
      <c r="B408" s="66">
        <v>4086</v>
      </c>
      <c r="C408" s="42">
        <v>928650</v>
      </c>
      <c r="D408" s="54" t="s">
        <v>495</v>
      </c>
      <c r="F408" s="1" t="s">
        <v>87</v>
      </c>
      <c r="G408" s="46" t="s">
        <v>496</v>
      </c>
    </row>
    <row r="428" spans="3:3" x14ac:dyDescent="0.2">
      <c r="C428" s="39"/>
    </row>
    <row r="429" spans="3:3" x14ac:dyDescent="0.2">
      <c r="C429" s="39"/>
    </row>
    <row r="430" spans="3:3" x14ac:dyDescent="0.2">
      <c r="C430" s="39"/>
    </row>
    <row r="431" spans="3:3" x14ac:dyDescent="0.2">
      <c r="C431" s="39"/>
    </row>
    <row r="432" spans="3:3" x14ac:dyDescent="0.2">
      <c r="C432" s="39"/>
    </row>
    <row r="433" spans="3:3" x14ac:dyDescent="0.2">
      <c r="C433" s="39"/>
    </row>
    <row r="434" spans="3:3" x14ac:dyDescent="0.2">
      <c r="C434" s="39"/>
    </row>
    <row r="435" spans="3:3" x14ac:dyDescent="0.2">
      <c r="C435" s="39"/>
    </row>
    <row r="436" spans="3:3" x14ac:dyDescent="0.2">
      <c r="C436" s="39"/>
    </row>
    <row r="437" spans="3:3" x14ac:dyDescent="0.2">
      <c r="C437" s="39"/>
    </row>
    <row r="438" spans="3:3" x14ac:dyDescent="0.2">
      <c r="C438" s="39"/>
    </row>
    <row r="439" spans="3:3" x14ac:dyDescent="0.2">
      <c r="C439" s="39"/>
    </row>
    <row r="440" spans="3:3" x14ac:dyDescent="0.2">
      <c r="C440" s="39"/>
    </row>
    <row r="441" spans="3:3" x14ac:dyDescent="0.2">
      <c r="C441" s="39"/>
    </row>
    <row r="442" spans="3:3" x14ac:dyDescent="0.2">
      <c r="C442" s="39"/>
    </row>
    <row r="443" spans="3:3" x14ac:dyDescent="0.2">
      <c r="C443" s="39"/>
    </row>
    <row r="444" spans="3:3" x14ac:dyDescent="0.2">
      <c r="C444" s="39"/>
    </row>
    <row r="445" spans="3:3" x14ac:dyDescent="0.2">
      <c r="C445" s="39"/>
    </row>
    <row r="446" spans="3:3" x14ac:dyDescent="0.2">
      <c r="C446" s="39"/>
    </row>
    <row r="447" spans="3:3" x14ac:dyDescent="0.2">
      <c r="C447" s="39"/>
    </row>
    <row r="448" spans="3:3" x14ac:dyDescent="0.2">
      <c r="C448" s="39"/>
    </row>
    <row r="449" spans="3:3" x14ac:dyDescent="0.2">
      <c r="C449" s="39"/>
    </row>
    <row r="450" spans="3:3" x14ac:dyDescent="0.2">
      <c r="C450" s="39"/>
    </row>
    <row r="451" spans="3:3" x14ac:dyDescent="0.2">
      <c r="C451" s="39"/>
    </row>
    <row r="452" spans="3:3" x14ac:dyDescent="0.2">
      <c r="C452" s="39"/>
    </row>
    <row r="453" spans="3:3" x14ac:dyDescent="0.2">
      <c r="C453" s="39"/>
    </row>
    <row r="454" spans="3:3" x14ac:dyDescent="0.2">
      <c r="C454" s="39"/>
    </row>
    <row r="455" spans="3:3" x14ac:dyDescent="0.2">
      <c r="C455" s="39"/>
    </row>
    <row r="456" spans="3:3" x14ac:dyDescent="0.2">
      <c r="C456" s="39"/>
    </row>
    <row r="457" spans="3:3" x14ac:dyDescent="0.2">
      <c r="C457" s="39"/>
    </row>
    <row r="458" spans="3:3" x14ac:dyDescent="0.2">
      <c r="C458" s="39"/>
    </row>
    <row r="459" spans="3:3" x14ac:dyDescent="0.2">
      <c r="C459" s="39"/>
    </row>
    <row r="460" spans="3:3" x14ac:dyDescent="0.2">
      <c r="C460" s="39"/>
    </row>
    <row r="461" spans="3:3" x14ac:dyDescent="0.2">
      <c r="C461" s="39"/>
    </row>
    <row r="462" spans="3:3" x14ac:dyDescent="0.2">
      <c r="C462" s="39"/>
    </row>
    <row r="463" spans="3:3" x14ac:dyDescent="0.2">
      <c r="C463" s="39"/>
    </row>
    <row r="464" spans="3:3" x14ac:dyDescent="0.2">
      <c r="C464" s="39"/>
    </row>
    <row r="465" spans="1:3" x14ac:dyDescent="0.2">
      <c r="C465" s="39"/>
    </row>
    <row r="466" spans="1:3" x14ac:dyDescent="0.2">
      <c r="C466" s="39"/>
    </row>
    <row r="467" spans="1:3" x14ac:dyDescent="0.2">
      <c r="C467" s="39"/>
    </row>
    <row r="468" spans="1:3" x14ac:dyDescent="0.2">
      <c r="C468" s="39"/>
    </row>
    <row r="469" spans="1:3" x14ac:dyDescent="0.2">
      <c r="C469" s="39"/>
    </row>
    <row r="470" spans="1:3" x14ac:dyDescent="0.2">
      <c r="C470" s="39"/>
    </row>
    <row r="471" spans="1:3" x14ac:dyDescent="0.2">
      <c r="C471" s="39"/>
    </row>
    <row r="472" spans="1:3" x14ac:dyDescent="0.2">
      <c r="C472" s="39"/>
    </row>
    <row r="473" spans="1:3" x14ac:dyDescent="0.2">
      <c r="C473" s="39"/>
    </row>
    <row r="474" spans="1:3" x14ac:dyDescent="0.2">
      <c r="C474" s="39"/>
    </row>
    <row r="475" spans="1:3" x14ac:dyDescent="0.2">
      <c r="C475" s="39"/>
    </row>
    <row r="476" spans="1:3" x14ac:dyDescent="0.2">
      <c r="C476" s="39"/>
    </row>
    <row r="477" spans="1:3" x14ac:dyDescent="0.2">
      <c r="C477" s="39"/>
    </row>
    <row r="478" spans="1:3" x14ac:dyDescent="0.2">
      <c r="C478" s="39"/>
    </row>
    <row r="479" spans="1:3" x14ac:dyDescent="0.2">
      <c r="C479" s="39"/>
    </row>
    <row r="480" spans="1:3" x14ac:dyDescent="0.2">
      <c r="A480" s="40"/>
      <c r="B480" s="40"/>
      <c r="C480" s="44"/>
    </row>
    <row r="481" spans="3:3" x14ac:dyDescent="0.2">
      <c r="C481" s="39"/>
    </row>
    <row r="482" spans="3:3" x14ac:dyDescent="0.2">
      <c r="C482" s="39"/>
    </row>
    <row r="483" spans="3:3" x14ac:dyDescent="0.2">
      <c r="C483" s="39"/>
    </row>
    <row r="484" spans="3:3" x14ac:dyDescent="0.2">
      <c r="C484" s="39"/>
    </row>
    <row r="485" spans="3:3" x14ac:dyDescent="0.2">
      <c r="C485" s="39"/>
    </row>
    <row r="486" spans="3:3" x14ac:dyDescent="0.2">
      <c r="C486" s="39"/>
    </row>
    <row r="487" spans="3:3" x14ac:dyDescent="0.2">
      <c r="C487" s="39"/>
    </row>
    <row r="488" spans="3:3" x14ac:dyDescent="0.2">
      <c r="C488" s="39"/>
    </row>
    <row r="489" spans="3:3" x14ac:dyDescent="0.2">
      <c r="C489" s="39"/>
    </row>
    <row r="490" spans="3:3" x14ac:dyDescent="0.2">
      <c r="C490" s="39"/>
    </row>
    <row r="491" spans="3:3" x14ac:dyDescent="0.2">
      <c r="C491" s="39"/>
    </row>
    <row r="492" spans="3:3" x14ac:dyDescent="0.2">
      <c r="C492" s="39"/>
    </row>
    <row r="493" spans="3:3" x14ac:dyDescent="0.2">
      <c r="C493" s="39"/>
    </row>
    <row r="494" spans="3:3" x14ac:dyDescent="0.2">
      <c r="C494" s="39"/>
    </row>
    <row r="495" spans="3:3" x14ac:dyDescent="0.2">
      <c r="C495" s="39"/>
    </row>
    <row r="496" spans="3:3" x14ac:dyDescent="0.2">
      <c r="C496" s="39"/>
    </row>
    <row r="497" spans="3:3" x14ac:dyDescent="0.2">
      <c r="C497" s="39"/>
    </row>
    <row r="498" spans="3:3" x14ac:dyDescent="0.2">
      <c r="C498" s="39"/>
    </row>
    <row r="499" spans="3:3" x14ac:dyDescent="0.2">
      <c r="C499" s="39"/>
    </row>
    <row r="500" spans="3:3" x14ac:dyDescent="0.2">
      <c r="C500" s="39"/>
    </row>
    <row r="501" spans="3:3" x14ac:dyDescent="0.2">
      <c r="C501" s="39"/>
    </row>
    <row r="502" spans="3:3" x14ac:dyDescent="0.2">
      <c r="C502" s="39"/>
    </row>
    <row r="503" spans="3:3" x14ac:dyDescent="0.2">
      <c r="C503" s="39"/>
    </row>
    <row r="504" spans="3:3" x14ac:dyDescent="0.2">
      <c r="C504" s="39"/>
    </row>
    <row r="505" spans="3:3" x14ac:dyDescent="0.2">
      <c r="C505" s="39"/>
    </row>
    <row r="506" spans="3:3" x14ac:dyDescent="0.2">
      <c r="C506" s="39"/>
    </row>
    <row r="507" spans="3:3" x14ac:dyDescent="0.2">
      <c r="C507" s="39"/>
    </row>
    <row r="508" spans="3:3" x14ac:dyDescent="0.2">
      <c r="C508" s="39"/>
    </row>
    <row r="509" spans="3:3" x14ac:dyDescent="0.2">
      <c r="C509" s="39"/>
    </row>
    <row r="510" spans="3:3" x14ac:dyDescent="0.2">
      <c r="C510" s="39"/>
    </row>
    <row r="511" spans="3:3" x14ac:dyDescent="0.2">
      <c r="C511" s="39"/>
    </row>
    <row r="512" spans="3:3" x14ac:dyDescent="0.2">
      <c r="C512" s="39"/>
    </row>
    <row r="513" spans="3:3" x14ac:dyDescent="0.2">
      <c r="C513" s="39"/>
    </row>
    <row r="514" spans="3:3" x14ac:dyDescent="0.2">
      <c r="C514" s="39"/>
    </row>
    <row r="515" spans="3:3" x14ac:dyDescent="0.2">
      <c r="C515" s="39"/>
    </row>
    <row r="516" spans="3:3" x14ac:dyDescent="0.2">
      <c r="C516" s="39"/>
    </row>
    <row r="517" spans="3:3" x14ac:dyDescent="0.2">
      <c r="C517" s="39"/>
    </row>
    <row r="518" spans="3:3" x14ac:dyDescent="0.2">
      <c r="C518" s="39"/>
    </row>
    <row r="519" spans="3:3" x14ac:dyDescent="0.2">
      <c r="C519" s="39"/>
    </row>
    <row r="525" spans="3:3" x14ac:dyDescent="0.2">
      <c r="C525" s="39"/>
    </row>
    <row r="526" spans="3:3" x14ac:dyDescent="0.2">
      <c r="C526" s="39"/>
    </row>
    <row r="527" spans="3:3" x14ac:dyDescent="0.2">
      <c r="C527" s="39"/>
    </row>
    <row r="528" spans="3:3" x14ac:dyDescent="0.2">
      <c r="C528" s="39"/>
    </row>
    <row r="529" spans="3:3" x14ac:dyDescent="0.2">
      <c r="C529" s="39"/>
    </row>
    <row r="530" spans="3:3" x14ac:dyDescent="0.2">
      <c r="C530" s="39"/>
    </row>
    <row r="531" spans="3:3" x14ac:dyDescent="0.2">
      <c r="C531" s="39"/>
    </row>
    <row r="532" spans="3:3" x14ac:dyDescent="0.2">
      <c r="C532" s="39"/>
    </row>
    <row r="533" spans="3:3" x14ac:dyDescent="0.2">
      <c r="C533" s="39"/>
    </row>
    <row r="534" spans="3:3" x14ac:dyDescent="0.2">
      <c r="C534" s="39"/>
    </row>
    <row r="535" spans="3:3" x14ac:dyDescent="0.2">
      <c r="C535" s="39"/>
    </row>
    <row r="536" spans="3:3" x14ac:dyDescent="0.2">
      <c r="C536" s="39"/>
    </row>
    <row r="537" spans="3:3" x14ac:dyDescent="0.2">
      <c r="C537" s="39"/>
    </row>
    <row r="538" spans="3:3" x14ac:dyDescent="0.2">
      <c r="C538" s="39"/>
    </row>
    <row r="539" spans="3:3" x14ac:dyDescent="0.2">
      <c r="C539" s="39"/>
    </row>
    <row r="540" spans="3:3" x14ac:dyDescent="0.2">
      <c r="C540" s="39"/>
    </row>
    <row r="541" spans="3:3" x14ac:dyDescent="0.2">
      <c r="C541" s="39"/>
    </row>
    <row r="542" spans="3:3" x14ac:dyDescent="0.2">
      <c r="C542" s="39"/>
    </row>
    <row r="543" spans="3:3" x14ac:dyDescent="0.2">
      <c r="C543" s="39"/>
    </row>
    <row r="544" spans="3:3" x14ac:dyDescent="0.2">
      <c r="C544" s="39"/>
    </row>
    <row r="545" spans="3:3" x14ac:dyDescent="0.2">
      <c r="C545" s="39"/>
    </row>
    <row r="546" spans="3:3" x14ac:dyDescent="0.2">
      <c r="C546" s="39"/>
    </row>
    <row r="547" spans="3:3" x14ac:dyDescent="0.2">
      <c r="C547" s="39"/>
    </row>
    <row r="548" spans="3:3" x14ac:dyDescent="0.2">
      <c r="C548" s="39"/>
    </row>
    <row r="549" spans="3:3" x14ac:dyDescent="0.2">
      <c r="C549" s="39"/>
    </row>
    <row r="550" spans="3:3" x14ac:dyDescent="0.2">
      <c r="C550" s="39"/>
    </row>
    <row r="551" spans="3:3" x14ac:dyDescent="0.2">
      <c r="C551" s="39"/>
    </row>
    <row r="552" spans="3:3" x14ac:dyDescent="0.2">
      <c r="C552" s="39"/>
    </row>
    <row r="553" spans="3:3" x14ac:dyDescent="0.2">
      <c r="C553" s="39"/>
    </row>
    <row r="554" spans="3:3" x14ac:dyDescent="0.2">
      <c r="C554" s="39"/>
    </row>
    <row r="555" spans="3:3" x14ac:dyDescent="0.2">
      <c r="C555" s="39"/>
    </row>
    <row r="556" spans="3:3" x14ac:dyDescent="0.2">
      <c r="C556" s="39"/>
    </row>
    <row r="557" spans="3:3" x14ac:dyDescent="0.2">
      <c r="C557" s="39"/>
    </row>
    <row r="558" spans="3:3" x14ac:dyDescent="0.2">
      <c r="C558" s="39"/>
    </row>
    <row r="559" spans="3:3" x14ac:dyDescent="0.2">
      <c r="C559" s="39"/>
    </row>
    <row r="560" spans="3:3" x14ac:dyDescent="0.2">
      <c r="C560" s="39"/>
    </row>
    <row r="561" spans="3:3" x14ac:dyDescent="0.2">
      <c r="C561" s="39"/>
    </row>
    <row r="562" spans="3:3" x14ac:dyDescent="0.2">
      <c r="C562" s="39"/>
    </row>
    <row r="563" spans="3:3" x14ac:dyDescent="0.2">
      <c r="C563" s="39"/>
    </row>
    <row r="564" spans="3:3" x14ac:dyDescent="0.2">
      <c r="C564" s="39"/>
    </row>
    <row r="565" spans="3:3" x14ac:dyDescent="0.2">
      <c r="C565" s="39"/>
    </row>
    <row r="566" spans="3:3" x14ac:dyDescent="0.2">
      <c r="C566" s="39"/>
    </row>
    <row r="567" spans="3:3" x14ac:dyDescent="0.2">
      <c r="C567" s="39"/>
    </row>
    <row r="568" spans="3:3" x14ac:dyDescent="0.2">
      <c r="C568" s="39"/>
    </row>
    <row r="569" spans="3:3" x14ac:dyDescent="0.2">
      <c r="C569" s="39"/>
    </row>
    <row r="570" spans="3:3" x14ac:dyDescent="0.2">
      <c r="C570" s="39"/>
    </row>
    <row r="571" spans="3:3" x14ac:dyDescent="0.2">
      <c r="C571" s="39"/>
    </row>
    <row r="572" spans="3:3" x14ac:dyDescent="0.2">
      <c r="C572" s="39"/>
    </row>
    <row r="573" spans="3:3" x14ac:dyDescent="0.2">
      <c r="C573" s="39"/>
    </row>
    <row r="574" spans="3:3" x14ac:dyDescent="0.2">
      <c r="C574" s="39"/>
    </row>
    <row r="575" spans="3:3" x14ac:dyDescent="0.2">
      <c r="C575" s="39"/>
    </row>
    <row r="576" spans="3:3" x14ac:dyDescent="0.2">
      <c r="C576" s="39"/>
    </row>
    <row r="577" spans="3:3" x14ac:dyDescent="0.2">
      <c r="C577" s="39"/>
    </row>
    <row r="578" spans="3:3" x14ac:dyDescent="0.2">
      <c r="C578" s="39"/>
    </row>
    <row r="579" spans="3:3" x14ac:dyDescent="0.2">
      <c r="C579" s="39"/>
    </row>
    <row r="580" spans="3:3" x14ac:dyDescent="0.2">
      <c r="C580" s="39"/>
    </row>
    <row r="581" spans="3:3" x14ac:dyDescent="0.2">
      <c r="C581" s="39"/>
    </row>
    <row r="582" spans="3:3" x14ac:dyDescent="0.2">
      <c r="C582" s="39"/>
    </row>
    <row r="583" spans="3:3" x14ac:dyDescent="0.2">
      <c r="C583" s="39"/>
    </row>
    <row r="584" spans="3:3" x14ac:dyDescent="0.2">
      <c r="C584" s="39"/>
    </row>
    <row r="585" spans="3:3" x14ac:dyDescent="0.2">
      <c r="C585" s="39"/>
    </row>
    <row r="586" spans="3:3" x14ac:dyDescent="0.2">
      <c r="C586" s="39"/>
    </row>
    <row r="587" spans="3:3" x14ac:dyDescent="0.2">
      <c r="C587" s="39"/>
    </row>
    <row r="588" spans="3:3" x14ac:dyDescent="0.2">
      <c r="C588" s="39"/>
    </row>
    <row r="589" spans="3:3" x14ac:dyDescent="0.2">
      <c r="C589" s="39"/>
    </row>
    <row r="590" spans="3:3" x14ac:dyDescent="0.2">
      <c r="C590" s="39"/>
    </row>
    <row r="591" spans="3:3" x14ac:dyDescent="0.2">
      <c r="C591" s="39"/>
    </row>
    <row r="592" spans="3:3" x14ac:dyDescent="0.2">
      <c r="C592" s="39"/>
    </row>
    <row r="593" spans="3:3" x14ac:dyDescent="0.2">
      <c r="C593" s="39"/>
    </row>
    <row r="594" spans="3:3" x14ac:dyDescent="0.2">
      <c r="C594" s="39"/>
    </row>
    <row r="595" spans="3:3" x14ac:dyDescent="0.2">
      <c r="C595" s="39"/>
    </row>
    <row r="596" spans="3:3" x14ac:dyDescent="0.2">
      <c r="C596" s="39"/>
    </row>
    <row r="597" spans="3:3" x14ac:dyDescent="0.2">
      <c r="C597" s="39"/>
    </row>
    <row r="598" spans="3:3" x14ac:dyDescent="0.2">
      <c r="C598" s="39"/>
    </row>
    <row r="599" spans="3:3" x14ac:dyDescent="0.2">
      <c r="C599" s="39"/>
    </row>
    <row r="600" spans="3:3" x14ac:dyDescent="0.2">
      <c r="C600" s="39"/>
    </row>
    <row r="601" spans="3:3" x14ac:dyDescent="0.2">
      <c r="C601" s="39"/>
    </row>
    <row r="602" spans="3:3" x14ac:dyDescent="0.2">
      <c r="C602" s="39"/>
    </row>
    <row r="603" spans="3:3" x14ac:dyDescent="0.2">
      <c r="C603" s="39"/>
    </row>
    <row r="604" spans="3:3" x14ac:dyDescent="0.2">
      <c r="C604" s="39"/>
    </row>
    <row r="605" spans="3:3" x14ac:dyDescent="0.2">
      <c r="C605" s="39"/>
    </row>
    <row r="606" spans="3:3" x14ac:dyDescent="0.2">
      <c r="C606" s="39"/>
    </row>
    <row r="607" spans="3:3" x14ac:dyDescent="0.2">
      <c r="C607" s="39"/>
    </row>
    <row r="608" spans="3:3" x14ac:dyDescent="0.2">
      <c r="C608" s="39"/>
    </row>
    <row r="609" spans="3:3" x14ac:dyDescent="0.2">
      <c r="C609" s="39"/>
    </row>
    <row r="610" spans="3:3" x14ac:dyDescent="0.2">
      <c r="C610" s="39"/>
    </row>
    <row r="611" spans="3:3" x14ac:dyDescent="0.2">
      <c r="C611" s="39"/>
    </row>
    <row r="612" spans="3:3" x14ac:dyDescent="0.2">
      <c r="C612" s="39"/>
    </row>
    <row r="613" spans="3:3" x14ac:dyDescent="0.2">
      <c r="C613" s="39"/>
    </row>
    <row r="614" spans="3:3" x14ac:dyDescent="0.2">
      <c r="C614" s="39"/>
    </row>
    <row r="615" spans="3:3" x14ac:dyDescent="0.2">
      <c r="C615" s="39"/>
    </row>
    <row r="616" spans="3:3" x14ac:dyDescent="0.2">
      <c r="C616" s="39"/>
    </row>
    <row r="617" spans="3:3" x14ac:dyDescent="0.2">
      <c r="C617" s="39"/>
    </row>
    <row r="618" spans="3:3" x14ac:dyDescent="0.2">
      <c r="C618" s="39"/>
    </row>
    <row r="619" spans="3:3" x14ac:dyDescent="0.2">
      <c r="C619" s="39"/>
    </row>
    <row r="620" spans="3:3" x14ac:dyDescent="0.2">
      <c r="C620" s="39"/>
    </row>
    <row r="621" spans="3:3" x14ac:dyDescent="0.2">
      <c r="C621" s="39"/>
    </row>
    <row r="622" spans="3:3" x14ac:dyDescent="0.2">
      <c r="C622" s="39"/>
    </row>
    <row r="623" spans="3:3" x14ac:dyDescent="0.2">
      <c r="C623" s="39"/>
    </row>
    <row r="624" spans="3:3" x14ac:dyDescent="0.2">
      <c r="C624" s="39"/>
    </row>
    <row r="625" spans="3:3" x14ac:dyDescent="0.2">
      <c r="C625" s="39"/>
    </row>
    <row r="626" spans="3:3" x14ac:dyDescent="0.2">
      <c r="C626" s="39"/>
    </row>
    <row r="627" spans="3:3" x14ac:dyDescent="0.2">
      <c r="C627" s="39"/>
    </row>
    <row r="628" spans="3:3" x14ac:dyDescent="0.2">
      <c r="C628" s="39"/>
    </row>
    <row r="629" spans="3:3" x14ac:dyDescent="0.2">
      <c r="C629" s="39"/>
    </row>
    <row r="630" spans="3:3" x14ac:dyDescent="0.2">
      <c r="C630" s="39"/>
    </row>
    <row r="631" spans="3:3" x14ac:dyDescent="0.2">
      <c r="C631" s="39"/>
    </row>
    <row r="632" spans="3:3" x14ac:dyDescent="0.2">
      <c r="C632" s="39"/>
    </row>
    <row r="633" spans="3:3" x14ac:dyDescent="0.2">
      <c r="C633" s="39"/>
    </row>
    <row r="634" spans="3:3" x14ac:dyDescent="0.2">
      <c r="C634" s="39"/>
    </row>
    <row r="635" spans="3:3" x14ac:dyDescent="0.2">
      <c r="C635" s="39"/>
    </row>
    <row r="636" spans="3:3" x14ac:dyDescent="0.2">
      <c r="C636" s="39"/>
    </row>
    <row r="637" spans="3:3" x14ac:dyDescent="0.2">
      <c r="C637" s="39"/>
    </row>
    <row r="638" spans="3:3" x14ac:dyDescent="0.2">
      <c r="C638" s="39"/>
    </row>
    <row r="639" spans="3:3" x14ac:dyDescent="0.2">
      <c r="C639" s="39"/>
    </row>
    <row r="640" spans="3:3" x14ac:dyDescent="0.2">
      <c r="C640" s="39"/>
    </row>
    <row r="641" spans="3:3" x14ac:dyDescent="0.2">
      <c r="C641" s="39"/>
    </row>
    <row r="642" spans="3:3" x14ac:dyDescent="0.2">
      <c r="C642" s="39"/>
    </row>
    <row r="643" spans="3:3" x14ac:dyDescent="0.2">
      <c r="C643" s="39"/>
    </row>
    <row r="644" spans="3:3" x14ac:dyDescent="0.2">
      <c r="C644" s="39"/>
    </row>
    <row r="645" spans="3:3" x14ac:dyDescent="0.2">
      <c r="C645" s="39"/>
    </row>
    <row r="646" spans="3:3" x14ac:dyDescent="0.2">
      <c r="C646" s="39"/>
    </row>
    <row r="647" spans="3:3" x14ac:dyDescent="0.2">
      <c r="C647" s="39"/>
    </row>
    <row r="648" spans="3:3" x14ac:dyDescent="0.2">
      <c r="C648" s="39"/>
    </row>
    <row r="649" spans="3:3" x14ac:dyDescent="0.2">
      <c r="C649" s="39"/>
    </row>
    <row r="650" spans="3:3" x14ac:dyDescent="0.2">
      <c r="C650" s="39"/>
    </row>
    <row r="651" spans="3:3" x14ac:dyDescent="0.2">
      <c r="C651" s="39"/>
    </row>
    <row r="652" spans="3:3" x14ac:dyDescent="0.2">
      <c r="C652" s="39"/>
    </row>
    <row r="653" spans="3:3" x14ac:dyDescent="0.2">
      <c r="C653" s="39"/>
    </row>
    <row r="654" spans="3:3" x14ac:dyDescent="0.2">
      <c r="C654" s="39"/>
    </row>
    <row r="655" spans="3:3" x14ac:dyDescent="0.2">
      <c r="C655" s="39"/>
    </row>
    <row r="656" spans="3:3" x14ac:dyDescent="0.2">
      <c r="C656" s="39"/>
    </row>
    <row r="657" spans="3:3" x14ac:dyDescent="0.2">
      <c r="C657" s="39"/>
    </row>
    <row r="658" spans="3:3" x14ac:dyDescent="0.2">
      <c r="C658" s="39"/>
    </row>
    <row r="659" spans="3:3" x14ac:dyDescent="0.2">
      <c r="C659" s="39"/>
    </row>
    <row r="660" spans="3:3" x14ac:dyDescent="0.2">
      <c r="C660" s="39"/>
    </row>
    <row r="661" spans="3:3" x14ac:dyDescent="0.2">
      <c r="C661" s="39"/>
    </row>
    <row r="662" spans="3:3" x14ac:dyDescent="0.2">
      <c r="C662" s="39"/>
    </row>
    <row r="663" spans="3:3" x14ac:dyDescent="0.2">
      <c r="C663" s="39"/>
    </row>
    <row r="664" spans="3:3" x14ac:dyDescent="0.2">
      <c r="C664" s="39"/>
    </row>
    <row r="665" spans="3:3" x14ac:dyDescent="0.2">
      <c r="C665" s="39"/>
    </row>
    <row r="666" spans="3:3" x14ac:dyDescent="0.2">
      <c r="C666" s="39"/>
    </row>
    <row r="667" spans="3:3" x14ac:dyDescent="0.2">
      <c r="C667" s="39"/>
    </row>
    <row r="668" spans="3:3" x14ac:dyDescent="0.2">
      <c r="C668" s="39"/>
    </row>
    <row r="669" spans="3:3" x14ac:dyDescent="0.2">
      <c r="C669" s="39"/>
    </row>
    <row r="670" spans="3:3" x14ac:dyDescent="0.2">
      <c r="C670" s="39"/>
    </row>
    <row r="671" spans="3:3" x14ac:dyDescent="0.2">
      <c r="C671" s="39"/>
    </row>
    <row r="672" spans="3:3" x14ac:dyDescent="0.2">
      <c r="C672" s="39"/>
    </row>
    <row r="673" spans="3:3" x14ac:dyDescent="0.2">
      <c r="C673" s="39"/>
    </row>
    <row r="674" spans="3:3" x14ac:dyDescent="0.2">
      <c r="C674" s="39"/>
    </row>
    <row r="675" spans="3:3" x14ac:dyDescent="0.2">
      <c r="C675" s="39"/>
    </row>
    <row r="676" spans="3:3" x14ac:dyDescent="0.2">
      <c r="C676" s="39"/>
    </row>
    <row r="677" spans="3:3" x14ac:dyDescent="0.2">
      <c r="C677" s="39"/>
    </row>
    <row r="678" spans="3:3" x14ac:dyDescent="0.2">
      <c r="C678" s="39"/>
    </row>
    <row r="679" spans="3:3" x14ac:dyDescent="0.2">
      <c r="C679" s="39"/>
    </row>
    <row r="680" spans="3:3" x14ac:dyDescent="0.2">
      <c r="C680" s="39"/>
    </row>
    <row r="681" spans="3:3" x14ac:dyDescent="0.2">
      <c r="C681" s="39"/>
    </row>
    <row r="682" spans="3:3" x14ac:dyDescent="0.2">
      <c r="C682" s="39"/>
    </row>
    <row r="683" spans="3:3" x14ac:dyDescent="0.2">
      <c r="C683" s="39"/>
    </row>
    <row r="684" spans="3:3" x14ac:dyDescent="0.2">
      <c r="C684" s="39"/>
    </row>
    <row r="685" spans="3:3" x14ac:dyDescent="0.2">
      <c r="C685" s="7"/>
    </row>
    <row r="686" spans="3:3" x14ac:dyDescent="0.2">
      <c r="C686" s="7"/>
    </row>
    <row r="687" spans="3:3" x14ac:dyDescent="0.2">
      <c r="C687" s="7"/>
    </row>
    <row r="688" spans="3:3" x14ac:dyDescent="0.2">
      <c r="C688" s="7"/>
    </row>
    <row r="689" spans="3:3" x14ac:dyDescent="0.2">
      <c r="C689" s="7"/>
    </row>
    <row r="690" spans="3:3" x14ac:dyDescent="0.2">
      <c r="C690" s="43"/>
    </row>
    <row r="691" spans="3:3" x14ac:dyDescent="0.2">
      <c r="C691" s="43"/>
    </row>
  </sheetData>
  <autoFilter ref="C8:D408"/>
  <sortState ref="D1:G837">
    <sortCondition ref="D1:D83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rightToLeft="1" workbookViewId="0">
      <selection activeCell="B28" sqref="B28"/>
    </sheetView>
  </sheetViews>
  <sheetFormatPr defaultRowHeight="14.25" x14ac:dyDescent="0.2"/>
  <cols>
    <col min="2" max="2" width="14.125" bestFit="1" customWidth="1"/>
    <col min="3" max="3" width="14.25" bestFit="1" customWidth="1"/>
  </cols>
  <sheetData>
    <row r="1" spans="1:3" x14ac:dyDescent="0.2">
      <c r="A1" s="1" t="str">
        <f>"יח'"</f>
        <v>יח'</v>
      </c>
      <c r="B1" s="1" t="str">
        <f>"תאור יחידה"</f>
        <v>תאור יחידה</v>
      </c>
      <c r="C1" s="1" t="str">
        <f>"שם יחידה באנגלית"</f>
        <v>שם יחידה באנגלית</v>
      </c>
    </row>
    <row r="2" spans="1:3" x14ac:dyDescent="0.2">
      <c r="A2" s="1" t="str">
        <f>"lb"</f>
        <v>lb</v>
      </c>
      <c r="B2" s="1" t="str">
        <f>"ליטרה"</f>
        <v>ליטרה</v>
      </c>
      <c r="C2" s="1"/>
    </row>
    <row r="3" spans="1:3" x14ac:dyDescent="0.2">
      <c r="A3" s="1" t="str">
        <f>"yrd"</f>
        <v>yrd</v>
      </c>
      <c r="B3" s="1" t="str">
        <f>"יארד"</f>
        <v>יארד</v>
      </c>
      <c r="C3" s="1"/>
    </row>
    <row r="4" spans="1:3" x14ac:dyDescent="0.2">
      <c r="A4" s="1" t="str">
        <f>"gl"</f>
        <v>gl</v>
      </c>
      <c r="B4" s="1" t="str">
        <f>"גלון"</f>
        <v>גלון</v>
      </c>
      <c r="C4" s="1"/>
    </row>
    <row r="5" spans="1:3" x14ac:dyDescent="0.2">
      <c r="A5" s="1" t="str">
        <f>"in"</f>
        <v>in</v>
      </c>
      <c r="B5" s="1" t="str">
        <f>"אינטש"</f>
        <v>אינטש</v>
      </c>
      <c r="C5" s="1"/>
    </row>
    <row r="6" spans="1:3" x14ac:dyDescent="0.2">
      <c r="A6" s="1" t="str">
        <f>"ton"</f>
        <v>ton</v>
      </c>
      <c r="B6" s="1" t="str">
        <f>"טון אמריקאי"</f>
        <v>טון אמריקאי</v>
      </c>
      <c r="C6" s="1"/>
    </row>
    <row r="7" spans="1:3" x14ac:dyDescent="0.2">
      <c r="A7" s="1" t="str">
        <f>"ft"</f>
        <v>ft</v>
      </c>
      <c r="B7" s="1" t="str">
        <f>"רגל"</f>
        <v>רגל</v>
      </c>
      <c r="C7" s="1"/>
    </row>
    <row r="8" spans="1:3" x14ac:dyDescent="0.2">
      <c r="A8" s="1" t="str">
        <f>"pt"</f>
        <v>pt</v>
      </c>
      <c r="B8" s="1" t="str">
        <f>"פיינט"</f>
        <v>פיינט</v>
      </c>
      <c r="C8" s="1"/>
    </row>
    <row r="9" spans="1:3" x14ac:dyDescent="0.2">
      <c r="A9" s="1" t="str">
        <f>"qt"</f>
        <v>qt</v>
      </c>
      <c r="B9" s="1" t="str">
        <f>"קוורט"</f>
        <v>קוורט</v>
      </c>
      <c r="C9" s="1"/>
    </row>
    <row r="10" spans="1:3" x14ac:dyDescent="0.2">
      <c r="A10" s="1" t="str">
        <f>"oz"</f>
        <v>oz</v>
      </c>
      <c r="B10" s="1" t="str">
        <f>"אונקיה"</f>
        <v>אונקיה</v>
      </c>
      <c r="C10" s="1"/>
    </row>
    <row r="11" spans="1:3" x14ac:dyDescent="0.2">
      <c r="A11" s="1" t="str">
        <f>"גרם"</f>
        <v>גרם</v>
      </c>
      <c r="B11" s="1" t="str">
        <f>"גרם"</f>
        <v>גרם</v>
      </c>
      <c r="C11" s="1" t="str">
        <f>"gm"</f>
        <v>gm</v>
      </c>
    </row>
    <row r="12" spans="1:3" x14ac:dyDescent="0.2">
      <c r="A12" s="1" t="str">
        <f>"טון"</f>
        <v>טון</v>
      </c>
      <c r="B12" s="1" t="str">
        <f>"טון"</f>
        <v>טון</v>
      </c>
      <c r="C12" s="1" t="str">
        <f>"ton"</f>
        <v>ton</v>
      </c>
    </row>
    <row r="13" spans="1:3" x14ac:dyDescent="0.2">
      <c r="A13" s="1" t="str">
        <f>"יח'"</f>
        <v>יח'</v>
      </c>
      <c r="B13" s="1" t="str">
        <f>"יחידה"</f>
        <v>יחידה</v>
      </c>
      <c r="C13" s="1" t="str">
        <f>"ea"</f>
        <v>ea</v>
      </c>
    </row>
    <row r="14" spans="1:3" x14ac:dyDescent="0.2">
      <c r="A14" s="1" t="str">
        <f>"ל'"</f>
        <v>ל'</v>
      </c>
      <c r="B14" s="1" t="str">
        <f>"ליטר"</f>
        <v>ליטר</v>
      </c>
      <c r="C14" s="1" t="str">
        <f>"lt"</f>
        <v>lt</v>
      </c>
    </row>
    <row r="15" spans="1:3" x14ac:dyDescent="0.2">
      <c r="A15" s="1" t="str">
        <f>"מ'מ"</f>
        <v>מ'מ</v>
      </c>
      <c r="B15" s="1" t="str">
        <f>"מילימטר"</f>
        <v>מילימטר</v>
      </c>
      <c r="C15" s="1" t="str">
        <f>"mm"</f>
        <v>mm</v>
      </c>
    </row>
    <row r="16" spans="1:3" x14ac:dyDescent="0.2">
      <c r="A16" s="1" t="str">
        <f>"מט."</f>
        <v>מט.</v>
      </c>
      <c r="B16" s="1" t="str">
        <f>"יח' אורך בסיסית"</f>
        <v>יח' אורך בסיסית</v>
      </c>
      <c r="C16" s="1"/>
    </row>
    <row r="17" spans="1:3" x14ac:dyDescent="0.2">
      <c r="A17" s="1" t="str">
        <f>"מטר"</f>
        <v>מטר</v>
      </c>
      <c r="B17" s="1" t="str">
        <f>"מטר"</f>
        <v>מטר</v>
      </c>
      <c r="C17" s="1" t="str">
        <f>"m"</f>
        <v>m</v>
      </c>
    </row>
    <row r="18" spans="1:3" x14ac:dyDescent="0.2">
      <c r="A18" s="1" t="str">
        <f>"נפח"</f>
        <v>נפח</v>
      </c>
      <c r="B18" s="1" t="str">
        <f>"יחידת נפח בסיסית"</f>
        <v>יחידת נפח בסיסית</v>
      </c>
      <c r="C18" s="1"/>
    </row>
    <row r="19" spans="1:3" x14ac:dyDescent="0.2">
      <c r="A19" s="1" t="str">
        <f>"ס'מ"</f>
        <v>ס'מ</v>
      </c>
      <c r="B19" s="1" t="str">
        <f>"סנטימטר"</f>
        <v>סנטימטר</v>
      </c>
      <c r="C19" s="1" t="str">
        <f>"cm"</f>
        <v>cm</v>
      </c>
    </row>
    <row r="20" spans="1:3" x14ac:dyDescent="0.2">
      <c r="A20" s="1" t="str">
        <f>"ק'ג"</f>
        <v>ק'ג</v>
      </c>
      <c r="B20" s="1" t="str">
        <f>"קילוגרם"</f>
        <v>קילוגרם</v>
      </c>
      <c r="C20" s="1" t="str">
        <f>"kg"</f>
        <v>kg</v>
      </c>
    </row>
    <row r="21" spans="1:3" x14ac:dyDescent="0.2">
      <c r="A21" s="1" t="str">
        <f>"ק'מ"</f>
        <v>ק'מ</v>
      </c>
      <c r="B21" s="1" t="str">
        <f>"קילומטר נסיעה"</f>
        <v>קילומטר נסיעה</v>
      </c>
      <c r="C21" s="1" t="str">
        <f>"km"</f>
        <v>km</v>
      </c>
    </row>
    <row r="22" spans="1:3" x14ac:dyDescent="0.2">
      <c r="A22" s="1" t="str">
        <f>"קוב"</f>
        <v>קוב</v>
      </c>
      <c r="B22" s="1" t="str">
        <f>"מטר מעוקב"</f>
        <v>מטר מעוקב</v>
      </c>
      <c r="C22" s="1" t="str">
        <f>"cu"</f>
        <v>cu</v>
      </c>
    </row>
    <row r="23" spans="1:3" x14ac:dyDescent="0.2">
      <c r="A23" s="1" t="str">
        <f>"ש'ע"</f>
        <v>ש'ע</v>
      </c>
      <c r="B23" s="1" t="str">
        <f>"שעת עבודה"</f>
        <v>שעת עבודה</v>
      </c>
      <c r="C23" s="1" t="str">
        <f>"hr"</f>
        <v>hr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rightToLeft="1" topLeftCell="A25" workbookViewId="0">
      <selection activeCell="F7" sqref="F7"/>
    </sheetView>
  </sheetViews>
  <sheetFormatPr defaultRowHeight="14.25" x14ac:dyDescent="0.2"/>
  <cols>
    <col min="1" max="1" width="9.375" bestFit="1" customWidth="1"/>
    <col min="2" max="2" width="17.375" bestFit="1" customWidth="1"/>
  </cols>
  <sheetData>
    <row r="1" spans="1:10" x14ac:dyDescent="0.2">
      <c r="A1" s="1" t="s">
        <v>62</v>
      </c>
      <c r="B1" s="1" t="str">
        <f>"תאור מטבע"</f>
        <v>תאור מטבע</v>
      </c>
    </row>
    <row r="2" spans="1:10" x14ac:dyDescent="0.2">
      <c r="A2" s="1" t="str">
        <f>"ש""ח"</f>
        <v>ש"ח</v>
      </c>
      <c r="B2" s="1" t="str">
        <f>"שקלים"</f>
        <v>שקלים</v>
      </c>
    </row>
    <row r="3" spans="1:10" x14ac:dyDescent="0.2">
      <c r="A3" s="1" t="str">
        <f>"$"</f>
        <v>$</v>
      </c>
      <c r="B3" s="1" t="str">
        <f>"דולרים"</f>
        <v>דולרים</v>
      </c>
    </row>
    <row r="4" spans="1:10" x14ac:dyDescent="0.2">
      <c r="A4" s="1" t="str">
        <f>"ALL"</f>
        <v>ALL</v>
      </c>
      <c r="B4" s="1" t="str">
        <f>"לק אלבניה"</f>
        <v>לק אלבניה</v>
      </c>
    </row>
    <row r="5" spans="1:10" x14ac:dyDescent="0.2">
      <c r="A5" s="1" t="str">
        <f>"ARP"</f>
        <v>ARP</v>
      </c>
      <c r="B5" s="1" t="str">
        <f>"פסו ארגנטינה"</f>
        <v>פסו ארגנטינה</v>
      </c>
    </row>
    <row r="6" spans="1:10" x14ac:dyDescent="0.2">
      <c r="A6" s="1" t="str">
        <f>"AUD"</f>
        <v>AUD</v>
      </c>
      <c r="B6" s="1" t="str">
        <f>"דולר אוסטרלי"</f>
        <v>דולר אוסטרלי</v>
      </c>
    </row>
    <row r="7" spans="1:10" x14ac:dyDescent="0.2">
      <c r="A7" s="1" t="str">
        <f>"BDT"</f>
        <v>BDT</v>
      </c>
      <c r="B7" s="1" t="str">
        <f>"טקה בנגלדש"</f>
        <v>טקה בנגלדש</v>
      </c>
    </row>
    <row r="8" spans="1:10" x14ac:dyDescent="0.2">
      <c r="A8" s="1" t="str">
        <f>"BGL"</f>
        <v>BGL</v>
      </c>
      <c r="B8" s="1" t="str">
        <f>"לב בולגרי"</f>
        <v>לב בולגרי</v>
      </c>
    </row>
    <row r="9" spans="1:10" x14ac:dyDescent="0.2">
      <c r="A9" s="1" t="str">
        <f>"BHD"</f>
        <v>BHD</v>
      </c>
      <c r="B9" s="1" t="str">
        <f>"דינר בחריין"</f>
        <v>דינר בחריין</v>
      </c>
    </row>
    <row r="10" spans="1:10" x14ac:dyDescent="0.2">
      <c r="A10" s="1" t="str">
        <f>"BIF"</f>
        <v>BIF</v>
      </c>
      <c r="B10" s="1" t="str">
        <f>"פרנק בורונדי"</f>
        <v>פרנק בורונדי</v>
      </c>
    </row>
    <row r="11" spans="1:10" x14ac:dyDescent="0.2">
      <c r="A11" s="1" t="str">
        <f>"BMD"</f>
        <v>BMD</v>
      </c>
      <c r="B11" s="1" t="str">
        <f>"דולר בורמזי"</f>
        <v>דולר בורמזי</v>
      </c>
    </row>
    <row r="12" spans="1:10" x14ac:dyDescent="0.2">
      <c r="A12" s="1" t="str">
        <f>"BND"</f>
        <v>BND</v>
      </c>
      <c r="B12" s="1" t="str">
        <f>"דולר ברונאיי"</f>
        <v>דולר ברונאיי</v>
      </c>
    </row>
    <row r="13" spans="1:10" x14ac:dyDescent="0.2">
      <c r="A13" s="1" t="str">
        <f>"BOB"</f>
        <v>BOB</v>
      </c>
      <c r="B13" s="1" t="str">
        <f>"בוליביאנו בוליביה"</f>
        <v>בוליביאנו בוליביה</v>
      </c>
    </row>
    <row r="14" spans="1:10" x14ac:dyDescent="0.2">
      <c r="A14" s="1" t="str">
        <f>"BRR"</f>
        <v>BRR</v>
      </c>
      <c r="B14" s="1" t="str">
        <f>"ריאל ברזיל"</f>
        <v>ריאל ברזיל</v>
      </c>
      <c r="J14" t="s">
        <v>63</v>
      </c>
    </row>
    <row r="15" spans="1:10" x14ac:dyDescent="0.2">
      <c r="A15" s="1" t="str">
        <f>"BWP"</f>
        <v>BWP</v>
      </c>
      <c r="B15" s="1" t="str">
        <f>"פולה בוטסואנה"</f>
        <v>פולה בוטסואנה</v>
      </c>
    </row>
    <row r="16" spans="1:10" x14ac:dyDescent="0.2">
      <c r="A16" s="1" t="str">
        <f>"CAD"</f>
        <v>CAD</v>
      </c>
      <c r="B16" s="1" t="str">
        <f>"דולר קנדי"</f>
        <v>דולר קנדי</v>
      </c>
    </row>
    <row r="17" spans="1:2" x14ac:dyDescent="0.2">
      <c r="A17" s="1" t="str">
        <f>"CHF"</f>
        <v>CHF</v>
      </c>
      <c r="B17" s="1" t="str">
        <f>"פרנק שוויצרי"</f>
        <v>פרנק שוויצרי</v>
      </c>
    </row>
    <row r="18" spans="1:2" x14ac:dyDescent="0.2">
      <c r="A18" s="1" t="str">
        <f>"CLP"</f>
        <v>CLP</v>
      </c>
      <c r="B18" s="1" t="str">
        <f>"פזטה צ'ילה"</f>
        <v>פזטה צ'ילה</v>
      </c>
    </row>
    <row r="19" spans="1:2" x14ac:dyDescent="0.2">
      <c r="A19" s="1" t="str">
        <f>"CNY"</f>
        <v>CNY</v>
      </c>
      <c r="B19" s="1" t="str">
        <f>"יואן סין"</f>
        <v>יואן סין</v>
      </c>
    </row>
    <row r="20" spans="1:2" x14ac:dyDescent="0.2">
      <c r="A20" s="1" t="str">
        <f>"COP"</f>
        <v>COP</v>
      </c>
      <c r="B20" s="1" t="str">
        <f>"פזטה קולומביה"</f>
        <v>פזטה קולומביה</v>
      </c>
    </row>
    <row r="21" spans="1:2" x14ac:dyDescent="0.2">
      <c r="A21" s="1" t="str">
        <f>"CRC"</f>
        <v>CRC</v>
      </c>
      <c r="B21" s="1" t="str">
        <f>"קולון קוסטה ריקה"</f>
        <v>קולון קוסטה ריקה</v>
      </c>
    </row>
    <row r="22" spans="1:2" x14ac:dyDescent="0.2">
      <c r="A22" s="1" t="str">
        <f>"CSK"</f>
        <v>CSK</v>
      </c>
      <c r="B22" s="1" t="str">
        <f>"כתר צ'כי"</f>
        <v>כתר צ'כי</v>
      </c>
    </row>
    <row r="23" spans="1:2" x14ac:dyDescent="0.2">
      <c r="A23" s="1" t="str">
        <f>"CUP"</f>
        <v>CUP</v>
      </c>
      <c r="B23" s="1" t="str">
        <f>"פזטה קובה"</f>
        <v>פזטה קובה</v>
      </c>
    </row>
    <row r="24" spans="1:2" x14ac:dyDescent="0.2">
      <c r="A24" s="1" t="str">
        <f>"CYP"</f>
        <v>CYP</v>
      </c>
      <c r="B24" s="1" t="str">
        <f>"לירה קפריסין"</f>
        <v>לירה קפריסין</v>
      </c>
    </row>
    <row r="25" spans="1:2" x14ac:dyDescent="0.2">
      <c r="A25" s="1" t="str">
        <f>"DKK"</f>
        <v>DKK</v>
      </c>
      <c r="B25" s="1" t="str">
        <f>"כתר דני"</f>
        <v>כתר דני</v>
      </c>
    </row>
    <row r="26" spans="1:2" x14ac:dyDescent="0.2">
      <c r="A26" s="1" t="str">
        <f>"DOP"</f>
        <v>DOP</v>
      </c>
      <c r="B26" s="1" t="str">
        <f>"פזטה דומיניקאנית"</f>
        <v>פזטה דומיניקאנית</v>
      </c>
    </row>
    <row r="27" spans="1:2" x14ac:dyDescent="0.2">
      <c r="A27" s="1" t="str">
        <f>"DZD"</f>
        <v>DZD</v>
      </c>
      <c r="B27" s="1" t="str">
        <f>"דינר אלג'יר"</f>
        <v>דינר אלג'יר</v>
      </c>
    </row>
    <row r="28" spans="1:2" x14ac:dyDescent="0.2">
      <c r="A28" s="1" t="str">
        <f>"ECS"</f>
        <v>ECS</v>
      </c>
      <c r="B28" s="1" t="str">
        <f>"סוקרה אקואדור"</f>
        <v>סוקרה אקואדור</v>
      </c>
    </row>
    <row r="29" spans="1:2" x14ac:dyDescent="0.2">
      <c r="A29" s="1" t="str">
        <f>"EEK"</f>
        <v>EEK</v>
      </c>
      <c r="B29" s="1" t="str">
        <f>"כתר אסטוניה"</f>
        <v>כתר אסטוניה</v>
      </c>
    </row>
    <row r="30" spans="1:2" x14ac:dyDescent="0.2">
      <c r="A30" s="1" t="str">
        <f>"EGP"</f>
        <v>EGP</v>
      </c>
      <c r="B30" s="1" t="str">
        <f>"לירה מצרית"</f>
        <v>לירה מצרית</v>
      </c>
    </row>
    <row r="31" spans="1:2" x14ac:dyDescent="0.2">
      <c r="A31" s="1" t="str">
        <f>"ETB"</f>
        <v>ETB</v>
      </c>
      <c r="B31" s="1" t="str">
        <f>"ביר אתיופיה"</f>
        <v>ביר אתיופיה</v>
      </c>
    </row>
    <row r="32" spans="1:2" x14ac:dyDescent="0.2">
      <c r="A32" s="1" t="str">
        <f>"EUR"</f>
        <v>EUR</v>
      </c>
      <c r="B32" s="1" t="str">
        <f>"יורו"</f>
        <v>יורו</v>
      </c>
    </row>
    <row r="33" spans="1:2" x14ac:dyDescent="0.2">
      <c r="A33" s="1" t="str">
        <f>"GBP"</f>
        <v>GBP</v>
      </c>
      <c r="B33" s="1" t="str">
        <f>"לירה שטרלינג"</f>
        <v>לירה שטרלינג</v>
      </c>
    </row>
    <row r="34" spans="1:2" x14ac:dyDescent="0.2">
      <c r="A34" s="1" t="str">
        <f>"GHC"</f>
        <v>GHC</v>
      </c>
      <c r="B34" s="1" t="str">
        <f>"צ'די גאנה"</f>
        <v>צ'די גאנה</v>
      </c>
    </row>
    <row r="35" spans="1:2" x14ac:dyDescent="0.2">
      <c r="A35" s="1" t="str">
        <f>"GIP"</f>
        <v>GIP</v>
      </c>
      <c r="B35" s="1" t="str">
        <f>"לירה גיברלטר"</f>
        <v>לירה גיברלטר</v>
      </c>
    </row>
    <row r="36" spans="1:2" x14ac:dyDescent="0.2">
      <c r="A36" s="1" t="str">
        <f>"GMD"</f>
        <v>GMD</v>
      </c>
      <c r="B36" s="1" t="str">
        <f>"דאלאסי גאמביה"</f>
        <v>דאלאסי גאמביה</v>
      </c>
    </row>
    <row r="37" spans="1:2" x14ac:dyDescent="0.2">
      <c r="A37" s="1" t="str">
        <f>"GNF"</f>
        <v>GNF</v>
      </c>
      <c r="B37" s="1" t="str">
        <f>"פרנק גינאה"</f>
        <v>פרנק גינאה</v>
      </c>
    </row>
    <row r="38" spans="1:2" x14ac:dyDescent="0.2">
      <c r="A38" s="1" t="str">
        <f>"GTQ"</f>
        <v>GTQ</v>
      </c>
      <c r="B38" s="1" t="str">
        <f>"קצל גוואטמלה"</f>
        <v>קצל גוואטמלה</v>
      </c>
    </row>
    <row r="39" spans="1:2" x14ac:dyDescent="0.2">
      <c r="A39" s="1" t="str">
        <f>"HKD"</f>
        <v>HKD</v>
      </c>
      <c r="B39" s="1" t="str">
        <f>"דולר הונג קונג"</f>
        <v>דולר הונג קונג</v>
      </c>
    </row>
    <row r="40" spans="1:2" x14ac:dyDescent="0.2">
      <c r="A40" s="1" t="str">
        <f>"HNL"</f>
        <v>HNL</v>
      </c>
      <c r="B40" s="1" t="str">
        <f>"למפירה הונדורס"</f>
        <v>למפירה הונדורס</v>
      </c>
    </row>
    <row r="41" spans="1:2" x14ac:dyDescent="0.2">
      <c r="A41" s="1" t="str">
        <f>"HRK"</f>
        <v>HRK</v>
      </c>
      <c r="B41" s="1" t="str">
        <f>"קונה קרואטית"</f>
        <v>קונה קרואטית</v>
      </c>
    </row>
    <row r="42" spans="1:2" x14ac:dyDescent="0.2">
      <c r="A42" s="1" t="str">
        <f>"HTG"</f>
        <v>HTG</v>
      </c>
      <c r="B42" s="1" t="str">
        <f>"גורד האיטי"</f>
        <v>גורד האיטי</v>
      </c>
    </row>
    <row r="43" spans="1:2" x14ac:dyDescent="0.2">
      <c r="A43" s="1" t="str">
        <f>"HUF"</f>
        <v>HUF</v>
      </c>
      <c r="B43" s="1" t="str">
        <f>"פורינט הונגרי"</f>
        <v>פורינט הונגרי</v>
      </c>
    </row>
    <row r="44" spans="1:2" x14ac:dyDescent="0.2">
      <c r="A44" s="1" t="str">
        <f>"IDR"</f>
        <v>IDR</v>
      </c>
      <c r="B44" s="1" t="str">
        <f>"רופיה אינדונזיה"</f>
        <v>רופיה אינדונזיה</v>
      </c>
    </row>
    <row r="45" spans="1:2" x14ac:dyDescent="0.2">
      <c r="A45" s="1" t="str">
        <f>"INR"</f>
        <v>INR</v>
      </c>
      <c r="B45" s="1" t="str">
        <f>"רופיה הודית"</f>
        <v>רופיה הודית</v>
      </c>
    </row>
    <row r="46" spans="1:2" x14ac:dyDescent="0.2">
      <c r="A46" s="1" t="str">
        <f>"IQD"</f>
        <v>IQD</v>
      </c>
      <c r="B46" s="1" t="str">
        <f>"דינר עיראקי"</f>
        <v>דינר עיראקי</v>
      </c>
    </row>
    <row r="47" spans="1:2" x14ac:dyDescent="0.2">
      <c r="A47" s="1" t="str">
        <f>"IRR"</f>
        <v>IRR</v>
      </c>
      <c r="B47" s="1" t="str">
        <f>"ריאל אירני"</f>
        <v>ריאל אירני</v>
      </c>
    </row>
    <row r="48" spans="1:2" x14ac:dyDescent="0.2">
      <c r="A48" s="1" t="str">
        <f>"ISK"</f>
        <v>ISK</v>
      </c>
      <c r="B48" s="1" t="str">
        <f>"כתר איסלנדי"</f>
        <v>כתר איסלנדי</v>
      </c>
    </row>
    <row r="49" spans="1:2" x14ac:dyDescent="0.2">
      <c r="A49" s="1" t="str">
        <f>"JMD"</f>
        <v>JMD</v>
      </c>
      <c r="B49" s="1" t="str">
        <f>"דולר ג'מייקה"</f>
        <v>דולר ג'מייקה</v>
      </c>
    </row>
    <row r="50" spans="1:2" x14ac:dyDescent="0.2">
      <c r="A50" s="1" t="str">
        <f>"JOD"</f>
        <v>JOD</v>
      </c>
      <c r="B50" s="1" t="str">
        <f>"דינר ירדני"</f>
        <v>דינר ירדני</v>
      </c>
    </row>
    <row r="51" spans="1:2" x14ac:dyDescent="0.2">
      <c r="A51" s="1" t="str">
        <f>"JPY"</f>
        <v>JPY</v>
      </c>
      <c r="B51" s="1" t="str">
        <f>"ין יפני"</f>
        <v>ין יפני</v>
      </c>
    </row>
    <row r="52" spans="1:2" x14ac:dyDescent="0.2">
      <c r="A52" s="1" t="str">
        <f>"KES"</f>
        <v>KES</v>
      </c>
      <c r="B52" s="1" t="str">
        <f>"שילינג קניה"</f>
        <v>שילינג קניה</v>
      </c>
    </row>
    <row r="53" spans="1:2" x14ac:dyDescent="0.2">
      <c r="A53" s="1" t="str">
        <f>"KHR"</f>
        <v>KHR</v>
      </c>
      <c r="B53" s="1" t="str">
        <f>"ריאל קמבודיה"</f>
        <v>ריאל קמבודיה</v>
      </c>
    </row>
    <row r="54" spans="1:2" x14ac:dyDescent="0.2">
      <c r="A54" s="1" t="str">
        <f>"KPW"</f>
        <v>KPW</v>
      </c>
      <c r="B54" s="1" t="str">
        <f>"וון צפון קוריאה"</f>
        <v>וון צפון קוריאה</v>
      </c>
    </row>
    <row r="55" spans="1:2" x14ac:dyDescent="0.2">
      <c r="A55" s="1" t="str">
        <f>"KRW"</f>
        <v>KRW</v>
      </c>
      <c r="B55" s="1" t="str">
        <f>"וון דרום קוריאה"</f>
        <v>וון דרום קוריאה</v>
      </c>
    </row>
    <row r="56" spans="1:2" x14ac:dyDescent="0.2">
      <c r="A56" s="1" t="str">
        <f>"KZT"</f>
        <v>KZT</v>
      </c>
      <c r="B56" s="1" t="str">
        <f>"טנגה קזחסטאן"</f>
        <v>טנגה קזחסטאן</v>
      </c>
    </row>
    <row r="57" spans="1:2" x14ac:dyDescent="0.2">
      <c r="A57" s="1" t="str">
        <f>"LAK"</f>
        <v>LAK</v>
      </c>
      <c r="B57" s="1" t="str">
        <f>"קיפ לאוס"</f>
        <v>קיפ לאוס</v>
      </c>
    </row>
    <row r="58" spans="1:2" x14ac:dyDescent="0.2">
      <c r="A58" s="1" t="str">
        <f>"LBP"</f>
        <v>LBP</v>
      </c>
      <c r="B58" s="1" t="str">
        <f>"לירה לבנונית"</f>
        <v>לירה לבנונית</v>
      </c>
    </row>
    <row r="59" spans="1:2" x14ac:dyDescent="0.2">
      <c r="A59" s="1" t="str">
        <f>"LKR"</f>
        <v>LKR</v>
      </c>
      <c r="B59" s="1" t="str">
        <f>"רופיה סרי-לנקה"</f>
        <v>רופיה סרי-לנקה</v>
      </c>
    </row>
    <row r="60" spans="1:2" x14ac:dyDescent="0.2">
      <c r="A60" s="1" t="str">
        <f>"LRD"</f>
        <v>LRD</v>
      </c>
      <c r="B60" s="1" t="str">
        <f>"דולר ליבריה"</f>
        <v>דולר ליבריה</v>
      </c>
    </row>
    <row r="61" spans="1:2" x14ac:dyDescent="0.2">
      <c r="A61" s="1" t="str">
        <f>"LSL"</f>
        <v>LSL</v>
      </c>
      <c r="B61" s="1" t="str">
        <f>"לוטי לסוטו"</f>
        <v>לוטי לסוטו</v>
      </c>
    </row>
    <row r="62" spans="1:2" x14ac:dyDescent="0.2">
      <c r="A62" s="1" t="str">
        <f>"LTL"</f>
        <v>LTL</v>
      </c>
      <c r="B62" s="1" t="str">
        <f>"ליטאס ליטואניה"</f>
        <v>ליטאס ליטואניה</v>
      </c>
    </row>
    <row r="63" spans="1:2" x14ac:dyDescent="0.2">
      <c r="A63" s="1" t="str">
        <f>"LVL"</f>
        <v>LVL</v>
      </c>
      <c r="B63" s="1" t="str">
        <f>"לאטס לאטביה"</f>
        <v>לאטס לאטביה</v>
      </c>
    </row>
    <row r="64" spans="1:2" x14ac:dyDescent="0.2">
      <c r="A64" s="1" t="str">
        <f>"LYD"</f>
        <v>LYD</v>
      </c>
      <c r="B64" s="1" t="str">
        <f>"דינר לוב"</f>
        <v>דינר לוב</v>
      </c>
    </row>
    <row r="65" spans="1:2" x14ac:dyDescent="0.2">
      <c r="A65" s="1" t="str">
        <f>"MAD"</f>
        <v>MAD</v>
      </c>
      <c r="B65" s="1" t="str">
        <f>"דירהם מרוקאי"</f>
        <v>דירהם מרוקאי</v>
      </c>
    </row>
    <row r="66" spans="1:2" x14ac:dyDescent="0.2">
      <c r="A66" s="1" t="str">
        <f>"MGF"</f>
        <v>MGF</v>
      </c>
      <c r="B66" s="1" t="str">
        <f>"פרנק מלגזי"</f>
        <v>פרנק מלגזי</v>
      </c>
    </row>
    <row r="67" spans="1:2" x14ac:dyDescent="0.2">
      <c r="A67" s="1" t="str">
        <f>"MNT"</f>
        <v>MNT</v>
      </c>
      <c r="B67" s="1" t="str">
        <f>"טוגריק מונגוליה"</f>
        <v>טוגריק מונגוליה</v>
      </c>
    </row>
    <row r="68" spans="1:2" x14ac:dyDescent="0.2">
      <c r="A68" s="1" t="str">
        <f>"MRO"</f>
        <v>MRO</v>
      </c>
      <c r="B68" s="1" t="str">
        <f>"אוגויה מאוריטניה"</f>
        <v>אוגויה מאוריטניה</v>
      </c>
    </row>
    <row r="69" spans="1:2" x14ac:dyDescent="0.2">
      <c r="A69" s="1" t="str">
        <f>"MTL"</f>
        <v>MTL</v>
      </c>
      <c r="B69" s="1" t="str">
        <f>"לירה מלטה"</f>
        <v>לירה מלטה</v>
      </c>
    </row>
    <row r="70" spans="1:2" x14ac:dyDescent="0.2">
      <c r="A70" s="1" t="str">
        <f>"MVR"</f>
        <v>MVR</v>
      </c>
      <c r="B70" s="1" t="str">
        <f>"רופיה מולדביה"</f>
        <v>רופיה מולדביה</v>
      </c>
    </row>
    <row r="71" spans="1:2" x14ac:dyDescent="0.2">
      <c r="A71" s="1" t="str">
        <f>"MWK"</f>
        <v>MWK</v>
      </c>
      <c r="B71" s="1" t="str">
        <f>"קוואצ'ה מאלווי"</f>
        <v>קוואצ'ה מאלווי</v>
      </c>
    </row>
    <row r="72" spans="1:2" x14ac:dyDescent="0.2">
      <c r="A72" s="1" t="str">
        <f>"MXP"</f>
        <v>MXP</v>
      </c>
      <c r="B72" s="1" t="str">
        <f>"פזטה מקסיקו"</f>
        <v>פזטה מקסיקו</v>
      </c>
    </row>
    <row r="73" spans="1:2" x14ac:dyDescent="0.2">
      <c r="A73" s="1" t="str">
        <f>"MYR"</f>
        <v>MYR</v>
      </c>
      <c r="B73" s="1" t="str">
        <f>"רינגיט מאלזיה"</f>
        <v>רינגיט מאלזיה</v>
      </c>
    </row>
    <row r="74" spans="1:2" x14ac:dyDescent="0.2">
      <c r="A74" s="1" t="str">
        <f>"MZM"</f>
        <v>MZM</v>
      </c>
      <c r="B74" s="1" t="str">
        <f>"מטיקאל מוזמביק"</f>
        <v>מטיקאל מוזמביק</v>
      </c>
    </row>
    <row r="75" spans="1:2" x14ac:dyDescent="0.2">
      <c r="A75" s="1" t="str">
        <f>"NAD"</f>
        <v>NAD</v>
      </c>
      <c r="B75" s="1" t="str">
        <f>"דולר נמיביה"</f>
        <v>דולר נמיביה</v>
      </c>
    </row>
    <row r="76" spans="1:2" x14ac:dyDescent="0.2">
      <c r="A76" s="1" t="str">
        <f>"NGN"</f>
        <v>NGN</v>
      </c>
      <c r="B76" s="1" t="str">
        <f>"נאירה ניגריה"</f>
        <v>נאירה ניגריה</v>
      </c>
    </row>
    <row r="77" spans="1:2" x14ac:dyDescent="0.2">
      <c r="A77" s="1" t="str">
        <f>"NIO"</f>
        <v>NIO</v>
      </c>
      <c r="B77" s="1" t="str">
        <f>"קורדובה ניקרגואה"</f>
        <v>קורדובה ניקרגואה</v>
      </c>
    </row>
    <row r="78" spans="1:2" x14ac:dyDescent="0.2">
      <c r="A78" s="1" t="str">
        <f>"NOK"</f>
        <v>NOK</v>
      </c>
      <c r="B78" s="1" t="str">
        <f>"כתר נורווגי"</f>
        <v>כתר נורווגי</v>
      </c>
    </row>
    <row r="79" spans="1:2" x14ac:dyDescent="0.2">
      <c r="A79" s="1" t="str">
        <f>"NPR"</f>
        <v>NPR</v>
      </c>
      <c r="B79" s="1" t="str">
        <f>"רופיה נפאל"</f>
        <v>רופיה נפאל</v>
      </c>
    </row>
    <row r="80" spans="1:2" x14ac:dyDescent="0.2">
      <c r="A80" s="1" t="str">
        <f>"NZD"</f>
        <v>NZD</v>
      </c>
      <c r="B80" s="1" t="str">
        <f>"דולר ניו-זילנד"</f>
        <v>דולר ניו-זילנד</v>
      </c>
    </row>
    <row r="81" spans="1:2" x14ac:dyDescent="0.2">
      <c r="A81" s="1" t="str">
        <f>"OMR"</f>
        <v>OMR</v>
      </c>
      <c r="B81" s="1" t="str">
        <f>"ריאל עומאן"</f>
        <v>ריאל עומאן</v>
      </c>
    </row>
    <row r="82" spans="1:2" x14ac:dyDescent="0.2">
      <c r="A82" s="1" t="str">
        <f>"PAB"</f>
        <v>PAB</v>
      </c>
      <c r="B82" s="1" t="str">
        <f>"בלבואה פנמה"</f>
        <v>בלבואה פנמה</v>
      </c>
    </row>
    <row r="83" spans="1:2" x14ac:dyDescent="0.2">
      <c r="A83" s="1" t="str">
        <f>"PEN"</f>
        <v>PEN</v>
      </c>
      <c r="B83" s="1" t="str">
        <f>"נואבו פרו"</f>
        <v>נואבו פרו</v>
      </c>
    </row>
    <row r="84" spans="1:2" x14ac:dyDescent="0.2">
      <c r="A84" s="1" t="str">
        <f>"PGK"</f>
        <v>PGK</v>
      </c>
      <c r="B84" s="1" t="str">
        <f>"קינה גינאה"</f>
        <v>קינה גינאה</v>
      </c>
    </row>
    <row r="85" spans="1:2" x14ac:dyDescent="0.2">
      <c r="A85" s="1" t="str">
        <f>"PHP"</f>
        <v>PHP</v>
      </c>
      <c r="B85" s="1" t="str">
        <f>"פזטה פיליפינים"</f>
        <v>פזטה פיליפינים</v>
      </c>
    </row>
    <row r="86" spans="1:2" x14ac:dyDescent="0.2">
      <c r="A86" s="1" t="str">
        <f>"PKR"</f>
        <v>PKR</v>
      </c>
      <c r="B86" s="1" t="str">
        <f>"רופיה פקיסטאן"</f>
        <v>רופיה פקיסטאן</v>
      </c>
    </row>
    <row r="87" spans="1:2" x14ac:dyDescent="0.2">
      <c r="A87" s="1" t="str">
        <f>"PLZ"</f>
        <v>PLZ</v>
      </c>
      <c r="B87" s="1" t="str">
        <f>"זלוטי פולני"</f>
        <v>זלוטי פולני</v>
      </c>
    </row>
    <row r="88" spans="1:2" x14ac:dyDescent="0.2">
      <c r="A88" s="1" t="str">
        <f>"PYG"</f>
        <v>PYG</v>
      </c>
      <c r="B88" s="1" t="str">
        <f>"גוארני פרגוואי"</f>
        <v>גוארני פרגוואי</v>
      </c>
    </row>
    <row r="89" spans="1:2" x14ac:dyDescent="0.2">
      <c r="A89" s="1" t="str">
        <f>"QAR"</f>
        <v>QAR</v>
      </c>
      <c r="B89" s="1" t="str">
        <f>"ריאל קטאר"</f>
        <v>ריאל קטאר</v>
      </c>
    </row>
    <row r="90" spans="1:2" x14ac:dyDescent="0.2">
      <c r="A90" s="1" t="str">
        <f>"ROL"</f>
        <v>ROL</v>
      </c>
      <c r="B90" s="1" t="str">
        <f>"לאו רומני"</f>
        <v>לאו רומני</v>
      </c>
    </row>
    <row r="91" spans="1:2" x14ac:dyDescent="0.2">
      <c r="A91" s="1" t="str">
        <f>"RUB"</f>
        <v>RUB</v>
      </c>
      <c r="B91" s="1" t="str">
        <f>"רובל רוסי"</f>
        <v>רובל רוסי</v>
      </c>
    </row>
    <row r="92" spans="1:2" x14ac:dyDescent="0.2">
      <c r="A92" s="1" t="str">
        <f>"SAL"</f>
        <v>SAL</v>
      </c>
      <c r="B92" s="1" t="str">
        <f>"סל מטבעות"</f>
        <v>סל מטבעות</v>
      </c>
    </row>
    <row r="93" spans="1:2" x14ac:dyDescent="0.2">
      <c r="A93" s="1" t="str">
        <f>"SAR"</f>
        <v>SAR</v>
      </c>
      <c r="B93" s="1" t="str">
        <f>"ריאל סעודי"</f>
        <v>ריאל סעודי</v>
      </c>
    </row>
    <row r="94" spans="1:2" x14ac:dyDescent="0.2">
      <c r="A94" s="1" t="str">
        <f>"SEK"</f>
        <v>SEK</v>
      </c>
      <c r="B94" s="1" t="str">
        <f>"כתר שוודי"</f>
        <v>כתר שוודי</v>
      </c>
    </row>
    <row r="95" spans="1:2" x14ac:dyDescent="0.2">
      <c r="A95" s="1" t="str">
        <f>"SGD"</f>
        <v>SGD</v>
      </c>
      <c r="B95" s="1" t="str">
        <f>"דולר סינגפורי"</f>
        <v>דולר סינגפורי</v>
      </c>
    </row>
    <row r="96" spans="1:2" x14ac:dyDescent="0.2">
      <c r="A96" s="1" t="str">
        <f>"SIT"</f>
        <v>SIT</v>
      </c>
      <c r="B96" s="1" t="str">
        <f>"טולאר סלובניה"</f>
        <v>טולאר סלובניה</v>
      </c>
    </row>
    <row r="97" spans="1:2" x14ac:dyDescent="0.2">
      <c r="A97" s="1" t="str">
        <f>"SKK"</f>
        <v>SKK</v>
      </c>
      <c r="B97" s="1" t="str">
        <f>"כתר סלובקיה"</f>
        <v>כתר סלובקיה</v>
      </c>
    </row>
    <row r="98" spans="1:2" x14ac:dyDescent="0.2">
      <c r="A98" s="1" t="str">
        <f>"SLL"</f>
        <v>SLL</v>
      </c>
      <c r="B98" s="1" t="str">
        <f>"לאון סיירה לאון"</f>
        <v>לאון סיירה לאון</v>
      </c>
    </row>
    <row r="99" spans="1:2" x14ac:dyDescent="0.2">
      <c r="A99" s="1" t="str">
        <f>"SOS"</f>
        <v>SOS</v>
      </c>
      <c r="B99" s="1" t="str">
        <f>"שילינג סומאליה"</f>
        <v>שילינג סומאליה</v>
      </c>
    </row>
    <row r="100" spans="1:2" x14ac:dyDescent="0.2">
      <c r="A100" s="1" t="str">
        <f>"SRG"</f>
        <v>SRG</v>
      </c>
      <c r="B100" s="1" t="str">
        <f>"פלורין סורינאם"</f>
        <v>פלורין סורינאם</v>
      </c>
    </row>
    <row r="101" spans="1:2" x14ac:dyDescent="0.2">
      <c r="A101" s="1" t="str">
        <f>"SVC"</f>
        <v>SVC</v>
      </c>
      <c r="B101" s="1" t="str">
        <f>"קולון אל סלבדור"</f>
        <v>קולון אל סלבדור</v>
      </c>
    </row>
    <row r="102" spans="1:2" x14ac:dyDescent="0.2">
      <c r="A102" s="1" t="str">
        <f>"SYP"</f>
        <v>SYP</v>
      </c>
      <c r="B102" s="1" t="str">
        <f>"לירה סורית"</f>
        <v>לירה סורית</v>
      </c>
    </row>
    <row r="103" spans="1:2" x14ac:dyDescent="0.2">
      <c r="A103" s="1" t="str">
        <f>"SZL"</f>
        <v>SZL</v>
      </c>
      <c r="B103" s="1" t="str">
        <f>"לילאנגני סוואזילנד"</f>
        <v>לילאנגני סוואזילנד</v>
      </c>
    </row>
    <row r="104" spans="1:2" x14ac:dyDescent="0.2">
      <c r="A104" s="1" t="str">
        <f>"THB"</f>
        <v>THB</v>
      </c>
      <c r="B104" s="1" t="str">
        <f>"באהט תאילנד"</f>
        <v>באהט תאילנד</v>
      </c>
    </row>
    <row r="105" spans="1:2" x14ac:dyDescent="0.2">
      <c r="A105" s="1" t="str">
        <f>"TND"</f>
        <v>TND</v>
      </c>
      <c r="B105" s="1" t="str">
        <f>"דינר טוניס"</f>
        <v>דינר טוניס</v>
      </c>
    </row>
    <row r="106" spans="1:2" x14ac:dyDescent="0.2">
      <c r="A106" s="1" t="str">
        <f>"TRL"</f>
        <v>TRL</v>
      </c>
      <c r="B106" s="1" t="str">
        <f>"לירה טורקית"</f>
        <v>לירה טורקית</v>
      </c>
    </row>
    <row r="107" spans="1:2" x14ac:dyDescent="0.2">
      <c r="A107" s="1" t="str">
        <f>"TTD"</f>
        <v>TTD</v>
      </c>
      <c r="B107" s="1" t="str">
        <f>"דולר טרינידד"</f>
        <v>דולר טרינידד</v>
      </c>
    </row>
    <row r="108" spans="1:2" x14ac:dyDescent="0.2">
      <c r="A108" s="1" t="str">
        <f>"TWD"</f>
        <v>TWD</v>
      </c>
      <c r="B108" s="1" t="str">
        <f>"דולר טאיוואני"</f>
        <v>דולר טאיוואני</v>
      </c>
    </row>
    <row r="109" spans="1:2" x14ac:dyDescent="0.2">
      <c r="A109" s="1" t="str">
        <f>"TZS"</f>
        <v>TZS</v>
      </c>
      <c r="B109" s="1" t="str">
        <f>"שילינג טנזניה"</f>
        <v>שילינג טנזניה</v>
      </c>
    </row>
    <row r="110" spans="1:2" x14ac:dyDescent="0.2">
      <c r="A110" s="1" t="str">
        <f>"UAK"</f>
        <v>UAK</v>
      </c>
      <c r="B110" s="1" t="str">
        <f>"קארבובאנטס אוקראינה"</f>
        <v>קארבובאנטס אוקראינה</v>
      </c>
    </row>
    <row r="111" spans="1:2" x14ac:dyDescent="0.2">
      <c r="A111" s="1" t="str">
        <f>"UGS"</f>
        <v>UGS</v>
      </c>
      <c r="B111" s="1" t="str">
        <f>"שילינג אוגנדה"</f>
        <v>שילינג אוגנדה</v>
      </c>
    </row>
    <row r="112" spans="1:2" x14ac:dyDescent="0.2">
      <c r="A112" s="1" t="str">
        <f>"UYP"</f>
        <v>UYP</v>
      </c>
      <c r="B112" s="1" t="str">
        <f>"פזטה אורוגוואי"</f>
        <v>פזטה אורוגוואי</v>
      </c>
    </row>
    <row r="113" spans="1:2" x14ac:dyDescent="0.2">
      <c r="A113" s="1" t="str">
        <f>"VEB"</f>
        <v>VEB</v>
      </c>
      <c r="B113" s="1" t="str">
        <f>"בוליבר ונצואלה"</f>
        <v>בוליבר ונצואלה</v>
      </c>
    </row>
    <row r="114" spans="1:2" x14ac:dyDescent="0.2">
      <c r="A114" s="1" t="str">
        <f>"VND"</f>
        <v>VND</v>
      </c>
      <c r="B114" s="1" t="str">
        <f>"דונג ויאטנמי"</f>
        <v>דונג ויאטנמי</v>
      </c>
    </row>
    <row r="115" spans="1:2" x14ac:dyDescent="0.2">
      <c r="A115" s="1" t="str">
        <f>"YUD"</f>
        <v>YUD</v>
      </c>
      <c r="B115" s="1" t="str">
        <f>"דינר יוגוסלביה"</f>
        <v>דינר יוגוסלביה</v>
      </c>
    </row>
    <row r="116" spans="1:2" x14ac:dyDescent="0.2">
      <c r="A116" s="1" t="str">
        <f>"ZAR"</f>
        <v>ZAR</v>
      </c>
      <c r="B116" s="1" t="str">
        <f>"רנד דרום אפריקני"</f>
        <v>רנד דרום אפריקני</v>
      </c>
    </row>
    <row r="117" spans="1:2" x14ac:dyDescent="0.2">
      <c r="A117" s="1" t="str">
        <f>"ZMK"</f>
        <v>ZMK</v>
      </c>
      <c r="B117" s="1" t="str">
        <f>"קוואצ'ה זמביה"</f>
        <v>קוואצ'ה זמביה</v>
      </c>
    </row>
    <row r="118" spans="1:2" x14ac:dyDescent="0.2">
      <c r="A118" s="1" t="str">
        <f>"ZWD"</f>
        <v>ZWD</v>
      </c>
      <c r="B118" s="1" t="str">
        <f>"דולר זימבאבווה"</f>
        <v>דולר זימבאבווה</v>
      </c>
    </row>
    <row r="119" spans="1:2" x14ac:dyDescent="0.2">
      <c r="A119" s="1" t="str">
        <f>"מד"</f>
        <v>מד</v>
      </c>
      <c r="B119" s="1" t="str">
        <f>"מדד המחירים"</f>
        <v>מדד המחירים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"/>
  <sheetViews>
    <sheetView rightToLeft="1" topLeftCell="A371" workbookViewId="0">
      <selection activeCell="K9" sqref="K9:K409"/>
    </sheetView>
  </sheetViews>
  <sheetFormatPr defaultRowHeight="14.25" x14ac:dyDescent="0.2"/>
  <cols>
    <col min="1" max="1" width="12" style="33" bestFit="1" customWidth="1"/>
    <col min="2" max="2" width="11.375" style="33" bestFit="1" customWidth="1"/>
    <col min="3" max="3" width="17.125" style="33" bestFit="1" customWidth="1"/>
    <col min="4" max="4" width="12.625" style="33" bestFit="1" customWidth="1"/>
    <col min="5" max="5" width="11.625" style="33" bestFit="1" customWidth="1"/>
    <col min="6" max="6" width="12.625" style="33" bestFit="1" customWidth="1"/>
    <col min="7" max="7" width="6.625" style="33" bestFit="1" customWidth="1"/>
    <col min="8" max="8" width="12.25" style="33" bestFit="1" customWidth="1"/>
    <col min="9" max="9" width="9.875" style="33" bestFit="1" customWidth="1"/>
    <col min="10" max="10" width="12" style="33" bestFit="1" customWidth="1"/>
    <col min="11" max="11" width="14.5" style="33" bestFit="1" customWidth="1"/>
    <col min="12" max="12" width="11.375" style="33" hidden="1" customWidth="1"/>
    <col min="13" max="13" width="10.375" style="59" bestFit="1" customWidth="1"/>
  </cols>
  <sheetData>
    <row r="1" spans="1:13" ht="18" x14ac:dyDescent="0.25">
      <c r="A1" s="58" t="s">
        <v>2</v>
      </c>
    </row>
    <row r="3" spans="1:13" x14ac:dyDescent="0.2">
      <c r="A3" s="32" t="s">
        <v>6</v>
      </c>
      <c r="B3" s="32" t="s">
        <v>13</v>
      </c>
      <c r="C3" s="32" t="s">
        <v>23</v>
      </c>
      <c r="D3" s="32" t="s">
        <v>24</v>
      </c>
      <c r="E3" s="32" t="s">
        <v>9</v>
      </c>
      <c r="F3" s="32" t="s">
        <v>25</v>
      </c>
      <c r="G3" s="32" t="s">
        <v>26</v>
      </c>
      <c r="H3" s="32" t="s">
        <v>27</v>
      </c>
      <c r="I3" s="32" t="s">
        <v>28</v>
      </c>
      <c r="J3" s="32" t="s">
        <v>29</v>
      </c>
      <c r="K3" s="32" t="s">
        <v>14</v>
      </c>
      <c r="L3" s="32" t="s">
        <v>16</v>
      </c>
      <c r="M3" s="60" t="s">
        <v>30</v>
      </c>
    </row>
    <row r="4" spans="1:13" x14ac:dyDescent="0.2">
      <c r="A4" s="32" t="s">
        <v>18</v>
      </c>
      <c r="B4" s="32">
        <v>16</v>
      </c>
      <c r="C4" s="32">
        <v>8</v>
      </c>
      <c r="D4" s="32">
        <v>3</v>
      </c>
      <c r="E4" s="32">
        <v>22</v>
      </c>
      <c r="F4" s="32">
        <v>3</v>
      </c>
      <c r="G4" s="32">
        <v>17</v>
      </c>
      <c r="H4" s="32">
        <v>13</v>
      </c>
      <c r="I4" s="32">
        <v>8</v>
      </c>
      <c r="J4" s="32">
        <v>16</v>
      </c>
      <c r="K4" s="32">
        <v>30</v>
      </c>
      <c r="L4" s="32">
        <v>48</v>
      </c>
      <c r="M4" s="60">
        <v>9</v>
      </c>
    </row>
    <row r="5" spans="1:13" x14ac:dyDescent="0.2">
      <c r="A5" s="32" t="s">
        <v>50</v>
      </c>
      <c r="B5" s="32" t="s">
        <v>51</v>
      </c>
      <c r="C5" s="32" t="s">
        <v>51</v>
      </c>
      <c r="D5" s="32" t="s">
        <v>51</v>
      </c>
      <c r="E5" s="32" t="s">
        <v>51</v>
      </c>
      <c r="F5" s="32" t="s">
        <v>51</v>
      </c>
      <c r="G5" s="32" t="s">
        <v>55</v>
      </c>
      <c r="H5" s="32" t="s">
        <v>56</v>
      </c>
      <c r="I5" s="32" t="s">
        <v>57</v>
      </c>
      <c r="J5" s="32" t="s">
        <v>52</v>
      </c>
      <c r="K5" s="32" t="s">
        <v>51</v>
      </c>
      <c r="L5" s="32" t="s">
        <v>52</v>
      </c>
      <c r="M5" s="60" t="s">
        <v>56</v>
      </c>
    </row>
    <row r="6" spans="1:13" x14ac:dyDescent="0.2">
      <c r="A6" s="32" t="s">
        <v>19</v>
      </c>
      <c r="B6" s="32" t="s">
        <v>8</v>
      </c>
      <c r="C6" s="32"/>
      <c r="D6" s="32" t="s">
        <v>8</v>
      </c>
      <c r="E6" s="32" t="s">
        <v>8</v>
      </c>
      <c r="F6" s="32"/>
      <c r="G6" s="32" t="s">
        <v>8</v>
      </c>
      <c r="H6" s="32"/>
      <c r="I6" s="32"/>
      <c r="J6" s="32"/>
      <c r="K6" s="32"/>
      <c r="L6" s="32"/>
      <c r="M6" s="60"/>
    </row>
    <row r="7" spans="1:13" x14ac:dyDescent="0.2">
      <c r="A7" s="32" t="s">
        <v>20</v>
      </c>
      <c r="B7" s="32" t="s">
        <v>21</v>
      </c>
      <c r="C7" s="32" t="s">
        <v>31</v>
      </c>
      <c r="D7" s="32" t="s">
        <v>32</v>
      </c>
      <c r="E7" s="32" t="s">
        <v>22</v>
      </c>
      <c r="F7" s="32" t="s">
        <v>32</v>
      </c>
      <c r="G7" s="32"/>
      <c r="H7" s="32"/>
      <c r="I7" s="32"/>
      <c r="J7" s="32"/>
      <c r="K7" s="32"/>
      <c r="L7" s="32" t="s">
        <v>21</v>
      </c>
      <c r="M7" s="60"/>
    </row>
    <row r="8" spans="1:13" x14ac:dyDescent="0.2">
      <c r="A8" s="32" t="s">
        <v>38</v>
      </c>
      <c r="B8" s="32">
        <v>500001</v>
      </c>
      <c r="C8" s="61" t="s">
        <v>59</v>
      </c>
      <c r="D8" s="61" t="s">
        <v>45</v>
      </c>
      <c r="E8" s="61" t="s">
        <v>60</v>
      </c>
      <c r="F8" s="61" t="s">
        <v>45</v>
      </c>
      <c r="G8" s="61" t="s">
        <v>58</v>
      </c>
      <c r="H8" s="61" t="s">
        <v>40</v>
      </c>
      <c r="I8" s="61" t="s">
        <v>61</v>
      </c>
      <c r="J8" s="61" t="s">
        <v>53</v>
      </c>
      <c r="K8" s="35">
        <v>7001</v>
      </c>
      <c r="L8" s="35"/>
      <c r="M8" s="62"/>
    </row>
    <row r="9" spans="1:13" x14ac:dyDescent="0.2">
      <c r="A9" s="32"/>
      <c r="B9" s="67">
        <v>4086</v>
      </c>
      <c r="C9" s="61" t="s">
        <v>520</v>
      </c>
      <c r="D9" s="61" t="s">
        <v>45</v>
      </c>
      <c r="E9" s="54">
        <v>10603</v>
      </c>
      <c r="F9" s="61" t="s">
        <v>45</v>
      </c>
      <c r="G9" s="32">
        <v>1</v>
      </c>
      <c r="H9" s="55">
        <v>13.68</v>
      </c>
      <c r="I9" s="61" t="s">
        <v>61</v>
      </c>
      <c r="J9" s="32" t="s">
        <v>521</v>
      </c>
      <c r="K9" s="54">
        <v>10603</v>
      </c>
      <c r="L9" s="32"/>
      <c r="M9" s="56">
        <v>0.73499999999999999</v>
      </c>
    </row>
    <row r="10" spans="1:13" x14ac:dyDescent="0.2">
      <c r="A10" s="32"/>
      <c r="B10" s="67">
        <v>4086</v>
      </c>
      <c r="C10" s="61" t="s">
        <v>520</v>
      </c>
      <c r="D10" s="61" t="s">
        <v>45</v>
      </c>
      <c r="E10" s="42">
        <v>398110</v>
      </c>
      <c r="F10" s="61" t="s">
        <v>45</v>
      </c>
      <c r="G10" s="32">
        <v>1</v>
      </c>
      <c r="H10" s="54">
        <v>5.76</v>
      </c>
      <c r="I10" s="61" t="s">
        <v>61</v>
      </c>
      <c r="J10" s="32" t="s">
        <v>521</v>
      </c>
      <c r="K10" s="54">
        <v>10610</v>
      </c>
      <c r="L10" s="32"/>
      <c r="M10" s="63"/>
    </row>
    <row r="11" spans="1:13" x14ac:dyDescent="0.2">
      <c r="A11" s="32"/>
      <c r="B11" s="67">
        <v>4086</v>
      </c>
      <c r="C11" s="61" t="s">
        <v>520</v>
      </c>
      <c r="D11" s="61" t="s">
        <v>45</v>
      </c>
      <c r="E11" s="42">
        <v>398120</v>
      </c>
      <c r="F11" s="61" t="s">
        <v>45</v>
      </c>
      <c r="G11" s="32">
        <v>1</v>
      </c>
      <c r="H11" s="54">
        <v>19.68</v>
      </c>
      <c r="I11" s="61" t="s">
        <v>61</v>
      </c>
      <c r="J11" s="32" t="s">
        <v>521</v>
      </c>
      <c r="K11" s="54">
        <v>10620</v>
      </c>
      <c r="L11" s="32"/>
      <c r="M11" s="64">
        <v>0.74</v>
      </c>
    </row>
    <row r="12" spans="1:13" x14ac:dyDescent="0.2">
      <c r="A12" s="32"/>
      <c r="B12" s="67">
        <v>4086</v>
      </c>
      <c r="C12" s="61" t="s">
        <v>520</v>
      </c>
      <c r="D12" s="61" t="s">
        <v>45</v>
      </c>
      <c r="E12" s="42">
        <v>398130</v>
      </c>
      <c r="F12" s="61" t="s">
        <v>45</v>
      </c>
      <c r="G12" s="32">
        <v>1</v>
      </c>
      <c r="H12" s="54">
        <v>7.72</v>
      </c>
      <c r="I12" s="61" t="s">
        <v>61</v>
      </c>
      <c r="J12" s="32" t="s">
        <v>521</v>
      </c>
      <c r="K12" s="54">
        <v>10640</v>
      </c>
      <c r="L12" s="32"/>
      <c r="M12" s="63"/>
    </row>
    <row r="13" spans="1:13" x14ac:dyDescent="0.2">
      <c r="A13" s="32"/>
      <c r="B13" s="67">
        <v>4086</v>
      </c>
      <c r="C13" s="61" t="s">
        <v>520</v>
      </c>
      <c r="D13" s="61" t="s">
        <v>45</v>
      </c>
      <c r="E13" s="42">
        <v>398140</v>
      </c>
      <c r="F13" s="61" t="s">
        <v>45</v>
      </c>
      <c r="G13" s="32">
        <v>1</v>
      </c>
      <c r="H13" s="54">
        <v>10.08</v>
      </c>
      <c r="I13" s="61" t="s">
        <v>61</v>
      </c>
      <c r="J13" s="32" t="s">
        <v>521</v>
      </c>
      <c r="K13" s="54">
        <v>10650</v>
      </c>
      <c r="L13" s="32"/>
      <c r="M13" s="63"/>
    </row>
    <row r="14" spans="1:13" x14ac:dyDescent="0.2">
      <c r="A14" s="32"/>
      <c r="B14" s="67">
        <v>4086</v>
      </c>
      <c r="C14" s="61" t="s">
        <v>520</v>
      </c>
      <c r="D14" s="61" t="s">
        <v>45</v>
      </c>
      <c r="E14" s="42">
        <v>398150</v>
      </c>
      <c r="F14" s="61" t="s">
        <v>45</v>
      </c>
      <c r="G14" s="32">
        <v>1</v>
      </c>
      <c r="H14" s="54">
        <v>13.72</v>
      </c>
      <c r="I14" s="61" t="s">
        <v>61</v>
      </c>
      <c r="J14" s="32" t="s">
        <v>521</v>
      </c>
      <c r="K14" s="54">
        <v>10660</v>
      </c>
      <c r="L14" s="32"/>
      <c r="M14" s="63"/>
    </row>
    <row r="15" spans="1:13" x14ac:dyDescent="0.2">
      <c r="A15" s="32"/>
      <c r="B15" s="67">
        <v>4086</v>
      </c>
      <c r="C15" s="61" t="s">
        <v>520</v>
      </c>
      <c r="D15" s="61" t="s">
        <v>45</v>
      </c>
      <c r="E15" s="42">
        <v>398160</v>
      </c>
      <c r="F15" s="61" t="s">
        <v>45</v>
      </c>
      <c r="G15" s="32">
        <v>1</v>
      </c>
      <c r="H15" s="54">
        <v>82.92</v>
      </c>
      <c r="I15" s="61" t="s">
        <v>61</v>
      </c>
      <c r="J15" s="32" t="s">
        <v>521</v>
      </c>
      <c r="K15" s="54">
        <v>10670</v>
      </c>
      <c r="L15" s="32"/>
      <c r="M15" s="64">
        <v>0.74</v>
      </c>
    </row>
    <row r="16" spans="1:13" x14ac:dyDescent="0.2">
      <c r="A16" s="32"/>
      <c r="B16" s="67">
        <v>4086</v>
      </c>
      <c r="C16" s="61" t="s">
        <v>520</v>
      </c>
      <c r="D16" s="61" t="s">
        <v>45</v>
      </c>
      <c r="E16" s="42">
        <v>398170</v>
      </c>
      <c r="F16" s="61" t="s">
        <v>45</v>
      </c>
      <c r="G16" s="32">
        <v>1</v>
      </c>
      <c r="H16" s="54">
        <v>29.06</v>
      </c>
      <c r="I16" s="61" t="s">
        <v>61</v>
      </c>
      <c r="J16" s="32" t="s">
        <v>521</v>
      </c>
      <c r="K16" s="54">
        <v>10680</v>
      </c>
      <c r="L16" s="32"/>
      <c r="M16" s="63"/>
    </row>
    <row r="17" spans="1:13" x14ac:dyDescent="0.2">
      <c r="A17" s="32"/>
      <c r="B17" s="67">
        <v>4086</v>
      </c>
      <c r="C17" s="61" t="s">
        <v>520</v>
      </c>
      <c r="D17" s="61" t="s">
        <v>45</v>
      </c>
      <c r="E17" s="42">
        <v>398180</v>
      </c>
      <c r="F17" s="61" t="s">
        <v>45</v>
      </c>
      <c r="G17" s="32">
        <v>1</v>
      </c>
      <c r="H17" s="54">
        <v>124.26</v>
      </c>
      <c r="I17" s="61" t="s">
        <v>61</v>
      </c>
      <c r="J17" s="32" t="s">
        <v>521</v>
      </c>
      <c r="K17" s="54">
        <v>10699</v>
      </c>
      <c r="L17" s="32"/>
      <c r="M17" s="63"/>
    </row>
    <row r="18" spans="1:13" x14ac:dyDescent="0.2">
      <c r="A18" s="32"/>
      <c r="B18" s="67">
        <v>4086</v>
      </c>
      <c r="C18" s="61" t="s">
        <v>520</v>
      </c>
      <c r="D18" s="61" t="s">
        <v>45</v>
      </c>
      <c r="E18" s="42">
        <v>438110</v>
      </c>
      <c r="F18" s="61" t="s">
        <v>45</v>
      </c>
      <c r="G18" s="32">
        <v>1</v>
      </c>
      <c r="H18" s="54">
        <v>43.2</v>
      </c>
      <c r="I18" s="61" t="s">
        <v>61</v>
      </c>
      <c r="J18" s="32" t="s">
        <v>521</v>
      </c>
      <c r="K18" s="54">
        <v>21005</v>
      </c>
      <c r="L18" s="32"/>
      <c r="M18" s="64">
        <v>0.57999999999999996</v>
      </c>
    </row>
    <row r="19" spans="1:13" x14ac:dyDescent="0.2">
      <c r="A19" s="32"/>
      <c r="B19" s="67">
        <v>4086</v>
      </c>
      <c r="C19" s="61" t="s">
        <v>520</v>
      </c>
      <c r="D19" s="61" t="s">
        <v>45</v>
      </c>
      <c r="E19" s="42">
        <v>438120</v>
      </c>
      <c r="F19" s="61" t="s">
        <v>45</v>
      </c>
      <c r="G19" s="32">
        <v>1</v>
      </c>
      <c r="H19" s="54">
        <v>20</v>
      </c>
      <c r="I19" s="61" t="s">
        <v>61</v>
      </c>
      <c r="J19" s="32" t="s">
        <v>521</v>
      </c>
      <c r="K19" s="54">
        <v>21017</v>
      </c>
      <c r="L19" s="32"/>
      <c r="M19" s="64">
        <v>0.52</v>
      </c>
    </row>
    <row r="20" spans="1:13" x14ac:dyDescent="0.2">
      <c r="A20" s="32"/>
      <c r="B20" s="67">
        <v>4086</v>
      </c>
      <c r="C20" s="61" t="s">
        <v>520</v>
      </c>
      <c r="D20" s="61" t="s">
        <v>45</v>
      </c>
      <c r="E20" s="42">
        <v>708580</v>
      </c>
      <c r="F20" s="61" t="s">
        <v>45</v>
      </c>
      <c r="G20" s="32">
        <v>1</v>
      </c>
      <c r="H20" s="55">
        <v>12</v>
      </c>
      <c r="I20" s="61" t="s">
        <v>61</v>
      </c>
      <c r="J20" s="32" t="s">
        <v>521</v>
      </c>
      <c r="K20" s="54">
        <v>21048</v>
      </c>
      <c r="L20" s="32"/>
      <c r="M20" s="57"/>
    </row>
    <row r="21" spans="1:13" x14ac:dyDescent="0.2">
      <c r="A21" s="32"/>
      <c r="B21" s="67">
        <v>4086</v>
      </c>
      <c r="C21" s="61" t="s">
        <v>520</v>
      </c>
      <c r="D21" s="61" t="s">
        <v>45</v>
      </c>
      <c r="E21" s="42">
        <v>368110</v>
      </c>
      <c r="F21" s="61" t="s">
        <v>45</v>
      </c>
      <c r="G21" s="32">
        <v>1</v>
      </c>
      <c r="H21" s="55">
        <v>0.34</v>
      </c>
      <c r="I21" s="61" t="s">
        <v>61</v>
      </c>
      <c r="J21" s="32" t="s">
        <v>521</v>
      </c>
      <c r="K21" s="54">
        <v>55022</v>
      </c>
      <c r="L21" s="32"/>
      <c r="M21" s="57"/>
    </row>
    <row r="22" spans="1:13" x14ac:dyDescent="0.2">
      <c r="A22" s="32"/>
      <c r="B22" s="67">
        <v>4086</v>
      </c>
      <c r="C22" s="61" t="s">
        <v>520</v>
      </c>
      <c r="D22" s="61" t="s">
        <v>45</v>
      </c>
      <c r="E22" s="42">
        <v>368120</v>
      </c>
      <c r="F22" s="61" t="s">
        <v>45</v>
      </c>
      <c r="G22" s="32">
        <v>1</v>
      </c>
      <c r="H22" s="55">
        <v>0.34</v>
      </c>
      <c r="I22" s="61" t="s">
        <v>61</v>
      </c>
      <c r="J22" s="32" t="s">
        <v>521</v>
      </c>
      <c r="K22" s="54">
        <v>55023</v>
      </c>
      <c r="L22" s="32"/>
      <c r="M22" s="57"/>
    </row>
    <row r="23" spans="1:13" x14ac:dyDescent="0.2">
      <c r="A23" s="32"/>
      <c r="B23" s="67">
        <v>4086</v>
      </c>
      <c r="C23" s="61" t="s">
        <v>520</v>
      </c>
      <c r="D23" s="61" t="s">
        <v>45</v>
      </c>
      <c r="E23" s="42">
        <v>368130</v>
      </c>
      <c r="F23" s="61" t="s">
        <v>45</v>
      </c>
      <c r="G23" s="32">
        <v>1</v>
      </c>
      <c r="H23" s="55">
        <v>0.34</v>
      </c>
      <c r="I23" s="61" t="s">
        <v>61</v>
      </c>
      <c r="J23" s="32" t="s">
        <v>521</v>
      </c>
      <c r="K23" s="54">
        <v>55024</v>
      </c>
      <c r="L23" s="32"/>
      <c r="M23" s="57"/>
    </row>
    <row r="24" spans="1:13" x14ac:dyDescent="0.2">
      <c r="A24" s="32"/>
      <c r="B24" s="67">
        <v>4086</v>
      </c>
      <c r="C24" s="61" t="s">
        <v>520</v>
      </c>
      <c r="D24" s="61" t="s">
        <v>45</v>
      </c>
      <c r="E24" s="42">
        <v>368140</v>
      </c>
      <c r="F24" s="61" t="s">
        <v>45</v>
      </c>
      <c r="G24" s="32">
        <v>1</v>
      </c>
      <c r="H24" s="55">
        <v>0.34</v>
      </c>
      <c r="I24" s="61" t="s">
        <v>61</v>
      </c>
      <c r="J24" s="32" t="s">
        <v>521</v>
      </c>
      <c r="K24" s="54">
        <v>55027</v>
      </c>
      <c r="L24" s="32"/>
      <c r="M24" s="57"/>
    </row>
    <row r="25" spans="1:13" x14ac:dyDescent="0.2">
      <c r="A25" s="32"/>
      <c r="B25" s="67">
        <v>4086</v>
      </c>
      <c r="C25" s="61" t="s">
        <v>520</v>
      </c>
      <c r="D25" s="61" t="s">
        <v>45</v>
      </c>
      <c r="E25" s="42">
        <v>368150</v>
      </c>
      <c r="F25" s="61" t="s">
        <v>45</v>
      </c>
      <c r="G25" s="32">
        <v>1</v>
      </c>
      <c r="H25" s="55">
        <v>0.34</v>
      </c>
      <c r="I25" s="61" t="s">
        <v>61</v>
      </c>
      <c r="J25" s="32" t="s">
        <v>521</v>
      </c>
      <c r="K25" s="54">
        <v>55028</v>
      </c>
      <c r="L25" s="32"/>
      <c r="M25" s="57"/>
    </row>
    <row r="26" spans="1:13" x14ac:dyDescent="0.2">
      <c r="A26" s="32"/>
      <c r="B26" s="67">
        <v>4086</v>
      </c>
      <c r="C26" s="61" t="s">
        <v>520</v>
      </c>
      <c r="D26" s="61" t="s">
        <v>45</v>
      </c>
      <c r="E26" s="42">
        <v>368160</v>
      </c>
      <c r="F26" s="61" t="s">
        <v>45</v>
      </c>
      <c r="G26" s="32">
        <v>1</v>
      </c>
      <c r="H26" s="55">
        <v>0.54</v>
      </c>
      <c r="I26" s="61" t="s">
        <v>61</v>
      </c>
      <c r="J26" s="32" t="s">
        <v>521</v>
      </c>
      <c r="K26" s="54">
        <v>55032</v>
      </c>
      <c r="L26" s="32"/>
      <c r="M26" s="57"/>
    </row>
    <row r="27" spans="1:13" x14ac:dyDescent="0.2">
      <c r="A27" s="32"/>
      <c r="B27" s="67">
        <v>4086</v>
      </c>
      <c r="C27" s="61" t="s">
        <v>520</v>
      </c>
      <c r="D27" s="61" t="s">
        <v>45</v>
      </c>
      <c r="E27" s="42">
        <v>368170</v>
      </c>
      <c r="F27" s="61" t="s">
        <v>45</v>
      </c>
      <c r="G27" s="32">
        <v>1</v>
      </c>
      <c r="H27" s="55">
        <v>0.54</v>
      </c>
      <c r="I27" s="61" t="s">
        <v>61</v>
      </c>
      <c r="J27" s="32" t="s">
        <v>521</v>
      </c>
      <c r="K27" s="54">
        <v>55033</v>
      </c>
      <c r="L27" s="32"/>
      <c r="M27" s="57"/>
    </row>
    <row r="28" spans="1:13" x14ac:dyDescent="0.2">
      <c r="A28" s="32"/>
      <c r="B28" s="67">
        <v>4086</v>
      </c>
      <c r="C28" s="61" t="s">
        <v>520</v>
      </c>
      <c r="D28" s="61" t="s">
        <v>45</v>
      </c>
      <c r="E28" s="42">
        <v>368180</v>
      </c>
      <c r="F28" s="61" t="s">
        <v>45</v>
      </c>
      <c r="G28" s="32">
        <v>1</v>
      </c>
      <c r="H28" s="55">
        <v>0.54</v>
      </c>
      <c r="I28" s="61" t="s">
        <v>61</v>
      </c>
      <c r="J28" s="32" t="s">
        <v>521</v>
      </c>
      <c r="K28" s="54">
        <v>55034</v>
      </c>
      <c r="L28" s="32"/>
      <c r="M28" s="57"/>
    </row>
    <row r="29" spans="1:13" x14ac:dyDescent="0.2">
      <c r="A29" s="32"/>
      <c r="B29" s="67">
        <v>4086</v>
      </c>
      <c r="C29" s="61" t="s">
        <v>520</v>
      </c>
      <c r="D29" s="61" t="s">
        <v>45</v>
      </c>
      <c r="E29" s="42">
        <v>368190</v>
      </c>
      <c r="F29" s="61" t="s">
        <v>45</v>
      </c>
      <c r="G29" s="32">
        <v>1</v>
      </c>
      <c r="H29" s="54">
        <v>2.3199999999999998</v>
      </c>
      <c r="I29" s="61" t="s">
        <v>61</v>
      </c>
      <c r="J29" s="32" t="s">
        <v>521</v>
      </c>
      <c r="K29" s="54">
        <v>56013</v>
      </c>
      <c r="L29" s="32"/>
      <c r="M29" s="63"/>
    </row>
    <row r="30" spans="1:13" x14ac:dyDescent="0.2">
      <c r="A30" s="32"/>
      <c r="B30" s="67">
        <v>4086</v>
      </c>
      <c r="C30" s="61" t="s">
        <v>520</v>
      </c>
      <c r="D30" s="61" t="s">
        <v>45</v>
      </c>
      <c r="E30" s="42">
        <v>368200</v>
      </c>
      <c r="F30" s="61" t="s">
        <v>45</v>
      </c>
      <c r="G30" s="32">
        <v>1</v>
      </c>
      <c r="H30" s="54">
        <v>3.61</v>
      </c>
      <c r="I30" s="61" t="s">
        <v>61</v>
      </c>
      <c r="J30" s="32" t="s">
        <v>521</v>
      </c>
      <c r="K30" s="54">
        <v>56023</v>
      </c>
      <c r="L30" s="32"/>
      <c r="M30" s="63"/>
    </row>
    <row r="31" spans="1:13" x14ac:dyDescent="0.2">
      <c r="A31" s="32"/>
      <c r="B31" s="67">
        <v>4086</v>
      </c>
      <c r="C31" s="61" t="s">
        <v>520</v>
      </c>
      <c r="D31" s="61" t="s">
        <v>45</v>
      </c>
      <c r="E31" s="42">
        <v>368210</v>
      </c>
      <c r="F31" s="61" t="s">
        <v>45</v>
      </c>
      <c r="G31" s="32">
        <v>1</v>
      </c>
      <c r="H31" s="54">
        <v>5.86</v>
      </c>
      <c r="I31" s="61" t="s">
        <v>61</v>
      </c>
      <c r="J31" s="32" t="s">
        <v>521</v>
      </c>
      <c r="K31" s="65">
        <v>56033</v>
      </c>
      <c r="L31" s="32"/>
      <c r="M31" s="63"/>
    </row>
    <row r="32" spans="1:13" x14ac:dyDescent="0.2">
      <c r="A32" s="32"/>
      <c r="B32" s="67">
        <v>4086</v>
      </c>
      <c r="C32" s="61" t="s">
        <v>520</v>
      </c>
      <c r="D32" s="61" t="s">
        <v>45</v>
      </c>
      <c r="E32" s="42">
        <v>368220</v>
      </c>
      <c r="F32" s="61" t="s">
        <v>45</v>
      </c>
      <c r="G32" s="32">
        <v>1</v>
      </c>
      <c r="H32" s="54">
        <v>8.1</v>
      </c>
      <c r="I32" s="61" t="s">
        <v>61</v>
      </c>
      <c r="J32" s="32" t="s">
        <v>521</v>
      </c>
      <c r="K32" s="65">
        <v>56043</v>
      </c>
      <c r="L32" s="32"/>
      <c r="M32" s="63"/>
    </row>
    <row r="33" spans="1:13" x14ac:dyDescent="0.2">
      <c r="A33" s="32"/>
      <c r="B33" s="67">
        <v>4086</v>
      </c>
      <c r="C33" s="61" t="s">
        <v>520</v>
      </c>
      <c r="D33" s="61" t="s">
        <v>45</v>
      </c>
      <c r="E33" s="42">
        <v>368230</v>
      </c>
      <c r="F33" s="61" t="s">
        <v>45</v>
      </c>
      <c r="G33" s="32">
        <v>1</v>
      </c>
      <c r="H33" s="54">
        <v>10.96</v>
      </c>
      <c r="I33" s="61" t="s">
        <v>61</v>
      </c>
      <c r="J33" s="32" t="s">
        <v>521</v>
      </c>
      <c r="K33" s="54">
        <v>57013</v>
      </c>
      <c r="L33" s="32"/>
      <c r="M33" s="63"/>
    </row>
    <row r="34" spans="1:13" x14ac:dyDescent="0.2">
      <c r="A34" s="32"/>
      <c r="B34" s="67">
        <v>4086</v>
      </c>
      <c r="C34" s="61" t="s">
        <v>520</v>
      </c>
      <c r="D34" s="61" t="s">
        <v>45</v>
      </c>
      <c r="E34" s="42">
        <v>368240</v>
      </c>
      <c r="F34" s="61" t="s">
        <v>45</v>
      </c>
      <c r="G34" s="32">
        <v>1</v>
      </c>
      <c r="H34" s="54">
        <v>16.010000000000002</v>
      </c>
      <c r="I34" s="61" t="s">
        <v>61</v>
      </c>
      <c r="J34" s="32" t="s">
        <v>521</v>
      </c>
      <c r="K34" s="54">
        <v>57023</v>
      </c>
      <c r="L34" s="32"/>
      <c r="M34" s="63"/>
    </row>
    <row r="35" spans="1:13" x14ac:dyDescent="0.2">
      <c r="A35" s="32"/>
      <c r="B35" s="67">
        <v>4086</v>
      </c>
      <c r="C35" s="61" t="s">
        <v>520</v>
      </c>
      <c r="D35" s="61" t="s">
        <v>45</v>
      </c>
      <c r="E35" s="42">
        <v>368250</v>
      </c>
      <c r="F35" s="61" t="s">
        <v>45</v>
      </c>
      <c r="G35" s="32">
        <v>1</v>
      </c>
      <c r="H35" s="54">
        <v>22.17</v>
      </c>
      <c r="I35" s="61" t="s">
        <v>61</v>
      </c>
      <c r="J35" s="32" t="s">
        <v>521</v>
      </c>
      <c r="K35" s="54">
        <v>57033</v>
      </c>
      <c r="L35" s="32"/>
      <c r="M35" s="63"/>
    </row>
    <row r="36" spans="1:13" x14ac:dyDescent="0.2">
      <c r="A36" s="32"/>
      <c r="B36" s="67">
        <v>4086</v>
      </c>
      <c r="C36" s="61" t="s">
        <v>520</v>
      </c>
      <c r="D36" s="61" t="s">
        <v>45</v>
      </c>
      <c r="E36" s="42">
        <v>368260</v>
      </c>
      <c r="F36" s="61" t="s">
        <v>45</v>
      </c>
      <c r="G36" s="32">
        <v>1</v>
      </c>
      <c r="H36" s="54">
        <v>27.79</v>
      </c>
      <c r="I36" s="61" t="s">
        <v>61</v>
      </c>
      <c r="J36" s="32" t="s">
        <v>521</v>
      </c>
      <c r="K36" s="54">
        <v>57043</v>
      </c>
      <c r="L36" s="32"/>
      <c r="M36" s="63"/>
    </row>
    <row r="37" spans="1:13" x14ac:dyDescent="0.2">
      <c r="A37" s="32"/>
      <c r="B37" s="67">
        <v>4086</v>
      </c>
      <c r="C37" s="61" t="s">
        <v>520</v>
      </c>
      <c r="D37" s="61" t="s">
        <v>45</v>
      </c>
      <c r="E37" s="42">
        <v>368270</v>
      </c>
      <c r="F37" s="61" t="s">
        <v>45</v>
      </c>
      <c r="G37" s="32">
        <v>1</v>
      </c>
      <c r="H37" s="54">
        <v>34.54</v>
      </c>
      <c r="I37" s="61" t="s">
        <v>61</v>
      </c>
      <c r="J37" s="32" t="s">
        <v>521</v>
      </c>
      <c r="K37" s="54">
        <v>57053</v>
      </c>
      <c r="L37" s="32"/>
      <c r="M37" s="63"/>
    </row>
    <row r="38" spans="1:13" x14ac:dyDescent="0.2">
      <c r="A38" s="32"/>
      <c r="B38" s="67">
        <v>4086</v>
      </c>
      <c r="C38" s="61" t="s">
        <v>520</v>
      </c>
      <c r="D38" s="61" t="s">
        <v>45</v>
      </c>
      <c r="E38" s="42">
        <v>708110</v>
      </c>
      <c r="F38" s="61" t="s">
        <v>45</v>
      </c>
      <c r="G38" s="32">
        <v>1</v>
      </c>
      <c r="H38" s="54">
        <v>2.44</v>
      </c>
      <c r="I38" s="61" t="s">
        <v>61</v>
      </c>
      <c r="J38" s="32" t="s">
        <v>521</v>
      </c>
      <c r="K38" s="54">
        <v>58070</v>
      </c>
      <c r="L38" s="32"/>
      <c r="M38" s="64">
        <v>0.74</v>
      </c>
    </row>
    <row r="39" spans="1:13" x14ac:dyDescent="0.2">
      <c r="A39" s="32"/>
      <c r="B39" s="67">
        <v>4086</v>
      </c>
      <c r="C39" s="61" t="s">
        <v>520</v>
      </c>
      <c r="D39" s="61" t="s">
        <v>45</v>
      </c>
      <c r="E39" s="42">
        <v>708120</v>
      </c>
      <c r="F39" s="61" t="s">
        <v>45</v>
      </c>
      <c r="G39" s="32">
        <v>1</v>
      </c>
      <c r="H39" s="54">
        <v>3.36</v>
      </c>
      <c r="I39" s="61" t="s">
        <v>61</v>
      </c>
      <c r="J39" s="32" t="s">
        <v>521</v>
      </c>
      <c r="K39" s="54">
        <v>58080</v>
      </c>
      <c r="L39" s="32"/>
      <c r="M39" s="64">
        <v>0.73</v>
      </c>
    </row>
    <row r="40" spans="1:13" x14ac:dyDescent="0.2">
      <c r="A40" s="32"/>
      <c r="B40" s="67">
        <v>4086</v>
      </c>
      <c r="C40" s="61" t="s">
        <v>520</v>
      </c>
      <c r="D40" s="61" t="s">
        <v>45</v>
      </c>
      <c r="E40" s="42">
        <v>708130</v>
      </c>
      <c r="F40" s="61" t="s">
        <v>45</v>
      </c>
      <c r="G40" s="32">
        <v>1</v>
      </c>
      <c r="H40" s="54">
        <v>4.99</v>
      </c>
      <c r="I40" s="61" t="s">
        <v>61</v>
      </c>
      <c r="J40" s="32" t="s">
        <v>521</v>
      </c>
      <c r="K40" s="54">
        <v>58090</v>
      </c>
      <c r="L40" s="32"/>
      <c r="M40" s="64">
        <v>0.73</v>
      </c>
    </row>
    <row r="41" spans="1:13" x14ac:dyDescent="0.2">
      <c r="A41" s="32"/>
      <c r="B41" s="67">
        <v>4086</v>
      </c>
      <c r="C41" s="61" t="s">
        <v>520</v>
      </c>
      <c r="D41" s="61" t="s">
        <v>45</v>
      </c>
      <c r="E41" s="42">
        <v>708140</v>
      </c>
      <c r="F41" s="61" t="s">
        <v>45</v>
      </c>
      <c r="G41" s="32">
        <v>1</v>
      </c>
      <c r="H41" s="54">
        <v>1.5</v>
      </c>
      <c r="I41" s="61" t="s">
        <v>61</v>
      </c>
      <c r="J41" s="32" t="s">
        <v>521</v>
      </c>
      <c r="K41" s="54">
        <v>84001</v>
      </c>
      <c r="L41" s="32"/>
      <c r="M41" s="64">
        <v>0.6</v>
      </c>
    </row>
    <row r="42" spans="1:13" x14ac:dyDescent="0.2">
      <c r="A42" s="32"/>
      <c r="B42" s="67">
        <v>4086</v>
      </c>
      <c r="C42" s="61" t="s">
        <v>520</v>
      </c>
      <c r="D42" s="61" t="s">
        <v>45</v>
      </c>
      <c r="E42" s="42">
        <v>918110</v>
      </c>
      <c r="F42" s="61" t="s">
        <v>45</v>
      </c>
      <c r="G42" s="32">
        <v>1</v>
      </c>
      <c r="H42" s="54">
        <v>4.7</v>
      </c>
      <c r="I42" s="61" t="s">
        <v>61</v>
      </c>
      <c r="J42" s="32" t="s">
        <v>521</v>
      </c>
      <c r="K42" s="54">
        <v>90015</v>
      </c>
      <c r="L42" s="32"/>
      <c r="M42" s="63"/>
    </row>
    <row r="43" spans="1:13" x14ac:dyDescent="0.2">
      <c r="A43" s="32"/>
      <c r="B43" s="67">
        <v>4086</v>
      </c>
      <c r="C43" s="61" t="s">
        <v>520</v>
      </c>
      <c r="D43" s="61" t="s">
        <v>45</v>
      </c>
      <c r="E43" s="42">
        <v>918120</v>
      </c>
      <c r="F43" s="61" t="s">
        <v>45</v>
      </c>
      <c r="G43" s="32">
        <v>1</v>
      </c>
      <c r="H43" s="55">
        <v>7.1</v>
      </c>
      <c r="I43" s="61" t="s">
        <v>61</v>
      </c>
      <c r="J43" s="32" t="s">
        <v>521</v>
      </c>
      <c r="K43" s="54">
        <v>90020</v>
      </c>
      <c r="L43" s="32"/>
      <c r="M43" s="57"/>
    </row>
    <row r="44" spans="1:13" x14ac:dyDescent="0.2">
      <c r="A44" s="32"/>
      <c r="B44" s="67">
        <v>4086</v>
      </c>
      <c r="C44" s="61" t="s">
        <v>520</v>
      </c>
      <c r="D44" s="61" t="s">
        <v>45</v>
      </c>
      <c r="E44" s="42">
        <v>618110</v>
      </c>
      <c r="F44" s="61" t="s">
        <v>45</v>
      </c>
      <c r="G44" s="32">
        <v>1</v>
      </c>
      <c r="H44" s="54">
        <v>452</v>
      </c>
      <c r="I44" s="61" t="s">
        <v>61</v>
      </c>
      <c r="J44" s="32" t="s">
        <v>521</v>
      </c>
      <c r="K44" s="54">
        <v>97023</v>
      </c>
      <c r="L44" s="32"/>
      <c r="M44" s="63"/>
    </row>
    <row r="45" spans="1:13" x14ac:dyDescent="0.2">
      <c r="A45" s="32"/>
      <c r="B45" s="67">
        <v>4086</v>
      </c>
      <c r="C45" s="61" t="s">
        <v>520</v>
      </c>
      <c r="D45" s="61" t="s">
        <v>45</v>
      </c>
      <c r="E45" s="42">
        <v>918130</v>
      </c>
      <c r="F45" s="61" t="s">
        <v>45</v>
      </c>
      <c r="G45" s="32">
        <v>1</v>
      </c>
      <c r="H45" s="54">
        <v>21</v>
      </c>
      <c r="I45" s="61" t="s">
        <v>61</v>
      </c>
      <c r="J45" s="32" t="s">
        <v>521</v>
      </c>
      <c r="K45" s="54">
        <v>97524</v>
      </c>
      <c r="L45" s="32"/>
      <c r="M45" s="63"/>
    </row>
    <row r="46" spans="1:13" x14ac:dyDescent="0.2">
      <c r="A46" s="32"/>
      <c r="B46" s="67">
        <v>4086</v>
      </c>
      <c r="C46" s="61" t="s">
        <v>520</v>
      </c>
      <c r="D46" s="61" t="s">
        <v>45</v>
      </c>
      <c r="E46" s="42">
        <v>398190</v>
      </c>
      <c r="F46" s="61" t="s">
        <v>45</v>
      </c>
      <c r="G46" s="32">
        <v>1</v>
      </c>
      <c r="H46" s="54">
        <v>35.44</v>
      </c>
      <c r="I46" s="61" t="s">
        <v>61</v>
      </c>
      <c r="J46" s="32" t="s">
        <v>521</v>
      </c>
      <c r="K46" s="54">
        <v>106912</v>
      </c>
      <c r="L46" s="32"/>
      <c r="M46" s="63"/>
    </row>
    <row r="47" spans="1:13" x14ac:dyDescent="0.2">
      <c r="A47" s="32"/>
      <c r="B47" s="67">
        <v>4086</v>
      </c>
      <c r="C47" s="61" t="s">
        <v>520</v>
      </c>
      <c r="D47" s="61" t="s">
        <v>45</v>
      </c>
      <c r="E47" s="42">
        <v>398200</v>
      </c>
      <c r="F47" s="61" t="s">
        <v>45</v>
      </c>
      <c r="G47" s="32">
        <v>1</v>
      </c>
      <c r="H47" s="54">
        <v>49.38</v>
      </c>
      <c r="I47" s="61" t="s">
        <v>61</v>
      </c>
      <c r="J47" s="32" t="s">
        <v>521</v>
      </c>
      <c r="K47" s="54">
        <v>106913</v>
      </c>
      <c r="L47" s="32"/>
      <c r="M47" s="63"/>
    </row>
    <row r="48" spans="1:13" x14ac:dyDescent="0.2">
      <c r="A48" s="32"/>
      <c r="B48" s="67">
        <v>4086</v>
      </c>
      <c r="C48" s="61" t="s">
        <v>520</v>
      </c>
      <c r="D48" s="61" t="s">
        <v>45</v>
      </c>
      <c r="E48" s="42">
        <v>398210</v>
      </c>
      <c r="F48" s="61" t="s">
        <v>45</v>
      </c>
      <c r="G48" s="32">
        <v>1</v>
      </c>
      <c r="H48" s="54">
        <v>66.41</v>
      </c>
      <c r="I48" s="61" t="s">
        <v>61</v>
      </c>
      <c r="J48" s="32" t="s">
        <v>521</v>
      </c>
      <c r="K48" s="54">
        <v>106914</v>
      </c>
      <c r="L48" s="32"/>
      <c r="M48" s="63"/>
    </row>
    <row r="49" spans="1:13" x14ac:dyDescent="0.2">
      <c r="A49" s="32"/>
      <c r="B49" s="67">
        <v>4086</v>
      </c>
      <c r="C49" s="61" t="s">
        <v>520</v>
      </c>
      <c r="D49" s="61" t="s">
        <v>45</v>
      </c>
      <c r="E49" s="42">
        <v>398220</v>
      </c>
      <c r="F49" s="61" t="s">
        <v>45</v>
      </c>
      <c r="G49" s="32">
        <v>1</v>
      </c>
      <c r="H49" s="54">
        <v>151.79</v>
      </c>
      <c r="I49" s="61" t="s">
        <v>61</v>
      </c>
      <c r="J49" s="32" t="s">
        <v>521</v>
      </c>
      <c r="K49" s="54">
        <v>106916</v>
      </c>
      <c r="L49" s="32"/>
      <c r="M49" s="63"/>
    </row>
    <row r="50" spans="1:13" x14ac:dyDescent="0.2">
      <c r="A50" s="32"/>
      <c r="B50" s="67">
        <v>4086</v>
      </c>
      <c r="C50" s="61" t="s">
        <v>520</v>
      </c>
      <c r="D50" s="61" t="s">
        <v>45</v>
      </c>
      <c r="E50" s="42">
        <v>398230</v>
      </c>
      <c r="F50" s="61" t="s">
        <v>45</v>
      </c>
      <c r="G50" s="32">
        <v>1</v>
      </c>
      <c r="H50" s="54">
        <v>183.27</v>
      </c>
      <c r="I50" s="61" t="s">
        <v>61</v>
      </c>
      <c r="J50" s="32" t="s">
        <v>521</v>
      </c>
      <c r="K50" s="54">
        <v>106981</v>
      </c>
      <c r="L50" s="32"/>
      <c r="M50" s="63"/>
    </row>
    <row r="51" spans="1:13" x14ac:dyDescent="0.2">
      <c r="A51" s="32"/>
      <c r="B51" s="67">
        <v>4086</v>
      </c>
      <c r="C51" s="61" t="s">
        <v>520</v>
      </c>
      <c r="D51" s="61" t="s">
        <v>45</v>
      </c>
      <c r="E51" s="42">
        <v>358110</v>
      </c>
      <c r="F51" s="61" t="s">
        <v>45</v>
      </c>
      <c r="G51" s="32">
        <v>1</v>
      </c>
      <c r="H51" s="54">
        <v>5.55</v>
      </c>
      <c r="I51" s="61" t="s">
        <v>61</v>
      </c>
      <c r="J51" s="32" t="s">
        <v>521</v>
      </c>
      <c r="K51" s="54">
        <v>144015</v>
      </c>
      <c r="L51" s="32"/>
      <c r="M51" s="64">
        <v>0.73</v>
      </c>
    </row>
    <row r="52" spans="1:13" x14ac:dyDescent="0.2">
      <c r="A52" s="32"/>
      <c r="B52" s="67">
        <v>4086</v>
      </c>
      <c r="C52" s="61" t="s">
        <v>520</v>
      </c>
      <c r="D52" s="61" t="s">
        <v>45</v>
      </c>
      <c r="E52" s="42">
        <v>358120</v>
      </c>
      <c r="F52" s="61" t="s">
        <v>45</v>
      </c>
      <c r="G52" s="32">
        <v>1</v>
      </c>
      <c r="H52" s="54">
        <v>672</v>
      </c>
      <c r="I52" s="61" t="s">
        <v>61</v>
      </c>
      <c r="J52" s="32" t="s">
        <v>521</v>
      </c>
      <c r="K52" s="54">
        <v>144025</v>
      </c>
      <c r="L52" s="32"/>
      <c r="M52" s="64">
        <v>0.74</v>
      </c>
    </row>
    <row r="53" spans="1:13" x14ac:dyDescent="0.2">
      <c r="A53" s="32"/>
      <c r="B53" s="67">
        <v>4086</v>
      </c>
      <c r="C53" s="61" t="s">
        <v>520</v>
      </c>
      <c r="D53" s="61" t="s">
        <v>45</v>
      </c>
      <c r="E53" s="42">
        <v>358130</v>
      </c>
      <c r="F53" s="61" t="s">
        <v>45</v>
      </c>
      <c r="G53" s="32">
        <v>1</v>
      </c>
      <c r="H53" s="54">
        <v>8.81</v>
      </c>
      <c r="I53" s="61" t="s">
        <v>61</v>
      </c>
      <c r="J53" s="32" t="s">
        <v>521</v>
      </c>
      <c r="K53" s="54">
        <v>144038</v>
      </c>
      <c r="L53" s="32"/>
      <c r="M53" s="64">
        <v>0.74</v>
      </c>
    </row>
    <row r="54" spans="1:13" x14ac:dyDescent="0.2">
      <c r="A54" s="32"/>
      <c r="B54" s="67">
        <v>4086</v>
      </c>
      <c r="C54" s="61" t="s">
        <v>520</v>
      </c>
      <c r="D54" s="61" t="s">
        <v>45</v>
      </c>
      <c r="E54" s="42">
        <v>358140</v>
      </c>
      <c r="F54" s="61" t="s">
        <v>45</v>
      </c>
      <c r="G54" s="32">
        <v>1</v>
      </c>
      <c r="H54" s="54">
        <v>10.63</v>
      </c>
      <c r="I54" s="61" t="s">
        <v>61</v>
      </c>
      <c r="J54" s="32" t="s">
        <v>521</v>
      </c>
      <c r="K54" s="54">
        <v>144043</v>
      </c>
      <c r="L54" s="32"/>
      <c r="M54" s="64">
        <v>0.73</v>
      </c>
    </row>
    <row r="55" spans="1:13" x14ac:dyDescent="0.2">
      <c r="A55" s="32"/>
      <c r="B55" s="67">
        <v>4086</v>
      </c>
      <c r="C55" s="61" t="s">
        <v>520</v>
      </c>
      <c r="D55" s="61" t="s">
        <v>45</v>
      </c>
      <c r="E55" s="42">
        <v>358150</v>
      </c>
      <c r="F55" s="61" t="s">
        <v>45</v>
      </c>
      <c r="G55" s="32">
        <v>1</v>
      </c>
      <c r="H55" s="54">
        <v>13.46</v>
      </c>
      <c r="I55" s="61" t="s">
        <v>61</v>
      </c>
      <c r="J55" s="32" t="s">
        <v>521</v>
      </c>
      <c r="K55" s="54">
        <v>144050</v>
      </c>
      <c r="L55" s="32"/>
      <c r="M55" s="64">
        <v>0.73</v>
      </c>
    </row>
    <row r="56" spans="1:13" x14ac:dyDescent="0.2">
      <c r="A56" s="32"/>
      <c r="B56" s="67">
        <v>4086</v>
      </c>
      <c r="C56" s="61" t="s">
        <v>520</v>
      </c>
      <c r="D56" s="61" t="s">
        <v>45</v>
      </c>
      <c r="E56" s="42">
        <v>358160</v>
      </c>
      <c r="F56" s="61" t="s">
        <v>45</v>
      </c>
      <c r="G56" s="32">
        <v>1</v>
      </c>
      <c r="H56" s="55">
        <v>15.54</v>
      </c>
      <c r="I56" s="61" t="s">
        <v>61</v>
      </c>
      <c r="J56" s="32" t="s">
        <v>521</v>
      </c>
      <c r="K56" s="54">
        <v>144053</v>
      </c>
      <c r="L56" s="32"/>
      <c r="M56" s="56">
        <v>0.74</v>
      </c>
    </row>
    <row r="57" spans="1:13" x14ac:dyDescent="0.2">
      <c r="A57" s="32"/>
      <c r="B57" s="67">
        <v>4086</v>
      </c>
      <c r="C57" s="61" t="s">
        <v>520</v>
      </c>
      <c r="D57" s="61" t="s">
        <v>45</v>
      </c>
      <c r="E57" s="42">
        <v>708150</v>
      </c>
      <c r="F57" s="61" t="s">
        <v>45</v>
      </c>
      <c r="G57" s="32">
        <v>1</v>
      </c>
      <c r="H57" s="54">
        <v>3.7</v>
      </c>
      <c r="I57" s="61" t="s">
        <v>61</v>
      </c>
      <c r="J57" s="32" t="s">
        <v>521</v>
      </c>
      <c r="K57" s="54">
        <v>156001</v>
      </c>
      <c r="L57" s="32"/>
      <c r="M57" s="63"/>
    </row>
    <row r="58" spans="1:13" x14ac:dyDescent="0.2">
      <c r="A58" s="32"/>
      <c r="B58" s="67">
        <v>4086</v>
      </c>
      <c r="C58" s="61" t="s">
        <v>520</v>
      </c>
      <c r="D58" s="61" t="s">
        <v>45</v>
      </c>
      <c r="E58" s="42">
        <v>708160</v>
      </c>
      <c r="F58" s="61" t="s">
        <v>45</v>
      </c>
      <c r="G58" s="32">
        <v>1</v>
      </c>
      <c r="H58" s="54">
        <v>33.14</v>
      </c>
      <c r="I58" s="61" t="s">
        <v>61</v>
      </c>
      <c r="J58" s="32" t="s">
        <v>521</v>
      </c>
      <c r="K58" s="54">
        <v>156004</v>
      </c>
      <c r="L58" s="32"/>
      <c r="M58" s="64">
        <v>0.6</v>
      </c>
    </row>
    <row r="59" spans="1:13" x14ac:dyDescent="0.2">
      <c r="A59" s="32"/>
      <c r="B59" s="67">
        <v>4086</v>
      </c>
      <c r="C59" s="61" t="s">
        <v>520</v>
      </c>
      <c r="D59" s="61" t="s">
        <v>45</v>
      </c>
      <c r="E59" s="42">
        <v>648110</v>
      </c>
      <c r="F59" s="61" t="s">
        <v>45</v>
      </c>
      <c r="G59" s="32">
        <v>1</v>
      </c>
      <c r="H59" s="54">
        <v>4.9000000000000004</v>
      </c>
      <c r="I59" s="61" t="s">
        <v>61</v>
      </c>
      <c r="J59" s="32" t="s">
        <v>521</v>
      </c>
      <c r="K59" s="54">
        <v>161005</v>
      </c>
      <c r="L59" s="32"/>
      <c r="M59" s="63"/>
    </row>
    <row r="60" spans="1:13" x14ac:dyDescent="0.2">
      <c r="A60" s="32"/>
      <c r="B60" s="67">
        <v>4086</v>
      </c>
      <c r="C60" s="61" t="s">
        <v>520</v>
      </c>
      <c r="D60" s="61" t="s">
        <v>45</v>
      </c>
      <c r="E60" s="42">
        <v>648120</v>
      </c>
      <c r="F60" s="61" t="s">
        <v>45</v>
      </c>
      <c r="G60" s="32">
        <v>1</v>
      </c>
      <c r="H60" s="54">
        <v>4.9000000000000004</v>
      </c>
      <c r="I60" s="61" t="s">
        <v>61</v>
      </c>
      <c r="J60" s="32" t="s">
        <v>521</v>
      </c>
      <c r="K60" s="54">
        <v>161006</v>
      </c>
      <c r="L60" s="32"/>
      <c r="M60" s="63"/>
    </row>
    <row r="61" spans="1:13" x14ac:dyDescent="0.2">
      <c r="A61" s="32"/>
      <c r="B61" s="67">
        <v>4086</v>
      </c>
      <c r="C61" s="61" t="s">
        <v>520</v>
      </c>
      <c r="D61" s="61" t="s">
        <v>45</v>
      </c>
      <c r="E61" s="42">
        <v>648130</v>
      </c>
      <c r="F61" s="61" t="s">
        <v>45</v>
      </c>
      <c r="G61" s="32">
        <v>1</v>
      </c>
      <c r="H61" s="54">
        <v>24</v>
      </c>
      <c r="I61" s="61" t="s">
        <v>61</v>
      </c>
      <c r="J61" s="32" t="s">
        <v>521</v>
      </c>
      <c r="K61" s="54">
        <v>161043</v>
      </c>
      <c r="L61" s="32"/>
      <c r="M61" s="63"/>
    </row>
    <row r="62" spans="1:13" x14ac:dyDescent="0.2">
      <c r="A62" s="32"/>
      <c r="B62" s="67">
        <v>4086</v>
      </c>
      <c r="C62" s="61" t="s">
        <v>520</v>
      </c>
      <c r="D62" s="61" t="s">
        <v>45</v>
      </c>
      <c r="E62" s="42">
        <v>648140</v>
      </c>
      <c r="F62" s="61" t="s">
        <v>45</v>
      </c>
      <c r="G62" s="32">
        <v>1</v>
      </c>
      <c r="H62" s="54">
        <v>24</v>
      </c>
      <c r="I62" s="61" t="s">
        <v>61</v>
      </c>
      <c r="J62" s="32" t="s">
        <v>521</v>
      </c>
      <c r="K62" s="54">
        <v>161044</v>
      </c>
      <c r="L62" s="32"/>
      <c r="M62" s="63"/>
    </row>
    <row r="63" spans="1:13" x14ac:dyDescent="0.2">
      <c r="A63" s="32"/>
      <c r="B63" s="67">
        <v>4086</v>
      </c>
      <c r="C63" s="61" t="s">
        <v>520</v>
      </c>
      <c r="D63" s="61" t="s">
        <v>45</v>
      </c>
      <c r="E63" s="42">
        <v>648150</v>
      </c>
      <c r="F63" s="61" t="s">
        <v>45</v>
      </c>
      <c r="G63" s="32">
        <v>1</v>
      </c>
      <c r="H63" s="54">
        <v>24</v>
      </c>
      <c r="I63" s="61" t="s">
        <v>61</v>
      </c>
      <c r="J63" s="32" t="s">
        <v>521</v>
      </c>
      <c r="K63" s="54">
        <v>161046</v>
      </c>
      <c r="L63" s="32"/>
      <c r="M63" s="63"/>
    </row>
    <row r="64" spans="1:13" x14ac:dyDescent="0.2">
      <c r="A64" s="32"/>
      <c r="B64" s="67">
        <v>4086</v>
      </c>
      <c r="C64" s="61" t="s">
        <v>520</v>
      </c>
      <c r="D64" s="61" t="s">
        <v>45</v>
      </c>
      <c r="E64" s="42">
        <v>648160</v>
      </c>
      <c r="F64" s="61" t="s">
        <v>45</v>
      </c>
      <c r="G64" s="32">
        <v>1</v>
      </c>
      <c r="H64" s="54">
        <v>37</v>
      </c>
      <c r="I64" s="61" t="s">
        <v>61</v>
      </c>
      <c r="J64" s="32" t="s">
        <v>521</v>
      </c>
      <c r="K64" s="54">
        <v>161047</v>
      </c>
      <c r="L64" s="32"/>
      <c r="M64" s="63"/>
    </row>
    <row r="65" spans="1:13" x14ac:dyDescent="0.2">
      <c r="A65" s="32"/>
      <c r="B65" s="67">
        <v>4086</v>
      </c>
      <c r="C65" s="61" t="s">
        <v>520</v>
      </c>
      <c r="D65" s="61" t="s">
        <v>45</v>
      </c>
      <c r="E65" s="42">
        <v>648170</v>
      </c>
      <c r="F65" s="61" t="s">
        <v>45</v>
      </c>
      <c r="G65" s="32">
        <v>1</v>
      </c>
      <c r="H65" s="54">
        <v>74</v>
      </c>
      <c r="I65" s="61" t="s">
        <v>61</v>
      </c>
      <c r="J65" s="32" t="s">
        <v>521</v>
      </c>
      <c r="K65" s="54">
        <v>161049</v>
      </c>
      <c r="L65" s="32"/>
      <c r="M65" s="63"/>
    </row>
    <row r="66" spans="1:13" x14ac:dyDescent="0.2">
      <c r="A66" s="32"/>
      <c r="B66" s="67">
        <v>4086</v>
      </c>
      <c r="C66" s="61" t="s">
        <v>520</v>
      </c>
      <c r="D66" s="61" t="s">
        <v>45</v>
      </c>
      <c r="E66" s="42">
        <v>648180</v>
      </c>
      <c r="F66" s="61" t="s">
        <v>45</v>
      </c>
      <c r="G66" s="32">
        <v>1</v>
      </c>
      <c r="H66" s="54">
        <v>90</v>
      </c>
      <c r="I66" s="61" t="s">
        <v>61</v>
      </c>
      <c r="J66" s="32" t="s">
        <v>521</v>
      </c>
      <c r="K66" s="54">
        <v>161062</v>
      </c>
      <c r="L66" s="32"/>
      <c r="M66" s="63"/>
    </row>
    <row r="67" spans="1:13" x14ac:dyDescent="0.2">
      <c r="A67" s="32"/>
      <c r="B67" s="67">
        <v>4086</v>
      </c>
      <c r="C67" s="61" t="s">
        <v>520</v>
      </c>
      <c r="D67" s="61" t="s">
        <v>45</v>
      </c>
      <c r="E67" s="42">
        <v>218110</v>
      </c>
      <c r="F67" s="61" t="s">
        <v>45</v>
      </c>
      <c r="G67" s="32">
        <v>1</v>
      </c>
      <c r="H67" s="54">
        <v>1.38</v>
      </c>
      <c r="I67" s="61" t="s">
        <v>61</v>
      </c>
      <c r="J67" s="32" t="s">
        <v>521</v>
      </c>
      <c r="K67" s="54">
        <v>268110</v>
      </c>
      <c r="L67" s="32"/>
      <c r="M67" s="63"/>
    </row>
    <row r="68" spans="1:13" x14ac:dyDescent="0.2">
      <c r="A68" s="32"/>
      <c r="B68" s="67">
        <v>4086</v>
      </c>
      <c r="C68" s="61" t="s">
        <v>520</v>
      </c>
      <c r="D68" s="61" t="s">
        <v>45</v>
      </c>
      <c r="E68" s="42">
        <v>368280</v>
      </c>
      <c r="F68" s="61" t="s">
        <v>45</v>
      </c>
      <c r="G68" s="32">
        <v>1</v>
      </c>
      <c r="H68" s="54">
        <v>8.73</v>
      </c>
      <c r="I68" s="61" t="s">
        <v>61</v>
      </c>
      <c r="J68" s="32" t="s">
        <v>521</v>
      </c>
      <c r="K68" s="54">
        <v>590201</v>
      </c>
      <c r="L68" s="32"/>
      <c r="M68" s="64">
        <v>0.73</v>
      </c>
    </row>
    <row r="69" spans="1:13" x14ac:dyDescent="0.2">
      <c r="A69" s="32"/>
      <c r="B69" s="67">
        <v>4086</v>
      </c>
      <c r="C69" s="61" t="s">
        <v>520</v>
      </c>
      <c r="D69" s="61" t="s">
        <v>45</v>
      </c>
      <c r="E69" s="42">
        <v>708170</v>
      </c>
      <c r="F69" s="61" t="s">
        <v>45</v>
      </c>
      <c r="G69" s="32">
        <v>1</v>
      </c>
      <c r="H69" s="54">
        <v>17.600000000000001</v>
      </c>
      <c r="I69" s="61" t="s">
        <v>61</v>
      </c>
      <c r="J69" s="32" t="s">
        <v>521</v>
      </c>
      <c r="K69" s="54">
        <v>833001</v>
      </c>
      <c r="L69" s="32"/>
      <c r="M69" s="63"/>
    </row>
    <row r="70" spans="1:13" x14ac:dyDescent="0.2">
      <c r="A70" s="32"/>
      <c r="B70" s="67">
        <v>4086</v>
      </c>
      <c r="C70" s="61" t="s">
        <v>520</v>
      </c>
      <c r="D70" s="61" t="s">
        <v>45</v>
      </c>
      <c r="E70" s="42">
        <v>618120</v>
      </c>
      <c r="F70" s="61" t="s">
        <v>45</v>
      </c>
      <c r="G70" s="32">
        <v>1</v>
      </c>
      <c r="H70" s="54">
        <v>14.29</v>
      </c>
      <c r="I70" s="61" t="s">
        <v>61</v>
      </c>
      <c r="J70" s="32" t="s">
        <v>521</v>
      </c>
      <c r="K70" s="54">
        <v>839709</v>
      </c>
      <c r="L70" s="32"/>
      <c r="M70" s="64">
        <v>0.6</v>
      </c>
    </row>
    <row r="71" spans="1:13" x14ac:dyDescent="0.2">
      <c r="A71" s="32"/>
      <c r="B71" s="67">
        <v>4086</v>
      </c>
      <c r="C71" s="61" t="s">
        <v>520</v>
      </c>
      <c r="D71" s="61" t="s">
        <v>45</v>
      </c>
      <c r="E71" s="42">
        <v>918140</v>
      </c>
      <c r="F71" s="61" t="s">
        <v>45</v>
      </c>
      <c r="G71" s="32">
        <v>1</v>
      </c>
      <c r="H71" s="54">
        <v>6.5</v>
      </c>
      <c r="I71" s="61" t="s">
        <v>61</v>
      </c>
      <c r="J71" s="32" t="s">
        <v>521</v>
      </c>
      <c r="K71" s="54">
        <v>901117</v>
      </c>
      <c r="L71" s="32"/>
      <c r="M71" s="63"/>
    </row>
    <row r="72" spans="1:13" x14ac:dyDescent="0.2">
      <c r="A72" s="32"/>
      <c r="B72" s="67">
        <v>4086</v>
      </c>
      <c r="C72" s="61" t="s">
        <v>520</v>
      </c>
      <c r="D72" s="61" t="s">
        <v>45</v>
      </c>
      <c r="E72" s="42">
        <v>918150</v>
      </c>
      <c r="F72" s="61" t="s">
        <v>45</v>
      </c>
      <c r="G72" s="32">
        <v>1</v>
      </c>
      <c r="H72" s="54">
        <v>25.6</v>
      </c>
      <c r="I72" s="61" t="s">
        <v>61</v>
      </c>
      <c r="J72" s="32" t="s">
        <v>521</v>
      </c>
      <c r="K72" s="54">
        <v>901130</v>
      </c>
      <c r="L72" s="32"/>
      <c r="M72" s="63"/>
    </row>
    <row r="73" spans="1:13" x14ac:dyDescent="0.2">
      <c r="A73" s="32"/>
      <c r="B73" s="67">
        <v>4086</v>
      </c>
      <c r="C73" s="61" t="s">
        <v>520</v>
      </c>
      <c r="D73" s="61" t="s">
        <v>45</v>
      </c>
      <c r="E73" s="42">
        <v>818110</v>
      </c>
      <c r="F73" s="61" t="s">
        <v>45</v>
      </c>
      <c r="G73" s="32">
        <v>1</v>
      </c>
      <c r="H73" s="54">
        <v>72</v>
      </c>
      <c r="I73" s="61" t="s">
        <v>61</v>
      </c>
      <c r="J73" s="32" t="s">
        <v>521</v>
      </c>
      <c r="K73" s="54">
        <v>951843</v>
      </c>
      <c r="L73" s="32"/>
      <c r="M73" s="63"/>
    </row>
    <row r="74" spans="1:13" x14ac:dyDescent="0.2">
      <c r="A74" s="32"/>
      <c r="B74" s="67">
        <v>4086</v>
      </c>
      <c r="C74" s="61" t="s">
        <v>520</v>
      </c>
      <c r="D74" s="61" t="s">
        <v>45</v>
      </c>
      <c r="E74" s="42">
        <v>928110</v>
      </c>
      <c r="F74" s="61" t="s">
        <v>45</v>
      </c>
      <c r="G74" s="32">
        <v>1</v>
      </c>
      <c r="H74" s="54">
        <v>45</v>
      </c>
      <c r="I74" s="61" t="s">
        <v>61</v>
      </c>
      <c r="J74" s="32" t="s">
        <v>521</v>
      </c>
      <c r="K74" s="54">
        <v>981038</v>
      </c>
      <c r="L74" s="32"/>
      <c r="M74" s="63"/>
    </row>
    <row r="75" spans="1:13" x14ac:dyDescent="0.2">
      <c r="A75" s="32"/>
      <c r="B75" s="67">
        <v>4086</v>
      </c>
      <c r="C75" s="61" t="s">
        <v>520</v>
      </c>
      <c r="D75" s="61" t="s">
        <v>45</v>
      </c>
      <c r="E75" s="42">
        <v>378110</v>
      </c>
      <c r="F75" s="61" t="s">
        <v>45</v>
      </c>
      <c r="G75" s="32">
        <v>1</v>
      </c>
      <c r="H75" s="54">
        <v>12.29</v>
      </c>
      <c r="I75" s="61" t="s">
        <v>61</v>
      </c>
      <c r="J75" s="32" t="s">
        <v>521</v>
      </c>
      <c r="K75" s="54">
        <v>1015050</v>
      </c>
      <c r="L75" s="32"/>
      <c r="M75" s="64">
        <v>0.73</v>
      </c>
    </row>
    <row r="76" spans="1:13" x14ac:dyDescent="0.2">
      <c r="A76" s="32"/>
      <c r="B76" s="67">
        <v>4086</v>
      </c>
      <c r="C76" s="61" t="s">
        <v>520</v>
      </c>
      <c r="D76" s="61" t="s">
        <v>45</v>
      </c>
      <c r="E76" s="42">
        <v>218120</v>
      </c>
      <c r="F76" s="61" t="s">
        <v>45</v>
      </c>
      <c r="G76" s="32">
        <v>1</v>
      </c>
      <c r="H76" s="54">
        <v>1.8</v>
      </c>
      <c r="I76" s="61" t="s">
        <v>61</v>
      </c>
      <c r="J76" s="32" t="s">
        <v>521</v>
      </c>
      <c r="K76" s="54">
        <v>1020109</v>
      </c>
      <c r="L76" s="32"/>
      <c r="M76" s="63"/>
    </row>
    <row r="77" spans="1:13" x14ac:dyDescent="0.2">
      <c r="A77" s="32"/>
      <c r="B77" s="67">
        <v>4086</v>
      </c>
      <c r="C77" s="61" t="s">
        <v>520</v>
      </c>
      <c r="D77" s="61" t="s">
        <v>45</v>
      </c>
      <c r="E77" s="42">
        <v>218130</v>
      </c>
      <c r="F77" s="61" t="s">
        <v>45</v>
      </c>
      <c r="G77" s="32">
        <v>1</v>
      </c>
      <c r="H77" s="54">
        <v>3.75</v>
      </c>
      <c r="I77" s="61" t="s">
        <v>61</v>
      </c>
      <c r="J77" s="32" t="s">
        <v>521</v>
      </c>
      <c r="K77" s="54">
        <v>1020113</v>
      </c>
      <c r="L77" s="32"/>
      <c r="M77" s="63"/>
    </row>
    <row r="78" spans="1:13" x14ac:dyDescent="0.2">
      <c r="A78" s="32"/>
      <c r="B78" s="67">
        <v>4086</v>
      </c>
      <c r="C78" s="61" t="s">
        <v>520</v>
      </c>
      <c r="D78" s="61" t="s">
        <v>45</v>
      </c>
      <c r="E78" s="42">
        <v>708180</v>
      </c>
      <c r="F78" s="61" t="s">
        <v>45</v>
      </c>
      <c r="G78" s="32">
        <v>1</v>
      </c>
      <c r="H78" s="54">
        <v>3.4</v>
      </c>
      <c r="I78" s="61" t="s">
        <v>61</v>
      </c>
      <c r="J78" s="32" t="s">
        <v>521</v>
      </c>
      <c r="K78" s="54">
        <v>1050020</v>
      </c>
      <c r="L78" s="32"/>
      <c r="M78" s="63"/>
    </row>
    <row r="79" spans="1:13" x14ac:dyDescent="0.2">
      <c r="A79" s="32"/>
      <c r="B79" s="67">
        <v>4086</v>
      </c>
      <c r="C79" s="61" t="s">
        <v>520</v>
      </c>
      <c r="D79" s="61" t="s">
        <v>45</v>
      </c>
      <c r="E79" s="42">
        <v>798110</v>
      </c>
      <c r="F79" s="61" t="s">
        <v>45</v>
      </c>
      <c r="G79" s="32">
        <v>1</v>
      </c>
      <c r="H79" s="55">
        <v>7.57</v>
      </c>
      <c r="I79" s="61" t="s">
        <v>61</v>
      </c>
      <c r="J79" s="32" t="s">
        <v>521</v>
      </c>
      <c r="K79" s="54">
        <v>1107408</v>
      </c>
      <c r="L79" s="32"/>
      <c r="M79" s="56">
        <v>0.5</v>
      </c>
    </row>
    <row r="80" spans="1:13" x14ac:dyDescent="0.2">
      <c r="A80" s="32"/>
      <c r="B80" s="67">
        <v>4086</v>
      </c>
      <c r="C80" s="61" t="s">
        <v>520</v>
      </c>
      <c r="D80" s="61" t="s">
        <v>45</v>
      </c>
      <c r="E80" s="42">
        <v>798120</v>
      </c>
      <c r="F80" s="61" t="s">
        <v>45</v>
      </c>
      <c r="G80" s="32">
        <v>1</v>
      </c>
      <c r="H80" s="55">
        <v>7.57</v>
      </c>
      <c r="I80" s="61" t="s">
        <v>61</v>
      </c>
      <c r="J80" s="32" t="s">
        <v>521</v>
      </c>
      <c r="K80" s="54">
        <v>1107409</v>
      </c>
      <c r="L80" s="32"/>
      <c r="M80" s="56">
        <v>0.5</v>
      </c>
    </row>
    <row r="81" spans="1:13" x14ac:dyDescent="0.2">
      <c r="A81" s="32"/>
      <c r="B81" s="67">
        <v>4086</v>
      </c>
      <c r="C81" s="61" t="s">
        <v>520</v>
      </c>
      <c r="D81" s="61" t="s">
        <v>45</v>
      </c>
      <c r="E81" s="42">
        <v>648190</v>
      </c>
      <c r="F81" s="61" t="s">
        <v>45</v>
      </c>
      <c r="G81" s="32">
        <v>1</v>
      </c>
      <c r="H81" s="54">
        <v>4.54</v>
      </c>
      <c r="I81" s="61" t="s">
        <v>61</v>
      </c>
      <c r="J81" s="32" t="s">
        <v>521</v>
      </c>
      <c r="K81" s="54">
        <v>1119750</v>
      </c>
      <c r="L81" s="32"/>
      <c r="M81" s="64">
        <v>0.5</v>
      </c>
    </row>
    <row r="82" spans="1:13" x14ac:dyDescent="0.2">
      <c r="A82" s="32"/>
      <c r="B82" s="67">
        <v>4086</v>
      </c>
      <c r="C82" s="61" t="s">
        <v>520</v>
      </c>
      <c r="D82" s="61" t="s">
        <v>45</v>
      </c>
      <c r="E82" s="42">
        <v>378120</v>
      </c>
      <c r="F82" s="61" t="s">
        <v>45</v>
      </c>
      <c r="G82" s="32">
        <v>1</v>
      </c>
      <c r="H82" s="55">
        <v>0.39</v>
      </c>
      <c r="I82" s="61" t="s">
        <v>61</v>
      </c>
      <c r="J82" s="32" t="s">
        <v>521</v>
      </c>
      <c r="K82" s="54">
        <v>1200201</v>
      </c>
      <c r="L82" s="32"/>
      <c r="M82" s="57"/>
    </row>
    <row r="83" spans="1:13" x14ac:dyDescent="0.2">
      <c r="A83" s="32"/>
      <c r="B83" s="67">
        <v>4086</v>
      </c>
      <c r="C83" s="61" t="s">
        <v>520</v>
      </c>
      <c r="D83" s="61" t="s">
        <v>45</v>
      </c>
      <c r="E83" s="42">
        <v>378130</v>
      </c>
      <c r="F83" s="61" t="s">
        <v>45</v>
      </c>
      <c r="G83" s="32">
        <v>1</v>
      </c>
      <c r="H83" s="54">
        <v>0.56999999999999995</v>
      </c>
      <c r="I83" s="61" t="s">
        <v>61</v>
      </c>
      <c r="J83" s="32" t="s">
        <v>521</v>
      </c>
      <c r="K83" s="54">
        <v>1200202</v>
      </c>
      <c r="L83" s="32"/>
      <c r="M83" s="63"/>
    </row>
    <row r="84" spans="1:13" x14ac:dyDescent="0.2">
      <c r="A84" s="32"/>
      <c r="B84" s="67">
        <v>4086</v>
      </c>
      <c r="C84" s="61" t="s">
        <v>520</v>
      </c>
      <c r="D84" s="61" t="s">
        <v>45</v>
      </c>
      <c r="E84" s="42">
        <v>378140</v>
      </c>
      <c r="F84" s="61" t="s">
        <v>45</v>
      </c>
      <c r="G84" s="32">
        <v>1</v>
      </c>
      <c r="H84" s="54">
        <v>0.77</v>
      </c>
      <c r="I84" s="61" t="s">
        <v>61</v>
      </c>
      <c r="J84" s="32" t="s">
        <v>521</v>
      </c>
      <c r="K84" s="54">
        <v>1200203</v>
      </c>
      <c r="L84" s="32"/>
      <c r="M84" s="63"/>
    </row>
    <row r="85" spans="1:13" x14ac:dyDescent="0.2">
      <c r="A85" s="32"/>
      <c r="B85" s="67">
        <v>4086</v>
      </c>
      <c r="C85" s="61" t="s">
        <v>520</v>
      </c>
      <c r="D85" s="61" t="s">
        <v>45</v>
      </c>
      <c r="E85" s="42">
        <v>378150</v>
      </c>
      <c r="F85" s="61" t="s">
        <v>45</v>
      </c>
      <c r="G85" s="32">
        <v>1</v>
      </c>
      <c r="H85" s="54">
        <v>0.85</v>
      </c>
      <c r="I85" s="61" t="s">
        <v>61</v>
      </c>
      <c r="J85" s="32" t="s">
        <v>521</v>
      </c>
      <c r="K85" s="54">
        <v>1203004</v>
      </c>
      <c r="L85" s="32"/>
      <c r="M85" s="63"/>
    </row>
    <row r="86" spans="1:13" x14ac:dyDescent="0.2">
      <c r="A86" s="32"/>
      <c r="B86" s="67">
        <v>4086</v>
      </c>
      <c r="C86" s="61" t="s">
        <v>520</v>
      </c>
      <c r="D86" s="61" t="s">
        <v>45</v>
      </c>
      <c r="E86" s="42">
        <v>938110</v>
      </c>
      <c r="F86" s="61" t="s">
        <v>45</v>
      </c>
      <c r="G86" s="32">
        <v>1</v>
      </c>
      <c r="H86" s="54">
        <v>0.78</v>
      </c>
      <c r="I86" s="61" t="s">
        <v>61</v>
      </c>
      <c r="J86" s="32" t="s">
        <v>521</v>
      </c>
      <c r="K86" s="54">
        <v>1517004</v>
      </c>
      <c r="L86" s="32"/>
      <c r="M86" s="64">
        <v>0.6</v>
      </c>
    </row>
    <row r="87" spans="1:13" x14ac:dyDescent="0.2">
      <c r="A87" s="32"/>
      <c r="B87" s="67">
        <v>4086</v>
      </c>
      <c r="C87" s="61" t="s">
        <v>520</v>
      </c>
      <c r="D87" s="61" t="s">
        <v>45</v>
      </c>
      <c r="E87" s="42">
        <v>708190</v>
      </c>
      <c r="F87" s="61" t="s">
        <v>45</v>
      </c>
      <c r="G87" s="32">
        <v>1</v>
      </c>
      <c r="H87" s="54">
        <v>7</v>
      </c>
      <c r="I87" s="61" t="s">
        <v>61</v>
      </c>
      <c r="J87" s="32" t="s">
        <v>521</v>
      </c>
      <c r="K87" s="54">
        <v>1520051</v>
      </c>
      <c r="L87" s="32"/>
      <c r="M87" s="64">
        <v>0.6</v>
      </c>
    </row>
    <row r="88" spans="1:13" x14ac:dyDescent="0.2">
      <c r="A88" s="32"/>
      <c r="B88" s="67">
        <v>4086</v>
      </c>
      <c r="C88" s="61" t="s">
        <v>520</v>
      </c>
      <c r="D88" s="61" t="s">
        <v>45</v>
      </c>
      <c r="E88" s="42">
        <v>928120</v>
      </c>
      <c r="F88" s="61" t="s">
        <v>45</v>
      </c>
      <c r="G88" s="32">
        <v>1</v>
      </c>
      <c r="H88" s="54">
        <v>146</v>
      </c>
      <c r="I88" s="61" t="s">
        <v>61</v>
      </c>
      <c r="J88" s="32" t="s">
        <v>521</v>
      </c>
      <c r="K88" s="54">
        <v>1525011</v>
      </c>
      <c r="L88" s="32"/>
      <c r="M88" s="63"/>
    </row>
    <row r="89" spans="1:13" x14ac:dyDescent="0.2">
      <c r="A89" s="32"/>
      <c r="B89" s="67">
        <v>4086</v>
      </c>
      <c r="C89" s="61" t="s">
        <v>520</v>
      </c>
      <c r="D89" s="61" t="s">
        <v>45</v>
      </c>
      <c r="E89" s="42">
        <v>818120</v>
      </c>
      <c r="F89" s="61" t="s">
        <v>45</v>
      </c>
      <c r="G89" s="32">
        <v>1</v>
      </c>
      <c r="H89" s="54">
        <v>250</v>
      </c>
      <c r="I89" s="61" t="s">
        <v>61</v>
      </c>
      <c r="J89" s="32" t="s">
        <v>521</v>
      </c>
      <c r="K89" s="54">
        <v>2382861</v>
      </c>
      <c r="L89" s="32"/>
      <c r="M89" s="64">
        <v>0.53</v>
      </c>
    </row>
    <row r="90" spans="1:13" x14ac:dyDescent="0.2">
      <c r="A90" s="32"/>
      <c r="B90" s="67">
        <v>4086</v>
      </c>
      <c r="C90" s="61" t="s">
        <v>520</v>
      </c>
      <c r="D90" s="61" t="s">
        <v>45</v>
      </c>
      <c r="E90" s="42">
        <v>928130</v>
      </c>
      <c r="F90" s="61" t="s">
        <v>45</v>
      </c>
      <c r="G90" s="32">
        <v>1</v>
      </c>
      <c r="H90" s="55">
        <v>125</v>
      </c>
      <c r="I90" s="61" t="s">
        <v>61</v>
      </c>
      <c r="J90" s="32" t="s">
        <v>521</v>
      </c>
      <c r="K90" s="54">
        <v>2400044</v>
      </c>
      <c r="L90" s="32"/>
      <c r="M90" s="57"/>
    </row>
    <row r="91" spans="1:13" x14ac:dyDescent="0.2">
      <c r="A91" s="32"/>
      <c r="B91" s="67">
        <v>4086</v>
      </c>
      <c r="C91" s="61" t="s">
        <v>520</v>
      </c>
      <c r="D91" s="61" t="s">
        <v>45</v>
      </c>
      <c r="E91" s="42">
        <v>928140</v>
      </c>
      <c r="F91" s="61" t="s">
        <v>45</v>
      </c>
      <c r="G91" s="32">
        <v>1</v>
      </c>
      <c r="H91" s="54">
        <v>28.57</v>
      </c>
      <c r="I91" s="61" t="s">
        <v>61</v>
      </c>
      <c r="J91" s="32" t="s">
        <v>521</v>
      </c>
      <c r="K91" s="54">
        <v>2400070</v>
      </c>
      <c r="L91" s="32"/>
      <c r="M91" s="64">
        <v>0.57999999999999996</v>
      </c>
    </row>
    <row r="92" spans="1:13" x14ac:dyDescent="0.2">
      <c r="A92" s="32"/>
      <c r="B92" s="67">
        <v>4086</v>
      </c>
      <c r="C92" s="61" t="s">
        <v>520</v>
      </c>
      <c r="D92" s="61" t="s">
        <v>45</v>
      </c>
      <c r="E92" s="42">
        <v>928150</v>
      </c>
      <c r="F92" s="61" t="s">
        <v>45</v>
      </c>
      <c r="G92" s="32">
        <v>1</v>
      </c>
      <c r="H92" s="54">
        <v>26</v>
      </c>
      <c r="I92" s="61" t="s">
        <v>61</v>
      </c>
      <c r="J92" s="32" t="s">
        <v>521</v>
      </c>
      <c r="K92" s="54">
        <v>2400074</v>
      </c>
      <c r="L92" s="32"/>
      <c r="M92" s="64">
        <v>0.45</v>
      </c>
    </row>
    <row r="93" spans="1:13" x14ac:dyDescent="0.2">
      <c r="A93" s="32"/>
      <c r="B93" s="67">
        <v>4086</v>
      </c>
      <c r="C93" s="61" t="s">
        <v>520</v>
      </c>
      <c r="D93" s="61" t="s">
        <v>45</v>
      </c>
      <c r="E93" s="42">
        <v>928160</v>
      </c>
      <c r="F93" s="61" t="s">
        <v>45</v>
      </c>
      <c r="G93" s="32">
        <v>1</v>
      </c>
      <c r="H93" s="54">
        <v>42.86</v>
      </c>
      <c r="I93" s="61" t="s">
        <v>61</v>
      </c>
      <c r="J93" s="32" t="s">
        <v>521</v>
      </c>
      <c r="K93" s="54">
        <v>2400075</v>
      </c>
      <c r="L93" s="32"/>
      <c r="M93" s="64">
        <v>0.57999999999999996</v>
      </c>
    </row>
    <row r="94" spans="1:13" x14ac:dyDescent="0.2">
      <c r="A94" s="32"/>
      <c r="B94" s="67">
        <v>4086</v>
      </c>
      <c r="C94" s="61" t="s">
        <v>520</v>
      </c>
      <c r="D94" s="61" t="s">
        <v>45</v>
      </c>
      <c r="E94" s="42">
        <v>928170</v>
      </c>
      <c r="F94" s="61" t="s">
        <v>45</v>
      </c>
      <c r="G94" s="32">
        <v>1</v>
      </c>
      <c r="H94" s="54">
        <v>22</v>
      </c>
      <c r="I94" s="61" t="s">
        <v>61</v>
      </c>
      <c r="J94" s="32" t="s">
        <v>521</v>
      </c>
      <c r="K94" s="54">
        <v>2400076</v>
      </c>
      <c r="L94" s="32"/>
      <c r="M94" s="64">
        <v>0.45</v>
      </c>
    </row>
    <row r="95" spans="1:13" x14ac:dyDescent="0.2">
      <c r="A95" s="32"/>
      <c r="B95" s="67">
        <v>4086</v>
      </c>
      <c r="C95" s="61" t="s">
        <v>520</v>
      </c>
      <c r="D95" s="61" t="s">
        <v>45</v>
      </c>
      <c r="E95" s="42">
        <v>928180</v>
      </c>
      <c r="F95" s="61" t="s">
        <v>45</v>
      </c>
      <c r="G95" s="32">
        <v>1</v>
      </c>
      <c r="H95" s="54">
        <v>23</v>
      </c>
      <c r="I95" s="61" t="s">
        <v>61</v>
      </c>
      <c r="J95" s="32" t="s">
        <v>521</v>
      </c>
      <c r="K95" s="54">
        <v>2400077</v>
      </c>
      <c r="L95" s="32"/>
      <c r="M95" s="54" t="s">
        <v>522</v>
      </c>
    </row>
    <row r="96" spans="1:13" x14ac:dyDescent="0.2">
      <c r="A96" s="32"/>
      <c r="B96" s="67">
        <v>4086</v>
      </c>
      <c r="C96" s="61" t="s">
        <v>520</v>
      </c>
      <c r="D96" s="61" t="s">
        <v>45</v>
      </c>
      <c r="E96" s="42">
        <v>928190</v>
      </c>
      <c r="F96" s="61" t="s">
        <v>45</v>
      </c>
      <c r="G96" s="32">
        <v>1</v>
      </c>
      <c r="H96" s="54">
        <v>71.430000000000007</v>
      </c>
      <c r="I96" s="61" t="s">
        <v>61</v>
      </c>
      <c r="J96" s="32" t="s">
        <v>521</v>
      </c>
      <c r="K96" s="54">
        <v>2400079</v>
      </c>
      <c r="L96" s="32"/>
      <c r="M96" s="64">
        <v>0.57999999999999996</v>
      </c>
    </row>
    <row r="97" spans="1:13" x14ac:dyDescent="0.2">
      <c r="A97" s="32"/>
      <c r="B97" s="67">
        <v>4086</v>
      </c>
      <c r="C97" s="61" t="s">
        <v>520</v>
      </c>
      <c r="D97" s="61" t="s">
        <v>45</v>
      </c>
      <c r="E97" s="42">
        <v>928200</v>
      </c>
      <c r="F97" s="61" t="s">
        <v>45</v>
      </c>
      <c r="G97" s="32">
        <v>1</v>
      </c>
      <c r="H97" s="54">
        <v>40</v>
      </c>
      <c r="I97" s="61" t="s">
        <v>61</v>
      </c>
      <c r="J97" s="32" t="s">
        <v>521</v>
      </c>
      <c r="K97" s="54">
        <v>2400081</v>
      </c>
      <c r="L97" s="32"/>
      <c r="M97" s="64">
        <v>0.57999999999999996</v>
      </c>
    </row>
    <row r="98" spans="1:13" x14ac:dyDescent="0.2">
      <c r="A98" s="32"/>
      <c r="B98" s="67">
        <v>4086</v>
      </c>
      <c r="C98" s="61" t="s">
        <v>520</v>
      </c>
      <c r="D98" s="61" t="s">
        <v>45</v>
      </c>
      <c r="E98" s="42">
        <v>928210</v>
      </c>
      <c r="F98" s="61" t="s">
        <v>45</v>
      </c>
      <c r="G98" s="32">
        <v>1</v>
      </c>
      <c r="H98" s="54">
        <v>228</v>
      </c>
      <c r="I98" s="61" t="s">
        <v>61</v>
      </c>
      <c r="J98" s="32" t="s">
        <v>521</v>
      </c>
      <c r="K98" s="54">
        <v>2400089</v>
      </c>
      <c r="L98" s="32"/>
      <c r="M98" s="64">
        <v>0.45</v>
      </c>
    </row>
    <row r="99" spans="1:13" x14ac:dyDescent="0.2">
      <c r="A99" s="32"/>
      <c r="B99" s="67">
        <v>4086</v>
      </c>
      <c r="C99" s="61" t="s">
        <v>520</v>
      </c>
      <c r="D99" s="61" t="s">
        <v>45</v>
      </c>
      <c r="E99" s="42">
        <v>928220</v>
      </c>
      <c r="F99" s="61" t="s">
        <v>45</v>
      </c>
      <c r="G99" s="32">
        <v>1</v>
      </c>
      <c r="H99" s="54">
        <v>4.9000000000000004</v>
      </c>
      <c r="I99" s="61" t="s">
        <v>61</v>
      </c>
      <c r="J99" s="32" t="s">
        <v>521</v>
      </c>
      <c r="K99" s="54">
        <v>2410086</v>
      </c>
      <c r="L99" s="32"/>
      <c r="M99" s="64">
        <v>0.65</v>
      </c>
    </row>
    <row r="100" spans="1:13" x14ac:dyDescent="0.2">
      <c r="A100" s="32"/>
      <c r="B100" s="67">
        <v>4086</v>
      </c>
      <c r="C100" s="61" t="s">
        <v>520</v>
      </c>
      <c r="D100" s="61" t="s">
        <v>45</v>
      </c>
      <c r="E100" s="42">
        <v>708200</v>
      </c>
      <c r="F100" s="61" t="s">
        <v>45</v>
      </c>
      <c r="G100" s="32">
        <v>1</v>
      </c>
      <c r="H100" s="54">
        <v>4.7</v>
      </c>
      <c r="I100" s="61" t="s">
        <v>61</v>
      </c>
      <c r="J100" s="32" t="s">
        <v>521</v>
      </c>
      <c r="K100" s="54">
        <v>2500281</v>
      </c>
      <c r="L100" s="32"/>
      <c r="M100" s="63"/>
    </row>
    <row r="101" spans="1:13" x14ac:dyDescent="0.2">
      <c r="A101" s="32"/>
      <c r="B101" s="67">
        <v>4086</v>
      </c>
      <c r="C101" s="61" t="s">
        <v>520</v>
      </c>
      <c r="D101" s="61" t="s">
        <v>45</v>
      </c>
      <c r="E101" s="42">
        <v>648200</v>
      </c>
      <c r="F101" s="61" t="s">
        <v>45</v>
      </c>
      <c r="G101" s="32">
        <v>1</v>
      </c>
      <c r="H101" s="54">
        <v>142.86000000000001</v>
      </c>
      <c r="I101" s="61" t="s">
        <v>61</v>
      </c>
      <c r="J101" s="32" t="s">
        <v>521</v>
      </c>
      <c r="K101" s="54">
        <v>2807022</v>
      </c>
      <c r="L101" s="32"/>
      <c r="M101" s="64">
        <v>0.57999999999999996</v>
      </c>
    </row>
    <row r="102" spans="1:13" x14ac:dyDescent="0.2">
      <c r="A102" s="32"/>
      <c r="B102" s="67">
        <v>4086</v>
      </c>
      <c r="C102" s="61" t="s">
        <v>520</v>
      </c>
      <c r="D102" s="61" t="s">
        <v>45</v>
      </c>
      <c r="E102" s="42">
        <v>618130</v>
      </c>
      <c r="F102" s="61" t="s">
        <v>45</v>
      </c>
      <c r="G102" s="32">
        <v>1</v>
      </c>
      <c r="H102" s="54">
        <v>13.43</v>
      </c>
      <c r="I102" s="61" t="s">
        <v>61</v>
      </c>
      <c r="J102" s="32" t="s">
        <v>521</v>
      </c>
      <c r="K102" s="54">
        <v>2818050</v>
      </c>
      <c r="L102" s="32"/>
      <c r="M102" s="64">
        <v>0.55000000000000004</v>
      </c>
    </row>
    <row r="103" spans="1:13" x14ac:dyDescent="0.2">
      <c r="A103" s="32"/>
      <c r="B103" s="67">
        <v>4086</v>
      </c>
      <c r="C103" s="61" t="s">
        <v>520</v>
      </c>
      <c r="D103" s="61" t="s">
        <v>45</v>
      </c>
      <c r="E103" s="42">
        <v>628110</v>
      </c>
      <c r="F103" s="61" t="s">
        <v>45</v>
      </c>
      <c r="G103" s="32">
        <v>1</v>
      </c>
      <c r="H103" s="54">
        <v>69</v>
      </c>
      <c r="I103" s="61" t="s">
        <v>61</v>
      </c>
      <c r="J103" s="32" t="s">
        <v>521</v>
      </c>
      <c r="K103" s="54">
        <v>2910382</v>
      </c>
      <c r="L103" s="32"/>
      <c r="M103" s="63"/>
    </row>
    <row r="104" spans="1:13" x14ac:dyDescent="0.2">
      <c r="A104" s="32"/>
      <c r="B104" s="67">
        <v>4086</v>
      </c>
      <c r="C104" s="61" t="s">
        <v>520</v>
      </c>
      <c r="D104" s="61" t="s">
        <v>45</v>
      </c>
      <c r="E104" s="42">
        <v>218140</v>
      </c>
      <c r="F104" s="61" t="s">
        <v>45</v>
      </c>
      <c r="G104" s="32">
        <v>1</v>
      </c>
      <c r="H104" s="54">
        <v>3.1</v>
      </c>
      <c r="I104" s="61" t="s">
        <v>61</v>
      </c>
      <c r="J104" s="32" t="s">
        <v>521</v>
      </c>
      <c r="K104" s="54">
        <v>3700201</v>
      </c>
      <c r="L104" s="32"/>
      <c r="M104" s="63"/>
    </row>
    <row r="105" spans="1:13" x14ac:dyDescent="0.2">
      <c r="A105" s="32"/>
      <c r="B105" s="67">
        <v>4086</v>
      </c>
      <c r="C105" s="61" t="s">
        <v>520</v>
      </c>
      <c r="D105" s="61" t="s">
        <v>45</v>
      </c>
      <c r="E105" s="42">
        <v>218150</v>
      </c>
      <c r="F105" s="61" t="s">
        <v>45</v>
      </c>
      <c r="G105" s="32">
        <v>1</v>
      </c>
      <c r="H105" s="54">
        <v>3.8</v>
      </c>
      <c r="I105" s="61" t="s">
        <v>61</v>
      </c>
      <c r="J105" s="32" t="s">
        <v>521</v>
      </c>
      <c r="K105" s="54">
        <v>3700202</v>
      </c>
      <c r="L105" s="32"/>
      <c r="M105" s="63"/>
    </row>
    <row r="106" spans="1:13" x14ac:dyDescent="0.2">
      <c r="A106" s="32"/>
      <c r="B106" s="67">
        <v>4086</v>
      </c>
      <c r="C106" s="61" t="s">
        <v>520</v>
      </c>
      <c r="D106" s="61" t="s">
        <v>45</v>
      </c>
      <c r="E106" s="42">
        <v>218160</v>
      </c>
      <c r="F106" s="61" t="s">
        <v>45</v>
      </c>
      <c r="G106" s="32">
        <v>1</v>
      </c>
      <c r="H106" s="54">
        <v>7.6</v>
      </c>
      <c r="I106" s="61" t="s">
        <v>61</v>
      </c>
      <c r="J106" s="32" t="s">
        <v>521</v>
      </c>
      <c r="K106" s="54">
        <v>3700203</v>
      </c>
      <c r="L106" s="32"/>
      <c r="M106" s="63"/>
    </row>
    <row r="107" spans="1:13" x14ac:dyDescent="0.2">
      <c r="A107" s="32"/>
      <c r="B107" s="67">
        <v>4086</v>
      </c>
      <c r="C107" s="61" t="s">
        <v>520</v>
      </c>
      <c r="D107" s="61" t="s">
        <v>45</v>
      </c>
      <c r="E107" s="42">
        <v>218170</v>
      </c>
      <c r="F107" s="61" t="s">
        <v>45</v>
      </c>
      <c r="G107" s="32">
        <v>1</v>
      </c>
      <c r="H107" s="55">
        <v>26.5</v>
      </c>
      <c r="I107" s="61" t="s">
        <v>61</v>
      </c>
      <c r="J107" s="32" t="s">
        <v>521</v>
      </c>
      <c r="K107" s="54">
        <v>3700205</v>
      </c>
      <c r="L107" s="32"/>
      <c r="M107" s="57"/>
    </row>
    <row r="108" spans="1:13" x14ac:dyDescent="0.2">
      <c r="A108" s="32"/>
      <c r="B108" s="67">
        <v>4086</v>
      </c>
      <c r="C108" s="61" t="s">
        <v>520</v>
      </c>
      <c r="D108" s="61" t="s">
        <v>45</v>
      </c>
      <c r="E108" s="42">
        <v>438130</v>
      </c>
      <c r="F108" s="61" t="s">
        <v>45</v>
      </c>
      <c r="G108" s="32">
        <v>1</v>
      </c>
      <c r="H108" s="54">
        <v>7.5</v>
      </c>
      <c r="I108" s="61" t="s">
        <v>61</v>
      </c>
      <c r="J108" s="32" t="s">
        <v>521</v>
      </c>
      <c r="K108" s="54">
        <v>3700304</v>
      </c>
      <c r="L108" s="32"/>
      <c r="M108" s="63"/>
    </row>
    <row r="109" spans="1:13" x14ac:dyDescent="0.2">
      <c r="A109" s="32"/>
      <c r="B109" s="67">
        <v>4086</v>
      </c>
      <c r="C109" s="61" t="s">
        <v>520</v>
      </c>
      <c r="D109" s="61" t="s">
        <v>45</v>
      </c>
      <c r="E109" s="42">
        <v>218180</v>
      </c>
      <c r="F109" s="61" t="s">
        <v>45</v>
      </c>
      <c r="G109" s="32">
        <v>1</v>
      </c>
      <c r="H109" s="54">
        <v>0.54</v>
      </c>
      <c r="I109" s="61" t="s">
        <v>61</v>
      </c>
      <c r="J109" s="32" t="s">
        <v>521</v>
      </c>
      <c r="K109" s="54">
        <v>3700320</v>
      </c>
      <c r="L109" s="32"/>
      <c r="M109" s="63"/>
    </row>
    <row r="110" spans="1:13" x14ac:dyDescent="0.2">
      <c r="A110" s="32"/>
      <c r="B110" s="67">
        <v>4086</v>
      </c>
      <c r="C110" s="61" t="s">
        <v>520</v>
      </c>
      <c r="D110" s="61" t="s">
        <v>45</v>
      </c>
      <c r="E110" s="42">
        <v>218190</v>
      </c>
      <c r="F110" s="61" t="s">
        <v>45</v>
      </c>
      <c r="G110" s="32">
        <v>1</v>
      </c>
      <c r="H110" s="55">
        <v>0.64</v>
      </c>
      <c r="I110" s="61" t="s">
        <v>61</v>
      </c>
      <c r="J110" s="32" t="s">
        <v>521</v>
      </c>
      <c r="K110" s="54">
        <v>3700324</v>
      </c>
      <c r="L110" s="32"/>
      <c r="M110" s="57"/>
    </row>
    <row r="111" spans="1:13" x14ac:dyDescent="0.2">
      <c r="A111" s="32"/>
      <c r="B111" s="67">
        <v>4086</v>
      </c>
      <c r="C111" s="61" t="s">
        <v>520</v>
      </c>
      <c r="D111" s="61" t="s">
        <v>45</v>
      </c>
      <c r="E111" s="42">
        <v>218200</v>
      </c>
      <c r="F111" s="61" t="s">
        <v>45</v>
      </c>
      <c r="G111" s="32">
        <v>1</v>
      </c>
      <c r="H111" s="54">
        <v>5.86</v>
      </c>
      <c r="I111" s="61" t="s">
        <v>61</v>
      </c>
      <c r="J111" s="32" t="s">
        <v>521</v>
      </c>
      <c r="K111" s="54">
        <v>3700326</v>
      </c>
      <c r="L111" s="32"/>
      <c r="M111" s="64">
        <v>0.6</v>
      </c>
    </row>
    <row r="112" spans="1:13" x14ac:dyDescent="0.2">
      <c r="A112" s="32"/>
      <c r="B112" s="67">
        <v>4086</v>
      </c>
      <c r="C112" s="61" t="s">
        <v>520</v>
      </c>
      <c r="D112" s="61" t="s">
        <v>45</v>
      </c>
      <c r="E112" s="42">
        <v>708210</v>
      </c>
      <c r="F112" s="61" t="s">
        <v>45</v>
      </c>
      <c r="G112" s="32">
        <v>1</v>
      </c>
      <c r="H112" s="54">
        <v>4.5999999999999996</v>
      </c>
      <c r="I112" s="61" t="s">
        <v>61</v>
      </c>
      <c r="J112" s="32" t="s">
        <v>521</v>
      </c>
      <c r="K112" s="54">
        <v>3920220</v>
      </c>
      <c r="L112" s="32"/>
      <c r="M112" s="63"/>
    </row>
    <row r="113" spans="1:13" x14ac:dyDescent="0.2">
      <c r="A113" s="32"/>
      <c r="B113" s="67">
        <v>4086</v>
      </c>
      <c r="C113" s="61" t="s">
        <v>520</v>
      </c>
      <c r="D113" s="61" t="s">
        <v>45</v>
      </c>
      <c r="E113" s="42">
        <v>708220</v>
      </c>
      <c r="F113" s="61" t="s">
        <v>45</v>
      </c>
      <c r="G113" s="32">
        <v>1</v>
      </c>
      <c r="H113" s="54">
        <v>55</v>
      </c>
      <c r="I113" s="61" t="s">
        <v>61</v>
      </c>
      <c r="J113" s="32" t="s">
        <v>521</v>
      </c>
      <c r="K113" s="54">
        <v>3920504</v>
      </c>
      <c r="L113" s="32"/>
      <c r="M113" s="64">
        <v>0.68</v>
      </c>
    </row>
    <row r="114" spans="1:13" x14ac:dyDescent="0.2">
      <c r="A114" s="32"/>
      <c r="B114" s="67">
        <v>4086</v>
      </c>
      <c r="C114" s="61" t="s">
        <v>520</v>
      </c>
      <c r="D114" s="61" t="s">
        <v>45</v>
      </c>
      <c r="E114" s="42">
        <v>708230</v>
      </c>
      <c r="F114" s="61" t="s">
        <v>45</v>
      </c>
      <c r="G114" s="32">
        <v>1</v>
      </c>
      <c r="H114" s="54">
        <v>49.83</v>
      </c>
      <c r="I114" s="61" t="s">
        <v>61</v>
      </c>
      <c r="J114" s="32" t="s">
        <v>521</v>
      </c>
      <c r="K114" s="54">
        <v>3922451</v>
      </c>
      <c r="L114" s="32"/>
      <c r="M114" s="64">
        <v>0.69</v>
      </c>
    </row>
    <row r="115" spans="1:13" x14ac:dyDescent="0.2">
      <c r="A115" s="32"/>
      <c r="B115" s="67">
        <v>4086</v>
      </c>
      <c r="C115" s="61" t="s">
        <v>520</v>
      </c>
      <c r="D115" s="61" t="s">
        <v>45</v>
      </c>
      <c r="E115" s="42">
        <v>708240</v>
      </c>
      <c r="F115" s="61" t="s">
        <v>45</v>
      </c>
      <c r="G115" s="32">
        <v>1</v>
      </c>
      <c r="H115" s="54">
        <v>86</v>
      </c>
      <c r="I115" s="61" t="s">
        <v>61</v>
      </c>
      <c r="J115" s="32" t="s">
        <v>521</v>
      </c>
      <c r="K115" s="54">
        <v>3922461</v>
      </c>
      <c r="L115" s="32"/>
      <c r="M115" s="64">
        <v>0.69</v>
      </c>
    </row>
    <row r="116" spans="1:13" x14ac:dyDescent="0.2">
      <c r="A116" s="32"/>
      <c r="B116" s="67">
        <v>4086</v>
      </c>
      <c r="C116" s="61" t="s">
        <v>520</v>
      </c>
      <c r="D116" s="61" t="s">
        <v>45</v>
      </c>
      <c r="E116" s="42">
        <v>708250</v>
      </c>
      <c r="F116" s="61" t="s">
        <v>45</v>
      </c>
      <c r="G116" s="32">
        <v>1</v>
      </c>
      <c r="H116" s="54">
        <v>7.4</v>
      </c>
      <c r="I116" s="61" t="s">
        <v>61</v>
      </c>
      <c r="J116" s="32" t="s">
        <v>521</v>
      </c>
      <c r="K116" s="54">
        <v>3924262</v>
      </c>
      <c r="L116" s="32"/>
      <c r="M116" s="64">
        <v>0.68</v>
      </c>
    </row>
    <row r="117" spans="1:13" x14ac:dyDescent="0.2">
      <c r="A117" s="32"/>
      <c r="B117" s="67">
        <v>4086</v>
      </c>
      <c r="C117" s="61" t="s">
        <v>520</v>
      </c>
      <c r="D117" s="61" t="s">
        <v>45</v>
      </c>
      <c r="E117" s="42">
        <v>228110</v>
      </c>
      <c r="F117" s="61" t="s">
        <v>45</v>
      </c>
      <c r="G117" s="32">
        <v>1</v>
      </c>
      <c r="H117" s="55">
        <v>19</v>
      </c>
      <c r="I117" s="61" t="s">
        <v>61</v>
      </c>
      <c r="J117" s="32" t="s">
        <v>521</v>
      </c>
      <c r="K117" s="54">
        <v>3944024</v>
      </c>
      <c r="L117" s="32"/>
      <c r="M117" s="56">
        <v>0.65</v>
      </c>
    </row>
    <row r="118" spans="1:13" x14ac:dyDescent="0.2">
      <c r="A118" s="32"/>
      <c r="B118" s="67">
        <v>4086</v>
      </c>
      <c r="C118" s="61" t="s">
        <v>520</v>
      </c>
      <c r="D118" s="61" t="s">
        <v>45</v>
      </c>
      <c r="E118" s="42">
        <v>228120</v>
      </c>
      <c r="F118" s="61" t="s">
        <v>45</v>
      </c>
      <c r="G118" s="32">
        <v>1</v>
      </c>
      <c r="H118" s="54">
        <v>9.1</v>
      </c>
      <c r="I118" s="61" t="s">
        <v>61</v>
      </c>
      <c r="J118" s="32" t="s">
        <v>521</v>
      </c>
      <c r="K118" s="54">
        <v>3948006</v>
      </c>
      <c r="L118" s="32"/>
      <c r="M118" s="63"/>
    </row>
    <row r="119" spans="1:13" x14ac:dyDescent="0.2">
      <c r="A119" s="32"/>
      <c r="B119" s="67">
        <v>4086</v>
      </c>
      <c r="C119" s="61" t="s">
        <v>520</v>
      </c>
      <c r="D119" s="61" t="s">
        <v>45</v>
      </c>
      <c r="E119" s="42">
        <v>648210</v>
      </c>
      <c r="F119" s="61" t="s">
        <v>45</v>
      </c>
      <c r="G119" s="32">
        <v>1</v>
      </c>
      <c r="H119" s="54">
        <v>9.5</v>
      </c>
      <c r="I119" s="61" t="s">
        <v>61</v>
      </c>
      <c r="J119" s="32" t="s">
        <v>521</v>
      </c>
      <c r="K119" s="54">
        <v>3992006</v>
      </c>
      <c r="L119" s="32"/>
      <c r="M119" s="63"/>
    </row>
    <row r="120" spans="1:13" x14ac:dyDescent="0.2">
      <c r="A120" s="32"/>
      <c r="B120" s="67">
        <v>4086</v>
      </c>
      <c r="C120" s="61" t="s">
        <v>520</v>
      </c>
      <c r="D120" s="61" t="s">
        <v>45</v>
      </c>
      <c r="E120" s="42">
        <v>648220</v>
      </c>
      <c r="F120" s="61" t="s">
        <v>45</v>
      </c>
      <c r="G120" s="32">
        <v>1</v>
      </c>
      <c r="H120" s="54">
        <v>45</v>
      </c>
      <c r="I120" s="61" t="s">
        <v>61</v>
      </c>
      <c r="J120" s="32" t="s">
        <v>521</v>
      </c>
      <c r="K120" s="54">
        <v>3992067</v>
      </c>
      <c r="L120" s="32"/>
      <c r="M120" s="63"/>
    </row>
    <row r="121" spans="1:13" x14ac:dyDescent="0.2">
      <c r="A121" s="32"/>
      <c r="B121" s="67">
        <v>4086</v>
      </c>
      <c r="C121" s="61" t="s">
        <v>520</v>
      </c>
      <c r="D121" s="61" t="s">
        <v>45</v>
      </c>
      <c r="E121" s="42">
        <v>648230</v>
      </c>
      <c r="F121" s="61" t="s">
        <v>45</v>
      </c>
      <c r="G121" s="32">
        <v>1</v>
      </c>
      <c r="H121" s="54">
        <v>45</v>
      </c>
      <c r="I121" s="61" t="s">
        <v>61</v>
      </c>
      <c r="J121" s="32" t="s">
        <v>521</v>
      </c>
      <c r="K121" s="54">
        <v>3992069</v>
      </c>
      <c r="L121" s="32"/>
      <c r="M121" s="63"/>
    </row>
    <row r="122" spans="1:13" x14ac:dyDescent="0.2">
      <c r="A122" s="32"/>
      <c r="B122" s="67">
        <v>4086</v>
      </c>
      <c r="C122" s="61" t="s">
        <v>520</v>
      </c>
      <c r="D122" s="61" t="s">
        <v>45</v>
      </c>
      <c r="E122" s="42">
        <v>648240</v>
      </c>
      <c r="F122" s="61" t="s">
        <v>45</v>
      </c>
      <c r="G122" s="32">
        <v>1</v>
      </c>
      <c r="H122" s="54">
        <v>129</v>
      </c>
      <c r="I122" s="61" t="s">
        <v>61</v>
      </c>
      <c r="J122" s="32" t="s">
        <v>521</v>
      </c>
      <c r="K122" s="54">
        <v>3994927</v>
      </c>
      <c r="L122" s="32"/>
      <c r="M122" s="63"/>
    </row>
    <row r="123" spans="1:13" x14ac:dyDescent="0.2">
      <c r="A123" s="32"/>
      <c r="B123" s="67">
        <v>4086</v>
      </c>
      <c r="C123" s="61" t="s">
        <v>520</v>
      </c>
      <c r="D123" s="61" t="s">
        <v>45</v>
      </c>
      <c r="E123" s="42">
        <v>648250</v>
      </c>
      <c r="F123" s="61" t="s">
        <v>45</v>
      </c>
      <c r="G123" s="32">
        <v>1</v>
      </c>
      <c r="H123" s="54">
        <v>195</v>
      </c>
      <c r="I123" s="61" t="s">
        <v>61</v>
      </c>
      <c r="J123" s="32" t="s">
        <v>521</v>
      </c>
      <c r="K123" s="54">
        <v>3994937</v>
      </c>
      <c r="L123" s="32"/>
      <c r="M123" s="63"/>
    </row>
    <row r="124" spans="1:13" x14ac:dyDescent="0.2">
      <c r="A124" s="32"/>
      <c r="B124" s="67">
        <v>4086</v>
      </c>
      <c r="C124" s="61" t="s">
        <v>520</v>
      </c>
      <c r="D124" s="61" t="s">
        <v>45</v>
      </c>
      <c r="E124" s="42">
        <v>648260</v>
      </c>
      <c r="F124" s="61" t="s">
        <v>45</v>
      </c>
      <c r="G124" s="32">
        <v>1</v>
      </c>
      <c r="H124" s="54">
        <v>97</v>
      </c>
      <c r="I124" s="61" t="s">
        <v>61</v>
      </c>
      <c r="J124" s="32" t="s">
        <v>521</v>
      </c>
      <c r="K124" s="54">
        <v>4426436</v>
      </c>
      <c r="L124" s="32"/>
      <c r="M124" s="64">
        <v>0.52</v>
      </c>
    </row>
    <row r="125" spans="1:13" x14ac:dyDescent="0.2">
      <c r="A125" s="32"/>
      <c r="B125" s="67">
        <v>4086</v>
      </c>
      <c r="C125" s="61" t="s">
        <v>520</v>
      </c>
      <c r="D125" s="61" t="s">
        <v>45</v>
      </c>
      <c r="E125" s="42">
        <v>708260</v>
      </c>
      <c r="F125" s="61" t="s">
        <v>45</v>
      </c>
      <c r="G125" s="32">
        <v>1</v>
      </c>
      <c r="H125" s="54">
        <v>260</v>
      </c>
      <c r="I125" s="61" t="s">
        <v>61</v>
      </c>
      <c r="J125" s="32" t="s">
        <v>521</v>
      </c>
      <c r="K125" s="54">
        <v>4427826</v>
      </c>
      <c r="L125" s="32"/>
      <c r="M125" s="64">
        <v>0.52</v>
      </c>
    </row>
    <row r="126" spans="1:13" x14ac:dyDescent="0.2">
      <c r="A126" s="32"/>
      <c r="B126" s="67">
        <v>4086</v>
      </c>
      <c r="C126" s="61" t="s">
        <v>520</v>
      </c>
      <c r="D126" s="61" t="s">
        <v>45</v>
      </c>
      <c r="E126" s="42">
        <v>648270</v>
      </c>
      <c r="F126" s="61" t="s">
        <v>45</v>
      </c>
      <c r="G126" s="32">
        <v>1</v>
      </c>
      <c r="H126" s="54">
        <v>201</v>
      </c>
      <c r="I126" s="61" t="s">
        <v>61</v>
      </c>
      <c r="J126" s="32" t="s">
        <v>521</v>
      </c>
      <c r="K126" s="54">
        <v>4444083</v>
      </c>
      <c r="L126" s="32"/>
      <c r="M126" s="64">
        <v>0.56000000000000005</v>
      </c>
    </row>
    <row r="127" spans="1:13" x14ac:dyDescent="0.2">
      <c r="A127" s="32"/>
      <c r="B127" s="67">
        <v>4086</v>
      </c>
      <c r="C127" s="61" t="s">
        <v>520</v>
      </c>
      <c r="D127" s="61" t="s">
        <v>45</v>
      </c>
      <c r="E127" s="42">
        <v>708270</v>
      </c>
      <c r="F127" s="61" t="s">
        <v>45</v>
      </c>
      <c r="G127" s="32">
        <v>1</v>
      </c>
      <c r="H127" s="54">
        <v>17.28</v>
      </c>
      <c r="I127" s="61" t="s">
        <v>61</v>
      </c>
      <c r="J127" s="32" t="s">
        <v>521</v>
      </c>
      <c r="K127" s="54">
        <v>4610401</v>
      </c>
      <c r="L127" s="32"/>
      <c r="M127" s="64">
        <v>0.65</v>
      </c>
    </row>
    <row r="128" spans="1:13" x14ac:dyDescent="0.2">
      <c r="A128" s="32"/>
      <c r="B128" s="67">
        <v>4086</v>
      </c>
      <c r="C128" s="61" t="s">
        <v>520</v>
      </c>
      <c r="D128" s="61" t="s">
        <v>45</v>
      </c>
      <c r="E128" s="42">
        <v>708280</v>
      </c>
      <c r="F128" s="61" t="s">
        <v>45</v>
      </c>
      <c r="G128" s="32">
        <v>1</v>
      </c>
      <c r="H128" s="54">
        <v>24.69</v>
      </c>
      <c r="I128" s="61" t="s">
        <v>61</v>
      </c>
      <c r="J128" s="32" t="s">
        <v>521</v>
      </c>
      <c r="K128" s="54">
        <v>4610406</v>
      </c>
      <c r="L128" s="32"/>
      <c r="M128" s="64">
        <v>0.6</v>
      </c>
    </row>
    <row r="129" spans="1:13" x14ac:dyDescent="0.2">
      <c r="A129" s="32"/>
      <c r="B129" s="67">
        <v>4086</v>
      </c>
      <c r="C129" s="61" t="s">
        <v>520</v>
      </c>
      <c r="D129" s="61" t="s">
        <v>45</v>
      </c>
      <c r="E129" s="42">
        <v>708290</v>
      </c>
      <c r="F129" s="61" t="s">
        <v>45</v>
      </c>
      <c r="G129" s="32">
        <v>1</v>
      </c>
      <c r="H129" s="55">
        <v>13.89</v>
      </c>
      <c r="I129" s="61" t="s">
        <v>61</v>
      </c>
      <c r="J129" s="32" t="s">
        <v>521</v>
      </c>
      <c r="K129" s="54">
        <v>4610425</v>
      </c>
      <c r="L129" s="32"/>
      <c r="M129" s="56">
        <v>0.6</v>
      </c>
    </row>
    <row r="130" spans="1:13" x14ac:dyDescent="0.2">
      <c r="A130" s="32"/>
      <c r="B130" s="67">
        <v>4086</v>
      </c>
      <c r="C130" s="61" t="s">
        <v>520</v>
      </c>
      <c r="D130" s="61" t="s">
        <v>45</v>
      </c>
      <c r="E130" s="42">
        <v>708300</v>
      </c>
      <c r="F130" s="61" t="s">
        <v>45</v>
      </c>
      <c r="G130" s="32">
        <v>1</v>
      </c>
      <c r="H130" s="54">
        <v>23.14</v>
      </c>
      <c r="I130" s="61" t="s">
        <v>61</v>
      </c>
      <c r="J130" s="32" t="s">
        <v>521</v>
      </c>
      <c r="K130" s="54">
        <v>4610430</v>
      </c>
      <c r="L130" s="32"/>
      <c r="M130" s="64">
        <v>0.6</v>
      </c>
    </row>
    <row r="131" spans="1:13" x14ac:dyDescent="0.2">
      <c r="A131" s="32"/>
      <c r="B131" s="67">
        <v>4086</v>
      </c>
      <c r="C131" s="61" t="s">
        <v>520</v>
      </c>
      <c r="D131" s="61" t="s">
        <v>45</v>
      </c>
      <c r="E131" s="42">
        <v>618140</v>
      </c>
      <c r="F131" s="61" t="s">
        <v>45</v>
      </c>
      <c r="G131" s="32">
        <v>1</v>
      </c>
      <c r="H131" s="65">
        <v>1740</v>
      </c>
      <c r="I131" s="61" t="s">
        <v>61</v>
      </c>
      <c r="J131" s="32" t="s">
        <v>521</v>
      </c>
      <c r="K131" s="54">
        <v>4620031</v>
      </c>
      <c r="L131" s="32"/>
      <c r="M131" s="64">
        <v>0.57999999999999996</v>
      </c>
    </row>
    <row r="132" spans="1:13" x14ac:dyDescent="0.2">
      <c r="A132" s="32"/>
      <c r="B132" s="67">
        <v>4086</v>
      </c>
      <c r="C132" s="61" t="s">
        <v>520</v>
      </c>
      <c r="D132" s="61" t="s">
        <v>45</v>
      </c>
      <c r="E132" s="42">
        <v>938120</v>
      </c>
      <c r="F132" s="61" t="s">
        <v>45</v>
      </c>
      <c r="G132" s="32">
        <v>1</v>
      </c>
      <c r="H132" s="54">
        <v>13.6</v>
      </c>
      <c r="I132" s="61" t="s">
        <v>61</v>
      </c>
      <c r="J132" s="32" t="s">
        <v>521</v>
      </c>
      <c r="K132" s="54">
        <v>4931899</v>
      </c>
      <c r="L132" s="32"/>
      <c r="M132" s="64">
        <v>0.57999999999999996</v>
      </c>
    </row>
    <row r="133" spans="1:13" x14ac:dyDescent="0.2">
      <c r="A133" s="32"/>
      <c r="B133" s="67">
        <v>4086</v>
      </c>
      <c r="C133" s="61" t="s">
        <v>520</v>
      </c>
      <c r="D133" s="61" t="s">
        <v>45</v>
      </c>
      <c r="E133" s="42">
        <v>408110</v>
      </c>
      <c r="F133" s="61" t="s">
        <v>45</v>
      </c>
      <c r="G133" s="32">
        <v>1</v>
      </c>
      <c r="H133" s="54">
        <v>22.8</v>
      </c>
      <c r="I133" s="61" t="s">
        <v>61</v>
      </c>
      <c r="J133" s="32" t="s">
        <v>521</v>
      </c>
      <c r="K133" s="54">
        <v>4932201</v>
      </c>
      <c r="L133" s="32"/>
      <c r="M133" s="63"/>
    </row>
    <row r="134" spans="1:13" x14ac:dyDescent="0.2">
      <c r="A134" s="32"/>
      <c r="B134" s="67">
        <v>4086</v>
      </c>
      <c r="C134" s="61" t="s">
        <v>520</v>
      </c>
      <c r="D134" s="61" t="s">
        <v>45</v>
      </c>
      <c r="E134" s="42">
        <v>408120</v>
      </c>
      <c r="F134" s="61" t="s">
        <v>45</v>
      </c>
      <c r="G134" s="32">
        <v>1</v>
      </c>
      <c r="H134" s="54">
        <v>8.1</v>
      </c>
      <c r="I134" s="61" t="s">
        <v>61</v>
      </c>
      <c r="J134" s="32" t="s">
        <v>521</v>
      </c>
      <c r="K134" s="54">
        <v>4932302</v>
      </c>
      <c r="L134" s="32"/>
      <c r="M134" s="63"/>
    </row>
    <row r="135" spans="1:13" x14ac:dyDescent="0.2">
      <c r="A135" s="32"/>
      <c r="B135" s="67">
        <v>4086</v>
      </c>
      <c r="C135" s="61" t="s">
        <v>520</v>
      </c>
      <c r="D135" s="61" t="s">
        <v>45</v>
      </c>
      <c r="E135" s="42">
        <v>408130</v>
      </c>
      <c r="F135" s="61" t="s">
        <v>45</v>
      </c>
      <c r="G135" s="32">
        <v>1</v>
      </c>
      <c r="H135" s="54">
        <v>10.6</v>
      </c>
      <c r="I135" s="61" t="s">
        <v>61</v>
      </c>
      <c r="J135" s="32" t="s">
        <v>521</v>
      </c>
      <c r="K135" s="54">
        <v>4932303</v>
      </c>
      <c r="L135" s="32"/>
      <c r="M135" s="63"/>
    </row>
    <row r="136" spans="1:13" x14ac:dyDescent="0.2">
      <c r="A136" s="32"/>
      <c r="B136" s="67">
        <v>4086</v>
      </c>
      <c r="C136" s="61" t="s">
        <v>520</v>
      </c>
      <c r="D136" s="61" t="s">
        <v>45</v>
      </c>
      <c r="E136" s="42">
        <v>408140</v>
      </c>
      <c r="F136" s="61" t="s">
        <v>45</v>
      </c>
      <c r="G136" s="32">
        <v>1</v>
      </c>
      <c r="H136" s="54">
        <v>14.5</v>
      </c>
      <c r="I136" s="61" t="s">
        <v>61</v>
      </c>
      <c r="J136" s="32" t="s">
        <v>521</v>
      </c>
      <c r="K136" s="54">
        <v>4932305</v>
      </c>
      <c r="L136" s="32"/>
      <c r="M136" s="63"/>
    </row>
    <row r="137" spans="1:13" x14ac:dyDescent="0.2">
      <c r="A137" s="32"/>
      <c r="B137" s="67">
        <v>4086</v>
      </c>
      <c r="C137" s="61" t="s">
        <v>520</v>
      </c>
      <c r="D137" s="61" t="s">
        <v>45</v>
      </c>
      <c r="E137" s="42">
        <v>238110</v>
      </c>
      <c r="F137" s="61" t="s">
        <v>45</v>
      </c>
      <c r="G137" s="32">
        <v>1</v>
      </c>
      <c r="H137" s="54">
        <v>6.9</v>
      </c>
      <c r="I137" s="61" t="s">
        <v>61</v>
      </c>
      <c r="J137" s="32" t="s">
        <v>521</v>
      </c>
      <c r="K137" s="54">
        <v>4932721</v>
      </c>
      <c r="L137" s="32"/>
      <c r="M137" s="63"/>
    </row>
    <row r="138" spans="1:13" x14ac:dyDescent="0.2">
      <c r="A138" s="32"/>
      <c r="B138" s="67">
        <v>4086</v>
      </c>
      <c r="C138" s="61" t="s">
        <v>520</v>
      </c>
      <c r="D138" s="61" t="s">
        <v>45</v>
      </c>
      <c r="E138" s="42">
        <v>238120</v>
      </c>
      <c r="F138" s="61" t="s">
        <v>45</v>
      </c>
      <c r="G138" s="32">
        <v>1</v>
      </c>
      <c r="H138" s="55">
        <v>17.5</v>
      </c>
      <c r="I138" s="61" t="s">
        <v>61</v>
      </c>
      <c r="J138" s="32" t="s">
        <v>521</v>
      </c>
      <c r="K138" s="54">
        <v>4932729</v>
      </c>
      <c r="L138" s="32"/>
      <c r="M138" s="57"/>
    </row>
    <row r="139" spans="1:13" x14ac:dyDescent="0.2">
      <c r="A139" s="32"/>
      <c r="B139" s="67">
        <v>4086</v>
      </c>
      <c r="C139" s="61" t="s">
        <v>520</v>
      </c>
      <c r="D139" s="61" t="s">
        <v>45</v>
      </c>
      <c r="E139" s="42">
        <v>238130</v>
      </c>
      <c r="F139" s="61" t="s">
        <v>45</v>
      </c>
      <c r="G139" s="32">
        <v>1</v>
      </c>
      <c r="H139" s="54">
        <v>9.5</v>
      </c>
      <c r="I139" s="61" t="s">
        <v>61</v>
      </c>
      <c r="J139" s="32" t="s">
        <v>521</v>
      </c>
      <c r="K139" s="54">
        <v>4932731</v>
      </c>
      <c r="L139" s="32"/>
      <c r="M139" s="63"/>
    </row>
    <row r="140" spans="1:13" x14ac:dyDescent="0.2">
      <c r="A140" s="32"/>
      <c r="B140" s="67">
        <v>4086</v>
      </c>
      <c r="C140" s="61" t="s">
        <v>520</v>
      </c>
      <c r="D140" s="61" t="s">
        <v>45</v>
      </c>
      <c r="E140" s="42">
        <v>238140</v>
      </c>
      <c r="F140" s="61" t="s">
        <v>45</v>
      </c>
      <c r="G140" s="32">
        <v>1</v>
      </c>
      <c r="H140" s="54">
        <v>0.42</v>
      </c>
      <c r="I140" s="61" t="s">
        <v>61</v>
      </c>
      <c r="J140" s="32" t="s">
        <v>521</v>
      </c>
      <c r="K140" s="54">
        <v>4932743</v>
      </c>
      <c r="L140" s="32"/>
      <c r="M140" s="63"/>
    </row>
    <row r="141" spans="1:13" x14ac:dyDescent="0.2">
      <c r="A141" s="32"/>
      <c r="B141" s="67">
        <v>4086</v>
      </c>
      <c r="C141" s="61" t="s">
        <v>520</v>
      </c>
      <c r="D141" s="61" t="s">
        <v>45</v>
      </c>
      <c r="E141" s="42">
        <v>318110</v>
      </c>
      <c r="F141" s="61" t="s">
        <v>45</v>
      </c>
      <c r="G141" s="32">
        <v>1</v>
      </c>
      <c r="H141" s="54">
        <v>6.06</v>
      </c>
      <c r="I141" s="61" t="s">
        <v>61</v>
      </c>
      <c r="J141" s="32" t="s">
        <v>521</v>
      </c>
      <c r="K141" s="54">
        <v>5951020</v>
      </c>
      <c r="L141" s="32"/>
      <c r="M141" s="64">
        <v>0.73</v>
      </c>
    </row>
    <row r="142" spans="1:13" x14ac:dyDescent="0.2">
      <c r="A142" s="32"/>
      <c r="B142" s="67">
        <v>4086</v>
      </c>
      <c r="C142" s="61" t="s">
        <v>520</v>
      </c>
      <c r="D142" s="61" t="s">
        <v>45</v>
      </c>
      <c r="E142" s="42">
        <v>318120</v>
      </c>
      <c r="F142" s="61" t="s">
        <v>45</v>
      </c>
      <c r="G142" s="32">
        <v>1</v>
      </c>
      <c r="H142" s="55">
        <v>1.48</v>
      </c>
      <c r="I142" s="61" t="s">
        <v>61</v>
      </c>
      <c r="J142" s="32" t="s">
        <v>521</v>
      </c>
      <c r="K142" s="54">
        <v>5951021</v>
      </c>
      <c r="L142" s="32"/>
      <c r="M142" s="57"/>
    </row>
    <row r="143" spans="1:13" x14ac:dyDescent="0.2">
      <c r="A143" s="32"/>
      <c r="B143" s="67">
        <v>4086</v>
      </c>
      <c r="C143" s="61" t="s">
        <v>520</v>
      </c>
      <c r="D143" s="61" t="s">
        <v>45</v>
      </c>
      <c r="E143" s="42">
        <v>318130</v>
      </c>
      <c r="F143" s="61" t="s">
        <v>45</v>
      </c>
      <c r="G143" s="32">
        <v>1</v>
      </c>
      <c r="H143" s="54">
        <v>7.77</v>
      </c>
      <c r="I143" s="61" t="s">
        <v>61</v>
      </c>
      <c r="J143" s="32" t="s">
        <v>521</v>
      </c>
      <c r="K143" s="54">
        <v>5951030</v>
      </c>
      <c r="L143" s="32"/>
      <c r="M143" s="64">
        <v>0.73</v>
      </c>
    </row>
    <row r="144" spans="1:13" x14ac:dyDescent="0.2">
      <c r="A144" s="32"/>
      <c r="B144" s="67">
        <v>4086</v>
      </c>
      <c r="C144" s="61" t="s">
        <v>520</v>
      </c>
      <c r="D144" s="61" t="s">
        <v>45</v>
      </c>
      <c r="E144" s="42">
        <v>318140</v>
      </c>
      <c r="F144" s="61" t="s">
        <v>45</v>
      </c>
      <c r="G144" s="32">
        <v>1</v>
      </c>
      <c r="H144" s="54">
        <v>7.7</v>
      </c>
      <c r="I144" s="61" t="s">
        <v>61</v>
      </c>
      <c r="J144" s="32" t="s">
        <v>521</v>
      </c>
      <c r="K144" s="54">
        <v>5951031</v>
      </c>
      <c r="L144" s="32"/>
      <c r="M144" s="64">
        <v>0.73</v>
      </c>
    </row>
    <row r="145" spans="1:13" x14ac:dyDescent="0.2">
      <c r="A145" s="32"/>
      <c r="B145" s="67">
        <v>4086</v>
      </c>
      <c r="C145" s="61" t="s">
        <v>520</v>
      </c>
      <c r="D145" s="61" t="s">
        <v>45</v>
      </c>
      <c r="E145" s="42">
        <v>318150</v>
      </c>
      <c r="F145" s="61" t="s">
        <v>45</v>
      </c>
      <c r="G145" s="32">
        <v>1</v>
      </c>
      <c r="H145" s="54">
        <v>8.32</v>
      </c>
      <c r="I145" s="61" t="s">
        <v>61</v>
      </c>
      <c r="J145" s="32" t="s">
        <v>521</v>
      </c>
      <c r="K145" s="54">
        <v>5951033</v>
      </c>
      <c r="L145" s="32"/>
      <c r="M145" s="64">
        <v>0.73</v>
      </c>
    </row>
    <row r="146" spans="1:13" x14ac:dyDescent="0.2">
      <c r="A146" s="32"/>
      <c r="B146" s="67">
        <v>4086</v>
      </c>
      <c r="C146" s="61" t="s">
        <v>520</v>
      </c>
      <c r="D146" s="61" t="s">
        <v>45</v>
      </c>
      <c r="E146" s="42">
        <v>318160</v>
      </c>
      <c r="F146" s="61" t="s">
        <v>45</v>
      </c>
      <c r="G146" s="32">
        <v>1</v>
      </c>
      <c r="H146" s="54">
        <v>9.3800000000000008</v>
      </c>
      <c r="I146" s="61" t="s">
        <v>61</v>
      </c>
      <c r="J146" s="32" t="s">
        <v>521</v>
      </c>
      <c r="K146" s="54">
        <v>5951040</v>
      </c>
      <c r="L146" s="32"/>
      <c r="M146" s="64">
        <v>0.73</v>
      </c>
    </row>
    <row r="147" spans="1:13" x14ac:dyDescent="0.2">
      <c r="A147" s="32"/>
      <c r="B147" s="67">
        <v>4086</v>
      </c>
      <c r="C147" s="61" t="s">
        <v>520</v>
      </c>
      <c r="D147" s="61" t="s">
        <v>45</v>
      </c>
      <c r="E147" s="42">
        <v>318170</v>
      </c>
      <c r="F147" s="61" t="s">
        <v>45</v>
      </c>
      <c r="G147" s="32">
        <v>1</v>
      </c>
      <c r="H147" s="54">
        <v>9.07</v>
      </c>
      <c r="I147" s="61" t="s">
        <v>61</v>
      </c>
      <c r="J147" s="32" t="s">
        <v>521</v>
      </c>
      <c r="K147" s="54">
        <v>5951041</v>
      </c>
      <c r="L147" s="32"/>
      <c r="M147" s="64">
        <v>0.73499999999999999</v>
      </c>
    </row>
    <row r="148" spans="1:13" x14ac:dyDescent="0.2">
      <c r="A148" s="32"/>
      <c r="B148" s="67">
        <v>4086</v>
      </c>
      <c r="C148" s="61" t="s">
        <v>520</v>
      </c>
      <c r="D148" s="61" t="s">
        <v>45</v>
      </c>
      <c r="E148" s="42">
        <v>318180</v>
      </c>
      <c r="F148" s="61" t="s">
        <v>45</v>
      </c>
      <c r="G148" s="32">
        <v>1</v>
      </c>
      <c r="H148" s="55">
        <v>8.85</v>
      </c>
      <c r="I148" s="61" t="s">
        <v>61</v>
      </c>
      <c r="J148" s="32" t="s">
        <v>521</v>
      </c>
      <c r="K148" s="54">
        <v>5951060</v>
      </c>
      <c r="L148" s="32"/>
      <c r="M148" s="56">
        <v>0.74099999999999999</v>
      </c>
    </row>
    <row r="149" spans="1:13" x14ac:dyDescent="0.2">
      <c r="A149" s="32"/>
      <c r="B149" s="67">
        <v>4086</v>
      </c>
      <c r="C149" s="61" t="s">
        <v>520</v>
      </c>
      <c r="D149" s="61" t="s">
        <v>45</v>
      </c>
      <c r="E149" s="42">
        <v>318190</v>
      </c>
      <c r="F149" s="61" t="s">
        <v>45</v>
      </c>
      <c r="G149" s="32">
        <v>1</v>
      </c>
      <c r="H149" s="54">
        <v>8.31</v>
      </c>
      <c r="I149" s="61" t="s">
        <v>61</v>
      </c>
      <c r="J149" s="32" t="s">
        <v>521</v>
      </c>
      <c r="K149" s="54">
        <v>5951061</v>
      </c>
      <c r="L149" s="32"/>
      <c r="M149" s="64">
        <v>0.73499999999999999</v>
      </c>
    </row>
    <row r="150" spans="1:13" x14ac:dyDescent="0.2">
      <c r="A150" s="32"/>
      <c r="B150" s="67">
        <v>4086</v>
      </c>
      <c r="C150" s="61" t="s">
        <v>520</v>
      </c>
      <c r="D150" s="61" t="s">
        <v>45</v>
      </c>
      <c r="E150" s="42">
        <v>318200</v>
      </c>
      <c r="F150" s="61" t="s">
        <v>45</v>
      </c>
      <c r="G150" s="32">
        <v>1</v>
      </c>
      <c r="H150" s="54">
        <v>13.69</v>
      </c>
      <c r="I150" s="61" t="s">
        <v>61</v>
      </c>
      <c r="J150" s="32" t="s">
        <v>521</v>
      </c>
      <c r="K150" s="54">
        <v>5951080</v>
      </c>
      <c r="L150" s="32"/>
      <c r="M150" s="64">
        <v>0.74080000000000001</v>
      </c>
    </row>
    <row r="151" spans="1:13" x14ac:dyDescent="0.2">
      <c r="A151" s="32"/>
      <c r="B151" s="67">
        <v>4086</v>
      </c>
      <c r="C151" s="61" t="s">
        <v>520</v>
      </c>
      <c r="D151" s="61" t="s">
        <v>45</v>
      </c>
      <c r="E151" s="42">
        <v>318210</v>
      </c>
      <c r="F151" s="61" t="s">
        <v>45</v>
      </c>
      <c r="G151" s="32">
        <v>1</v>
      </c>
      <c r="H151" s="54">
        <v>13.31</v>
      </c>
      <c r="I151" s="61" t="s">
        <v>61</v>
      </c>
      <c r="J151" s="32" t="s">
        <v>521</v>
      </c>
      <c r="K151" s="54">
        <v>5951081</v>
      </c>
      <c r="L151" s="32"/>
      <c r="M151" s="64">
        <v>0.74080000000000001</v>
      </c>
    </row>
    <row r="152" spans="1:13" x14ac:dyDescent="0.2">
      <c r="A152" s="32"/>
      <c r="B152" s="67">
        <v>4086</v>
      </c>
      <c r="C152" s="61" t="s">
        <v>520</v>
      </c>
      <c r="D152" s="61" t="s">
        <v>45</v>
      </c>
      <c r="E152" s="42">
        <v>318220</v>
      </c>
      <c r="F152" s="61" t="s">
        <v>45</v>
      </c>
      <c r="G152" s="32">
        <v>1</v>
      </c>
      <c r="H152" s="54">
        <v>20.34</v>
      </c>
      <c r="I152" s="61" t="s">
        <v>61</v>
      </c>
      <c r="J152" s="32" t="s">
        <v>521</v>
      </c>
      <c r="K152" s="54">
        <v>5951120</v>
      </c>
      <c r="L152" s="32"/>
      <c r="M152" s="64">
        <v>0.74</v>
      </c>
    </row>
    <row r="153" spans="1:13" x14ac:dyDescent="0.2">
      <c r="A153" s="32"/>
      <c r="B153" s="67">
        <v>4086</v>
      </c>
      <c r="C153" s="61" t="s">
        <v>520</v>
      </c>
      <c r="D153" s="61" t="s">
        <v>45</v>
      </c>
      <c r="E153" s="42">
        <v>318230</v>
      </c>
      <c r="F153" s="61" t="s">
        <v>45</v>
      </c>
      <c r="G153" s="32">
        <v>1</v>
      </c>
      <c r="H153" s="54">
        <v>18.28</v>
      </c>
      <c r="I153" s="61" t="s">
        <v>61</v>
      </c>
      <c r="J153" s="32" t="s">
        <v>521</v>
      </c>
      <c r="K153" s="54">
        <v>5951140</v>
      </c>
      <c r="L153" s="32"/>
      <c r="M153" s="64">
        <v>0.73499999999999999</v>
      </c>
    </row>
    <row r="154" spans="1:13" x14ac:dyDescent="0.2">
      <c r="A154" s="32"/>
      <c r="B154" s="67">
        <v>4086</v>
      </c>
      <c r="C154" s="61" t="s">
        <v>520</v>
      </c>
      <c r="D154" s="61" t="s">
        <v>45</v>
      </c>
      <c r="E154" s="42">
        <v>318240</v>
      </c>
      <c r="F154" s="61" t="s">
        <v>45</v>
      </c>
      <c r="G154" s="32">
        <v>1</v>
      </c>
      <c r="H154" s="54">
        <v>28.91</v>
      </c>
      <c r="I154" s="61" t="s">
        <v>61</v>
      </c>
      <c r="J154" s="32" t="s">
        <v>521</v>
      </c>
      <c r="K154" s="54">
        <v>5951160</v>
      </c>
      <c r="L154" s="32"/>
      <c r="M154" s="64">
        <v>0.73499999999999999</v>
      </c>
    </row>
    <row r="155" spans="1:13" x14ac:dyDescent="0.2">
      <c r="A155" s="32"/>
      <c r="B155" s="67">
        <v>4086</v>
      </c>
      <c r="C155" s="61" t="s">
        <v>520</v>
      </c>
      <c r="D155" s="61" t="s">
        <v>45</v>
      </c>
      <c r="E155" s="42">
        <v>318250</v>
      </c>
      <c r="F155" s="61" t="s">
        <v>45</v>
      </c>
      <c r="G155" s="32">
        <v>1</v>
      </c>
      <c r="H155" s="54">
        <v>49.54</v>
      </c>
      <c r="I155" s="61" t="s">
        <v>61</v>
      </c>
      <c r="J155" s="32" t="s">
        <v>521</v>
      </c>
      <c r="K155" s="54">
        <v>5952040</v>
      </c>
      <c r="L155" s="32"/>
      <c r="M155" s="64">
        <v>0.74080000000000001</v>
      </c>
    </row>
    <row r="156" spans="1:13" x14ac:dyDescent="0.2">
      <c r="A156" s="32"/>
      <c r="B156" s="67">
        <v>4086</v>
      </c>
      <c r="C156" s="61" t="s">
        <v>520</v>
      </c>
      <c r="D156" s="61" t="s">
        <v>45</v>
      </c>
      <c r="E156" s="42">
        <v>318260</v>
      </c>
      <c r="F156" s="61" t="s">
        <v>45</v>
      </c>
      <c r="G156" s="32">
        <v>1</v>
      </c>
      <c r="H156" s="54">
        <v>73.92</v>
      </c>
      <c r="I156" s="61" t="s">
        <v>61</v>
      </c>
      <c r="J156" s="32" t="s">
        <v>521</v>
      </c>
      <c r="K156" s="54">
        <v>5952070</v>
      </c>
      <c r="L156" s="32"/>
      <c r="M156" s="64">
        <v>0.74080000000000001</v>
      </c>
    </row>
    <row r="157" spans="1:13" x14ac:dyDescent="0.2">
      <c r="A157" s="32"/>
      <c r="B157" s="67">
        <v>4086</v>
      </c>
      <c r="C157" s="61" t="s">
        <v>520</v>
      </c>
      <c r="D157" s="61" t="s">
        <v>45</v>
      </c>
      <c r="E157" s="42">
        <v>318270</v>
      </c>
      <c r="F157" s="61" t="s">
        <v>45</v>
      </c>
      <c r="G157" s="32">
        <v>1</v>
      </c>
      <c r="H157" s="54" t="s">
        <v>519</v>
      </c>
      <c r="I157" s="61" t="s">
        <v>61</v>
      </c>
      <c r="J157" s="32" t="s">
        <v>521</v>
      </c>
      <c r="K157" s="54">
        <v>5952080</v>
      </c>
      <c r="L157" s="32"/>
      <c r="M157" s="64">
        <v>0.74</v>
      </c>
    </row>
    <row r="158" spans="1:13" x14ac:dyDescent="0.2">
      <c r="A158" s="32"/>
      <c r="B158" s="67">
        <v>4086</v>
      </c>
      <c r="C158" s="61" t="s">
        <v>520</v>
      </c>
      <c r="D158" s="61" t="s">
        <v>45</v>
      </c>
      <c r="E158" s="42">
        <v>318280</v>
      </c>
      <c r="F158" s="61" t="s">
        <v>45</v>
      </c>
      <c r="G158" s="32">
        <v>1</v>
      </c>
      <c r="H158" s="54">
        <v>24.42</v>
      </c>
      <c r="I158" s="61" t="s">
        <v>61</v>
      </c>
      <c r="J158" s="32" t="s">
        <v>521</v>
      </c>
      <c r="K158" s="54">
        <v>5952090</v>
      </c>
      <c r="L158" s="32"/>
      <c r="M158" s="63"/>
    </row>
    <row r="159" spans="1:13" x14ac:dyDescent="0.2">
      <c r="A159" s="32"/>
      <c r="B159" s="67">
        <v>4086</v>
      </c>
      <c r="C159" s="61" t="s">
        <v>520</v>
      </c>
      <c r="D159" s="61" t="s">
        <v>45</v>
      </c>
      <c r="E159" s="42">
        <v>318290</v>
      </c>
      <c r="F159" s="61" t="s">
        <v>45</v>
      </c>
      <c r="G159" s="32">
        <v>1</v>
      </c>
      <c r="H159" s="54">
        <v>33.409999999999997</v>
      </c>
      <c r="I159" s="61" t="s">
        <v>61</v>
      </c>
      <c r="J159" s="32" t="s">
        <v>521</v>
      </c>
      <c r="K159" s="54">
        <v>5952110</v>
      </c>
      <c r="L159" s="32"/>
      <c r="M159" s="63"/>
    </row>
    <row r="160" spans="1:13" x14ac:dyDescent="0.2">
      <c r="A160" s="32"/>
      <c r="B160" s="67">
        <v>4086</v>
      </c>
      <c r="C160" s="61" t="s">
        <v>520</v>
      </c>
      <c r="D160" s="61" t="s">
        <v>45</v>
      </c>
      <c r="E160" s="42">
        <v>318300</v>
      </c>
      <c r="F160" s="61" t="s">
        <v>45</v>
      </c>
      <c r="G160" s="32">
        <v>1</v>
      </c>
      <c r="H160" s="54">
        <v>142.57</v>
      </c>
      <c r="I160" s="61" t="s">
        <v>61</v>
      </c>
      <c r="J160" s="32" t="s">
        <v>521</v>
      </c>
      <c r="K160" s="54">
        <v>5953100</v>
      </c>
      <c r="L160" s="32"/>
      <c r="M160" s="63"/>
    </row>
    <row r="161" spans="1:13" x14ac:dyDescent="0.2">
      <c r="A161" s="32"/>
      <c r="B161" s="67">
        <v>4086</v>
      </c>
      <c r="C161" s="61" t="s">
        <v>520</v>
      </c>
      <c r="D161" s="61" t="s">
        <v>45</v>
      </c>
      <c r="E161" s="42">
        <v>348110</v>
      </c>
      <c r="F161" s="61" t="s">
        <v>45</v>
      </c>
      <c r="G161" s="32">
        <v>1</v>
      </c>
      <c r="H161" s="54">
        <v>8.49</v>
      </c>
      <c r="I161" s="61" t="s">
        <v>61</v>
      </c>
      <c r="J161" s="32" t="s">
        <v>521</v>
      </c>
      <c r="K161" s="54">
        <v>5954025</v>
      </c>
      <c r="L161" s="32"/>
      <c r="M161" s="63"/>
    </row>
    <row r="162" spans="1:13" x14ac:dyDescent="0.2">
      <c r="A162" s="32"/>
      <c r="B162" s="67">
        <v>4086</v>
      </c>
      <c r="C162" s="61" t="s">
        <v>520</v>
      </c>
      <c r="D162" s="61" t="s">
        <v>45</v>
      </c>
      <c r="E162" s="42">
        <v>348120</v>
      </c>
      <c r="F162" s="61" t="s">
        <v>45</v>
      </c>
      <c r="G162" s="32">
        <v>1</v>
      </c>
      <c r="H162" s="54">
        <v>10.4</v>
      </c>
      <c r="I162" s="61" t="s">
        <v>61</v>
      </c>
      <c r="J162" s="32" t="s">
        <v>521</v>
      </c>
      <c r="K162" s="54">
        <v>5954042</v>
      </c>
      <c r="L162" s="32"/>
      <c r="M162" s="63"/>
    </row>
    <row r="163" spans="1:13" x14ac:dyDescent="0.2">
      <c r="A163" s="32"/>
      <c r="B163" s="67">
        <v>4086</v>
      </c>
      <c r="C163" s="61" t="s">
        <v>520</v>
      </c>
      <c r="D163" s="61" t="s">
        <v>45</v>
      </c>
      <c r="E163" s="42">
        <v>348130</v>
      </c>
      <c r="F163" s="61" t="s">
        <v>45</v>
      </c>
      <c r="G163" s="32">
        <v>1</v>
      </c>
      <c r="H163" s="54">
        <v>14.2</v>
      </c>
      <c r="I163" s="61" t="s">
        <v>61</v>
      </c>
      <c r="J163" s="32" t="s">
        <v>521</v>
      </c>
      <c r="K163" s="54">
        <v>5954045</v>
      </c>
      <c r="L163" s="32"/>
      <c r="M163" s="63"/>
    </row>
    <row r="164" spans="1:13" x14ac:dyDescent="0.2">
      <c r="A164" s="32"/>
      <c r="B164" s="67">
        <v>4086</v>
      </c>
      <c r="C164" s="61" t="s">
        <v>520</v>
      </c>
      <c r="D164" s="61" t="s">
        <v>45</v>
      </c>
      <c r="E164" s="42">
        <v>348140</v>
      </c>
      <c r="F164" s="61" t="s">
        <v>45</v>
      </c>
      <c r="G164" s="32">
        <v>1</v>
      </c>
      <c r="H164" s="54">
        <v>22.34</v>
      </c>
      <c r="I164" s="61" t="s">
        <v>61</v>
      </c>
      <c r="J164" s="32" t="s">
        <v>521</v>
      </c>
      <c r="K164" s="54">
        <v>5954061</v>
      </c>
      <c r="L164" s="32"/>
      <c r="M164" s="63"/>
    </row>
    <row r="165" spans="1:13" x14ac:dyDescent="0.2">
      <c r="A165" s="32"/>
      <c r="B165" s="67">
        <v>4086</v>
      </c>
      <c r="C165" s="61" t="s">
        <v>520</v>
      </c>
      <c r="D165" s="61" t="s">
        <v>45</v>
      </c>
      <c r="E165" s="42">
        <v>348150</v>
      </c>
      <c r="F165" s="61" t="s">
        <v>45</v>
      </c>
      <c r="G165" s="32">
        <v>1</v>
      </c>
      <c r="H165" s="54">
        <v>27.6</v>
      </c>
      <c r="I165" s="61" t="s">
        <v>61</v>
      </c>
      <c r="J165" s="32" t="s">
        <v>521</v>
      </c>
      <c r="K165" s="54">
        <v>5954075</v>
      </c>
      <c r="L165" s="32"/>
      <c r="M165" s="63"/>
    </row>
    <row r="166" spans="1:13" x14ac:dyDescent="0.2">
      <c r="A166" s="32"/>
      <c r="B166" s="67">
        <v>4086</v>
      </c>
      <c r="C166" s="61" t="s">
        <v>520</v>
      </c>
      <c r="D166" s="61" t="s">
        <v>45</v>
      </c>
      <c r="E166" s="42">
        <v>348160</v>
      </c>
      <c r="F166" s="61" t="s">
        <v>45</v>
      </c>
      <c r="G166" s="32">
        <v>1</v>
      </c>
      <c r="H166" s="54">
        <v>36.270000000000003</v>
      </c>
      <c r="I166" s="61" t="s">
        <v>61</v>
      </c>
      <c r="J166" s="32" t="s">
        <v>521</v>
      </c>
      <c r="K166" s="54">
        <v>5954083</v>
      </c>
      <c r="L166" s="32"/>
      <c r="M166" s="63"/>
    </row>
    <row r="167" spans="1:13" x14ac:dyDescent="0.2">
      <c r="A167" s="32"/>
      <c r="B167" s="67">
        <v>4086</v>
      </c>
      <c r="C167" s="61" t="s">
        <v>520</v>
      </c>
      <c r="D167" s="61" t="s">
        <v>45</v>
      </c>
      <c r="E167" s="42">
        <v>348170</v>
      </c>
      <c r="F167" s="61" t="s">
        <v>45</v>
      </c>
      <c r="G167" s="32">
        <v>1</v>
      </c>
      <c r="H167" s="54">
        <v>41.5</v>
      </c>
      <c r="I167" s="61" t="s">
        <v>61</v>
      </c>
      <c r="J167" s="32" t="s">
        <v>521</v>
      </c>
      <c r="K167" s="54">
        <v>5954091</v>
      </c>
      <c r="L167" s="32"/>
      <c r="M167" s="63"/>
    </row>
    <row r="168" spans="1:13" x14ac:dyDescent="0.2">
      <c r="A168" s="32"/>
      <c r="B168" s="67">
        <v>4086</v>
      </c>
      <c r="C168" s="61" t="s">
        <v>520</v>
      </c>
      <c r="D168" s="61" t="s">
        <v>45</v>
      </c>
      <c r="E168" s="42">
        <v>368290</v>
      </c>
      <c r="F168" s="61" t="s">
        <v>45</v>
      </c>
      <c r="G168" s="32">
        <v>1</v>
      </c>
      <c r="H168" s="54">
        <v>3.36</v>
      </c>
      <c r="I168" s="61" t="s">
        <v>61</v>
      </c>
      <c r="J168" s="32" t="s">
        <v>521</v>
      </c>
      <c r="K168" s="54">
        <v>5954260</v>
      </c>
      <c r="L168" s="32"/>
      <c r="M168" s="63"/>
    </row>
    <row r="169" spans="1:13" x14ac:dyDescent="0.2">
      <c r="A169" s="32"/>
      <c r="B169" s="67">
        <v>4086</v>
      </c>
      <c r="C169" s="61" t="s">
        <v>520</v>
      </c>
      <c r="D169" s="61" t="s">
        <v>45</v>
      </c>
      <c r="E169" s="42">
        <v>318310</v>
      </c>
      <c r="F169" s="61" t="s">
        <v>45</v>
      </c>
      <c r="G169" s="32">
        <v>1</v>
      </c>
      <c r="H169" s="54">
        <v>0</v>
      </c>
      <c r="I169" s="61" t="s">
        <v>61</v>
      </c>
      <c r="J169" s="32" t="s">
        <v>521</v>
      </c>
      <c r="K169" s="54">
        <v>5974009</v>
      </c>
      <c r="L169" s="32"/>
      <c r="M169" s="63"/>
    </row>
    <row r="170" spans="1:13" x14ac:dyDescent="0.2">
      <c r="A170" s="32"/>
      <c r="B170" s="67">
        <v>4086</v>
      </c>
      <c r="C170" s="61" t="s">
        <v>520</v>
      </c>
      <c r="D170" s="61" t="s">
        <v>45</v>
      </c>
      <c r="E170" s="42">
        <v>318320</v>
      </c>
      <c r="F170" s="61" t="s">
        <v>45</v>
      </c>
      <c r="G170" s="32">
        <v>1</v>
      </c>
      <c r="H170" s="55">
        <v>0</v>
      </c>
      <c r="I170" s="61" t="s">
        <v>61</v>
      </c>
      <c r="J170" s="32" t="s">
        <v>521</v>
      </c>
      <c r="K170" s="54">
        <v>5974010</v>
      </c>
      <c r="L170" s="32"/>
      <c r="M170" s="57"/>
    </row>
    <row r="171" spans="1:13" x14ac:dyDescent="0.2">
      <c r="A171" s="32"/>
      <c r="B171" s="67">
        <v>4086</v>
      </c>
      <c r="C171" s="61" t="s">
        <v>520</v>
      </c>
      <c r="D171" s="61" t="s">
        <v>45</v>
      </c>
      <c r="E171" s="42">
        <v>318330</v>
      </c>
      <c r="F171" s="61" t="s">
        <v>45</v>
      </c>
      <c r="G171" s="32">
        <v>1</v>
      </c>
      <c r="H171" s="54">
        <v>0</v>
      </c>
      <c r="I171" s="61" t="s">
        <v>61</v>
      </c>
      <c r="J171" s="32" t="s">
        <v>521</v>
      </c>
      <c r="K171" s="54">
        <v>5974020</v>
      </c>
      <c r="L171" s="32"/>
      <c r="M171" s="63"/>
    </row>
    <row r="172" spans="1:13" x14ac:dyDescent="0.2">
      <c r="A172" s="32"/>
      <c r="B172" s="67">
        <v>4086</v>
      </c>
      <c r="C172" s="61" t="s">
        <v>520</v>
      </c>
      <c r="D172" s="61" t="s">
        <v>45</v>
      </c>
      <c r="E172" s="42">
        <v>318340</v>
      </c>
      <c r="F172" s="61" t="s">
        <v>45</v>
      </c>
      <c r="G172" s="32">
        <v>1</v>
      </c>
      <c r="H172" s="54">
        <v>160</v>
      </c>
      <c r="I172" s="61" t="s">
        <v>61</v>
      </c>
      <c r="J172" s="32" t="s">
        <v>521</v>
      </c>
      <c r="K172" s="54">
        <v>5974030</v>
      </c>
      <c r="L172" s="32"/>
      <c r="M172" s="63"/>
    </row>
    <row r="173" spans="1:13" x14ac:dyDescent="0.2">
      <c r="A173" s="32"/>
      <c r="B173" s="67">
        <v>4086</v>
      </c>
      <c r="C173" s="61" t="s">
        <v>520</v>
      </c>
      <c r="D173" s="61" t="s">
        <v>45</v>
      </c>
      <c r="E173" s="42">
        <v>318350</v>
      </c>
      <c r="F173" s="61" t="s">
        <v>45</v>
      </c>
      <c r="G173" s="32">
        <v>1</v>
      </c>
      <c r="H173" s="54">
        <v>160</v>
      </c>
      <c r="I173" s="61" t="s">
        <v>61</v>
      </c>
      <c r="J173" s="32" t="s">
        <v>521</v>
      </c>
      <c r="K173" s="54">
        <v>5974040</v>
      </c>
      <c r="L173" s="32"/>
      <c r="M173" s="63"/>
    </row>
    <row r="174" spans="1:13" x14ac:dyDescent="0.2">
      <c r="A174" s="32"/>
      <c r="B174" s="67">
        <v>4086</v>
      </c>
      <c r="C174" s="61" t="s">
        <v>520</v>
      </c>
      <c r="D174" s="61" t="s">
        <v>45</v>
      </c>
      <c r="E174" s="42">
        <v>318360</v>
      </c>
      <c r="F174" s="61" t="s">
        <v>45</v>
      </c>
      <c r="G174" s="32">
        <v>1</v>
      </c>
      <c r="H174" s="55">
        <v>260</v>
      </c>
      <c r="I174" s="61" t="s">
        <v>61</v>
      </c>
      <c r="J174" s="32" t="s">
        <v>521</v>
      </c>
      <c r="K174" s="54">
        <v>5974050</v>
      </c>
      <c r="L174" s="32"/>
      <c r="M174" s="57"/>
    </row>
    <row r="175" spans="1:13" x14ac:dyDescent="0.2">
      <c r="A175" s="32"/>
      <c r="B175" s="67">
        <v>4086</v>
      </c>
      <c r="C175" s="61" t="s">
        <v>520</v>
      </c>
      <c r="D175" s="61" t="s">
        <v>45</v>
      </c>
      <c r="E175" s="42">
        <v>708310</v>
      </c>
      <c r="F175" s="61" t="s">
        <v>45</v>
      </c>
      <c r="G175" s="32">
        <v>1</v>
      </c>
      <c r="H175" s="54">
        <v>83</v>
      </c>
      <c r="I175" s="61" t="s">
        <v>61</v>
      </c>
      <c r="J175" s="32" t="s">
        <v>521</v>
      </c>
      <c r="K175" s="54">
        <v>6605004</v>
      </c>
      <c r="L175" s="32"/>
      <c r="M175" s="63"/>
    </row>
    <row r="176" spans="1:13" x14ac:dyDescent="0.2">
      <c r="A176" s="32"/>
      <c r="B176" s="67">
        <v>4086</v>
      </c>
      <c r="C176" s="61" t="s">
        <v>520</v>
      </c>
      <c r="D176" s="61" t="s">
        <v>45</v>
      </c>
      <c r="E176" s="42">
        <v>238150</v>
      </c>
      <c r="F176" s="61" t="s">
        <v>45</v>
      </c>
      <c r="G176" s="32">
        <v>1</v>
      </c>
      <c r="H176" s="54">
        <v>37.14</v>
      </c>
      <c r="I176" s="61" t="s">
        <v>61</v>
      </c>
      <c r="J176" s="32" t="s">
        <v>521</v>
      </c>
      <c r="K176" s="54">
        <v>6801007</v>
      </c>
      <c r="L176" s="32"/>
      <c r="M176" s="64">
        <v>0.62</v>
      </c>
    </row>
    <row r="177" spans="1:13" x14ac:dyDescent="0.2">
      <c r="A177" s="32"/>
      <c r="B177" s="67">
        <v>4086</v>
      </c>
      <c r="C177" s="61" t="s">
        <v>520</v>
      </c>
      <c r="D177" s="61" t="s">
        <v>45</v>
      </c>
      <c r="E177" s="42">
        <v>238160</v>
      </c>
      <c r="F177" s="61" t="s">
        <v>45</v>
      </c>
      <c r="G177" s="32">
        <v>1</v>
      </c>
      <c r="H177" s="54">
        <v>18.5</v>
      </c>
      <c r="I177" s="61" t="s">
        <v>61</v>
      </c>
      <c r="J177" s="32" t="s">
        <v>521</v>
      </c>
      <c r="K177" s="54">
        <v>6801008</v>
      </c>
      <c r="L177" s="32"/>
      <c r="M177" s="63"/>
    </row>
    <row r="178" spans="1:13" x14ac:dyDescent="0.2">
      <c r="A178" s="32"/>
      <c r="B178" s="67">
        <v>4086</v>
      </c>
      <c r="C178" s="61" t="s">
        <v>520</v>
      </c>
      <c r="D178" s="61" t="s">
        <v>45</v>
      </c>
      <c r="E178" s="42">
        <v>238170</v>
      </c>
      <c r="F178" s="61" t="s">
        <v>45</v>
      </c>
      <c r="G178" s="32">
        <v>1</v>
      </c>
      <c r="H178" s="54">
        <v>14.29</v>
      </c>
      <c r="I178" s="61" t="s">
        <v>61</v>
      </c>
      <c r="J178" s="32" t="s">
        <v>521</v>
      </c>
      <c r="K178" s="54">
        <v>6802003</v>
      </c>
      <c r="L178" s="32"/>
      <c r="M178" s="64">
        <v>0.62</v>
      </c>
    </row>
    <row r="179" spans="1:13" x14ac:dyDescent="0.2">
      <c r="A179" s="32"/>
      <c r="B179" s="67">
        <v>4086</v>
      </c>
      <c r="C179" s="61" t="s">
        <v>520</v>
      </c>
      <c r="D179" s="61" t="s">
        <v>45</v>
      </c>
      <c r="E179" s="42">
        <v>238180</v>
      </c>
      <c r="F179" s="61" t="s">
        <v>45</v>
      </c>
      <c r="G179" s="32">
        <v>1</v>
      </c>
      <c r="H179" s="54">
        <v>10.199999999999999</v>
      </c>
      <c r="I179" s="61" t="s">
        <v>61</v>
      </c>
      <c r="J179" s="32" t="s">
        <v>521</v>
      </c>
      <c r="K179" s="54">
        <v>6802006</v>
      </c>
      <c r="L179" s="32"/>
      <c r="M179" s="63"/>
    </row>
    <row r="180" spans="1:13" x14ac:dyDescent="0.2">
      <c r="A180" s="32"/>
      <c r="B180" s="67">
        <v>4086</v>
      </c>
      <c r="C180" s="61" t="s">
        <v>520</v>
      </c>
      <c r="D180" s="61" t="s">
        <v>45</v>
      </c>
      <c r="E180" s="42">
        <v>238190</v>
      </c>
      <c r="F180" s="61" t="s">
        <v>45</v>
      </c>
      <c r="G180" s="32">
        <v>1</v>
      </c>
      <c r="H180" s="54">
        <v>11.5</v>
      </c>
      <c r="I180" s="61" t="s">
        <v>61</v>
      </c>
      <c r="J180" s="32" t="s">
        <v>521</v>
      </c>
      <c r="K180" s="54">
        <v>6814220</v>
      </c>
      <c r="L180" s="32"/>
      <c r="M180" s="63"/>
    </row>
    <row r="181" spans="1:13" x14ac:dyDescent="0.2">
      <c r="A181" s="32"/>
      <c r="B181" s="67">
        <v>4086</v>
      </c>
      <c r="C181" s="61" t="s">
        <v>520</v>
      </c>
      <c r="D181" s="61" t="s">
        <v>45</v>
      </c>
      <c r="E181" s="42">
        <v>238200</v>
      </c>
      <c r="F181" s="61" t="s">
        <v>45</v>
      </c>
      <c r="G181" s="32">
        <v>1</v>
      </c>
      <c r="H181" s="54">
        <v>16</v>
      </c>
      <c r="I181" s="61" t="s">
        <v>61</v>
      </c>
      <c r="J181" s="32" t="s">
        <v>521</v>
      </c>
      <c r="K181" s="54">
        <v>6814310</v>
      </c>
      <c r="L181" s="32"/>
      <c r="M181" s="63"/>
    </row>
    <row r="182" spans="1:13" x14ac:dyDescent="0.2">
      <c r="A182" s="32"/>
      <c r="B182" s="67">
        <v>4086</v>
      </c>
      <c r="C182" s="61" t="s">
        <v>520</v>
      </c>
      <c r="D182" s="61" t="s">
        <v>45</v>
      </c>
      <c r="E182" s="42">
        <v>238210</v>
      </c>
      <c r="F182" s="61" t="s">
        <v>45</v>
      </c>
      <c r="G182" s="32">
        <v>1</v>
      </c>
      <c r="H182" s="55">
        <v>6.9</v>
      </c>
      <c r="I182" s="61" t="s">
        <v>61</v>
      </c>
      <c r="J182" s="32" t="s">
        <v>521</v>
      </c>
      <c r="K182" s="54">
        <v>7000001</v>
      </c>
      <c r="L182" s="32"/>
      <c r="M182" s="57"/>
    </row>
    <row r="183" spans="1:13" x14ac:dyDescent="0.2">
      <c r="A183" s="32"/>
      <c r="B183" s="67">
        <v>4086</v>
      </c>
      <c r="C183" s="61" t="s">
        <v>520</v>
      </c>
      <c r="D183" s="61" t="s">
        <v>45</v>
      </c>
      <c r="E183" s="42">
        <v>238220</v>
      </c>
      <c r="F183" s="61" t="s">
        <v>45</v>
      </c>
      <c r="G183" s="32">
        <v>1</v>
      </c>
      <c r="H183" s="55">
        <v>8.6</v>
      </c>
      <c r="I183" s="61" t="s">
        <v>61</v>
      </c>
      <c r="J183" s="32" t="s">
        <v>521</v>
      </c>
      <c r="K183" s="54">
        <v>7000002</v>
      </c>
      <c r="L183" s="32"/>
      <c r="M183" s="57"/>
    </row>
    <row r="184" spans="1:13" x14ac:dyDescent="0.2">
      <c r="A184" s="32"/>
      <c r="B184" s="67">
        <v>4086</v>
      </c>
      <c r="C184" s="61" t="s">
        <v>520</v>
      </c>
      <c r="D184" s="61" t="s">
        <v>45</v>
      </c>
      <c r="E184" s="42">
        <v>238230</v>
      </c>
      <c r="F184" s="61" t="s">
        <v>45</v>
      </c>
      <c r="G184" s="32">
        <v>1</v>
      </c>
      <c r="H184" s="54">
        <v>11.4</v>
      </c>
      <c r="I184" s="61" t="s">
        <v>61</v>
      </c>
      <c r="J184" s="32" t="s">
        <v>521</v>
      </c>
      <c r="K184" s="54">
        <v>7000003</v>
      </c>
      <c r="L184" s="32"/>
      <c r="M184" s="63"/>
    </row>
    <row r="185" spans="1:13" x14ac:dyDescent="0.2">
      <c r="A185" s="32"/>
      <c r="B185" s="67">
        <v>4086</v>
      </c>
      <c r="C185" s="61" t="s">
        <v>520</v>
      </c>
      <c r="D185" s="61" t="s">
        <v>45</v>
      </c>
      <c r="E185" s="42">
        <v>238240</v>
      </c>
      <c r="F185" s="61" t="s">
        <v>45</v>
      </c>
      <c r="G185" s="32">
        <v>1</v>
      </c>
      <c r="H185" s="54">
        <v>16.100000000000001</v>
      </c>
      <c r="I185" s="61" t="s">
        <v>61</v>
      </c>
      <c r="J185" s="32" t="s">
        <v>521</v>
      </c>
      <c r="K185" s="54">
        <v>7000005</v>
      </c>
      <c r="L185" s="32"/>
      <c r="M185" s="63"/>
    </row>
    <row r="186" spans="1:13" x14ac:dyDescent="0.2">
      <c r="A186" s="32"/>
      <c r="B186" s="67">
        <v>4086</v>
      </c>
      <c r="C186" s="61" t="s">
        <v>520</v>
      </c>
      <c r="D186" s="61" t="s">
        <v>45</v>
      </c>
      <c r="E186" s="42">
        <v>798130</v>
      </c>
      <c r="F186" s="61" t="s">
        <v>45</v>
      </c>
      <c r="G186" s="32">
        <v>1</v>
      </c>
      <c r="H186" s="54">
        <v>2</v>
      </c>
      <c r="I186" s="61" t="s">
        <v>61</v>
      </c>
      <c r="J186" s="32" t="s">
        <v>521</v>
      </c>
      <c r="K186" s="54">
        <v>8014292</v>
      </c>
      <c r="L186" s="32"/>
      <c r="M186" s="63"/>
    </row>
    <row r="187" spans="1:13" x14ac:dyDescent="0.2">
      <c r="A187" s="32"/>
      <c r="B187" s="67">
        <v>4086</v>
      </c>
      <c r="C187" s="61" t="s">
        <v>520</v>
      </c>
      <c r="D187" s="61" t="s">
        <v>45</v>
      </c>
      <c r="E187" s="42">
        <v>218210</v>
      </c>
      <c r="F187" s="61" t="s">
        <v>45</v>
      </c>
      <c r="G187" s="32">
        <v>1</v>
      </c>
      <c r="H187" s="54">
        <v>20.9</v>
      </c>
      <c r="I187" s="61" t="s">
        <v>61</v>
      </c>
      <c r="J187" s="32" t="s">
        <v>521</v>
      </c>
      <c r="K187" s="54">
        <v>8103006</v>
      </c>
      <c r="L187" s="32"/>
      <c r="M187" s="63"/>
    </row>
    <row r="188" spans="1:13" x14ac:dyDescent="0.2">
      <c r="A188" s="32"/>
      <c r="B188" s="67">
        <v>4086</v>
      </c>
      <c r="C188" s="61" t="s">
        <v>520</v>
      </c>
      <c r="D188" s="61" t="s">
        <v>45</v>
      </c>
      <c r="E188" s="42">
        <v>218220</v>
      </c>
      <c r="F188" s="61" t="s">
        <v>45</v>
      </c>
      <c r="G188" s="32">
        <v>1</v>
      </c>
      <c r="H188" s="54">
        <v>42.8</v>
      </c>
      <c r="I188" s="61" t="s">
        <v>61</v>
      </c>
      <c r="J188" s="32" t="s">
        <v>521</v>
      </c>
      <c r="K188" s="54">
        <v>8103016</v>
      </c>
      <c r="L188" s="32"/>
      <c r="M188" s="63"/>
    </row>
    <row r="189" spans="1:13" x14ac:dyDescent="0.2">
      <c r="A189" s="32"/>
      <c r="B189" s="67">
        <v>4086</v>
      </c>
      <c r="C189" s="61" t="s">
        <v>520</v>
      </c>
      <c r="D189" s="61" t="s">
        <v>45</v>
      </c>
      <c r="E189" s="42">
        <v>438140</v>
      </c>
      <c r="F189" s="61" t="s">
        <v>45</v>
      </c>
      <c r="G189" s="32">
        <v>1</v>
      </c>
      <c r="H189" s="54">
        <v>118</v>
      </c>
      <c r="I189" s="61" t="s">
        <v>61</v>
      </c>
      <c r="J189" s="32" t="s">
        <v>521</v>
      </c>
      <c r="K189" s="54">
        <v>8103200</v>
      </c>
      <c r="L189" s="32"/>
      <c r="M189" s="63"/>
    </row>
    <row r="190" spans="1:13" x14ac:dyDescent="0.2">
      <c r="A190" s="32"/>
      <c r="B190" s="67">
        <v>4086</v>
      </c>
      <c r="C190" s="61" t="s">
        <v>520</v>
      </c>
      <c r="D190" s="61" t="s">
        <v>45</v>
      </c>
      <c r="E190" s="42">
        <v>438150</v>
      </c>
      <c r="F190" s="61" t="s">
        <v>45</v>
      </c>
      <c r="G190" s="32">
        <v>1</v>
      </c>
      <c r="H190" s="54">
        <v>224</v>
      </c>
      <c r="I190" s="61" t="s">
        <v>61</v>
      </c>
      <c r="J190" s="32" t="s">
        <v>521</v>
      </c>
      <c r="K190" s="54">
        <v>8103205</v>
      </c>
      <c r="L190" s="32"/>
      <c r="M190" s="63"/>
    </row>
    <row r="191" spans="1:13" x14ac:dyDescent="0.2">
      <c r="A191" s="32"/>
      <c r="B191" s="67">
        <v>4086</v>
      </c>
      <c r="C191" s="61" t="s">
        <v>520</v>
      </c>
      <c r="D191" s="61" t="s">
        <v>45</v>
      </c>
      <c r="E191" s="42">
        <v>438160</v>
      </c>
      <c r="F191" s="61" t="s">
        <v>45</v>
      </c>
      <c r="G191" s="32">
        <v>1</v>
      </c>
      <c r="H191" s="54">
        <v>110</v>
      </c>
      <c r="I191" s="61" t="s">
        <v>61</v>
      </c>
      <c r="J191" s="32" t="s">
        <v>521</v>
      </c>
      <c r="K191" s="54">
        <v>8103390</v>
      </c>
      <c r="L191" s="32"/>
      <c r="M191" s="63"/>
    </row>
    <row r="192" spans="1:13" x14ac:dyDescent="0.2">
      <c r="A192" s="32"/>
      <c r="B192" s="67">
        <v>4086</v>
      </c>
      <c r="C192" s="61" t="s">
        <v>520</v>
      </c>
      <c r="D192" s="61" t="s">
        <v>45</v>
      </c>
      <c r="E192" s="42">
        <v>438170</v>
      </c>
      <c r="F192" s="61" t="s">
        <v>45</v>
      </c>
      <c r="G192" s="32">
        <v>1</v>
      </c>
      <c r="H192" s="54">
        <v>180</v>
      </c>
      <c r="I192" s="61" t="s">
        <v>61</v>
      </c>
      <c r="J192" s="32" t="s">
        <v>521</v>
      </c>
      <c r="K192" s="54">
        <v>8103400</v>
      </c>
      <c r="L192" s="32"/>
      <c r="M192" s="63"/>
    </row>
    <row r="193" spans="1:13" x14ac:dyDescent="0.2">
      <c r="A193" s="32"/>
      <c r="B193" s="67">
        <v>4086</v>
      </c>
      <c r="C193" s="61" t="s">
        <v>520</v>
      </c>
      <c r="D193" s="61" t="s">
        <v>45</v>
      </c>
      <c r="E193" s="42">
        <v>218230</v>
      </c>
      <c r="F193" s="61" t="s">
        <v>45</v>
      </c>
      <c r="G193" s="32">
        <v>1</v>
      </c>
      <c r="H193" s="54">
        <v>6.48</v>
      </c>
      <c r="I193" s="61" t="s">
        <v>61</v>
      </c>
      <c r="J193" s="32" t="s">
        <v>521</v>
      </c>
      <c r="K193" s="54">
        <v>8107004</v>
      </c>
      <c r="L193" s="32"/>
      <c r="M193" s="63"/>
    </row>
    <row r="194" spans="1:13" x14ac:dyDescent="0.2">
      <c r="A194" s="32"/>
      <c r="B194" s="67">
        <v>4086</v>
      </c>
      <c r="C194" s="61" t="s">
        <v>520</v>
      </c>
      <c r="D194" s="61" t="s">
        <v>45</v>
      </c>
      <c r="E194" s="42">
        <v>228130</v>
      </c>
      <c r="F194" s="61" t="s">
        <v>45</v>
      </c>
      <c r="G194" s="32">
        <v>1</v>
      </c>
      <c r="H194" s="55">
        <v>0.8</v>
      </c>
      <c r="I194" s="61" t="s">
        <v>61</v>
      </c>
      <c r="J194" s="32" t="s">
        <v>521</v>
      </c>
      <c r="K194" s="54">
        <v>8400004</v>
      </c>
      <c r="L194" s="32"/>
      <c r="M194" s="56">
        <v>0.65</v>
      </c>
    </row>
    <row r="195" spans="1:13" x14ac:dyDescent="0.2">
      <c r="A195" s="32"/>
      <c r="B195" s="67">
        <v>4086</v>
      </c>
      <c r="C195" s="61" t="s">
        <v>520</v>
      </c>
      <c r="D195" s="61" t="s">
        <v>45</v>
      </c>
      <c r="E195" s="42">
        <v>228140</v>
      </c>
      <c r="F195" s="61" t="s">
        <v>45</v>
      </c>
      <c r="G195" s="32">
        <v>1</v>
      </c>
      <c r="H195" s="55">
        <v>0.9</v>
      </c>
      <c r="I195" s="61" t="s">
        <v>61</v>
      </c>
      <c r="J195" s="32" t="s">
        <v>521</v>
      </c>
      <c r="K195" s="54">
        <v>8400005</v>
      </c>
      <c r="L195" s="32"/>
      <c r="M195" s="56">
        <v>0.67</v>
      </c>
    </row>
    <row r="196" spans="1:13" x14ac:dyDescent="0.2">
      <c r="A196" s="32"/>
      <c r="B196" s="67">
        <v>4086</v>
      </c>
      <c r="C196" s="61" t="s">
        <v>520</v>
      </c>
      <c r="D196" s="61" t="s">
        <v>45</v>
      </c>
      <c r="E196" s="42">
        <v>228150</v>
      </c>
      <c r="F196" s="61" t="s">
        <v>45</v>
      </c>
      <c r="G196" s="32">
        <v>1</v>
      </c>
      <c r="H196" s="55">
        <v>1.7</v>
      </c>
      <c r="I196" s="61" t="s">
        <v>61</v>
      </c>
      <c r="J196" s="32" t="s">
        <v>521</v>
      </c>
      <c r="K196" s="54">
        <v>8400010</v>
      </c>
      <c r="L196" s="32"/>
      <c r="M196" s="57"/>
    </row>
    <row r="197" spans="1:13" x14ac:dyDescent="0.2">
      <c r="A197" s="32"/>
      <c r="B197" s="67">
        <v>4086</v>
      </c>
      <c r="C197" s="61" t="s">
        <v>520</v>
      </c>
      <c r="D197" s="61" t="s">
        <v>45</v>
      </c>
      <c r="E197" s="42">
        <v>228160</v>
      </c>
      <c r="F197" s="61" t="s">
        <v>45</v>
      </c>
      <c r="G197" s="32">
        <v>1</v>
      </c>
      <c r="H197" s="55">
        <v>8.23</v>
      </c>
      <c r="I197" s="61" t="s">
        <v>61</v>
      </c>
      <c r="J197" s="32" t="s">
        <v>521</v>
      </c>
      <c r="K197" s="54">
        <v>8400014</v>
      </c>
      <c r="L197" s="32"/>
      <c r="M197" s="56">
        <v>0.6</v>
      </c>
    </row>
    <row r="198" spans="1:13" x14ac:dyDescent="0.2">
      <c r="A198" s="32"/>
      <c r="B198" s="67">
        <v>4086</v>
      </c>
      <c r="C198" s="61" t="s">
        <v>520</v>
      </c>
      <c r="D198" s="61" t="s">
        <v>45</v>
      </c>
      <c r="E198" s="42">
        <v>228170</v>
      </c>
      <c r="F198" s="61" t="s">
        <v>45</v>
      </c>
      <c r="G198" s="32">
        <v>1</v>
      </c>
      <c r="H198" s="54">
        <v>4.43</v>
      </c>
      <c r="I198" s="61" t="s">
        <v>61</v>
      </c>
      <c r="J198" s="32" t="s">
        <v>521</v>
      </c>
      <c r="K198" s="54">
        <v>8400015</v>
      </c>
      <c r="L198" s="32"/>
      <c r="M198" s="64">
        <v>0.7</v>
      </c>
    </row>
    <row r="199" spans="1:13" x14ac:dyDescent="0.2">
      <c r="A199" s="32"/>
      <c r="B199" s="67">
        <v>4086</v>
      </c>
      <c r="C199" s="61" t="s">
        <v>520</v>
      </c>
      <c r="D199" s="61" t="s">
        <v>45</v>
      </c>
      <c r="E199" s="42">
        <v>228180</v>
      </c>
      <c r="F199" s="61" t="s">
        <v>45</v>
      </c>
      <c r="G199" s="32">
        <v>1</v>
      </c>
      <c r="H199" s="55">
        <v>6</v>
      </c>
      <c r="I199" s="61" t="s">
        <v>61</v>
      </c>
      <c r="J199" s="32" t="s">
        <v>521</v>
      </c>
      <c r="K199" s="54">
        <v>8400017</v>
      </c>
      <c r="L199" s="32"/>
      <c r="M199" s="56">
        <v>0.65</v>
      </c>
    </row>
    <row r="200" spans="1:13" x14ac:dyDescent="0.2">
      <c r="A200" s="32"/>
      <c r="B200" s="67">
        <v>4086</v>
      </c>
      <c r="C200" s="61" t="s">
        <v>520</v>
      </c>
      <c r="D200" s="61" t="s">
        <v>45</v>
      </c>
      <c r="E200" s="42">
        <v>228190</v>
      </c>
      <c r="F200" s="61" t="s">
        <v>45</v>
      </c>
      <c r="G200" s="32">
        <v>1</v>
      </c>
      <c r="H200" s="54">
        <v>1.9</v>
      </c>
      <c r="I200" s="61" t="s">
        <v>61</v>
      </c>
      <c r="J200" s="32" t="s">
        <v>521</v>
      </c>
      <c r="K200" s="54">
        <v>8400020</v>
      </c>
      <c r="L200" s="32"/>
      <c r="M200" s="63"/>
    </row>
    <row r="201" spans="1:13" x14ac:dyDescent="0.2">
      <c r="A201" s="32"/>
      <c r="B201" s="67">
        <v>4086</v>
      </c>
      <c r="C201" s="61" t="s">
        <v>520</v>
      </c>
      <c r="D201" s="61" t="s">
        <v>45</v>
      </c>
      <c r="E201" s="42">
        <v>228200</v>
      </c>
      <c r="F201" s="61" t="s">
        <v>45</v>
      </c>
      <c r="G201" s="32">
        <v>1</v>
      </c>
      <c r="H201" s="54">
        <v>1.3</v>
      </c>
      <c r="I201" s="61" t="s">
        <v>61</v>
      </c>
      <c r="J201" s="32" t="s">
        <v>521</v>
      </c>
      <c r="K201" s="54">
        <v>8400027</v>
      </c>
      <c r="L201" s="32"/>
      <c r="M201" s="63"/>
    </row>
    <row r="202" spans="1:13" x14ac:dyDescent="0.2">
      <c r="A202" s="32"/>
      <c r="B202" s="67">
        <v>4086</v>
      </c>
      <c r="C202" s="61" t="s">
        <v>520</v>
      </c>
      <c r="D202" s="61" t="s">
        <v>45</v>
      </c>
      <c r="E202" s="42">
        <v>228210</v>
      </c>
      <c r="F202" s="61" t="s">
        <v>45</v>
      </c>
      <c r="G202" s="32">
        <v>1</v>
      </c>
      <c r="H202" s="54">
        <v>1.1499999999999999</v>
      </c>
      <c r="I202" s="61" t="s">
        <v>61</v>
      </c>
      <c r="J202" s="32" t="s">
        <v>521</v>
      </c>
      <c r="K202" s="54">
        <v>8400028</v>
      </c>
      <c r="L202" s="32"/>
      <c r="M202" s="63"/>
    </row>
    <row r="203" spans="1:13" x14ac:dyDescent="0.2">
      <c r="A203" s="32"/>
      <c r="B203" s="67">
        <v>4086</v>
      </c>
      <c r="C203" s="61" t="s">
        <v>520</v>
      </c>
      <c r="D203" s="61" t="s">
        <v>45</v>
      </c>
      <c r="E203" s="42">
        <v>228220</v>
      </c>
      <c r="F203" s="61" t="s">
        <v>45</v>
      </c>
      <c r="G203" s="32">
        <v>1</v>
      </c>
      <c r="H203" s="54">
        <v>1.1499999999999999</v>
      </c>
      <c r="I203" s="61" t="s">
        <v>61</v>
      </c>
      <c r="J203" s="32" t="s">
        <v>521</v>
      </c>
      <c r="K203" s="54">
        <v>8400029</v>
      </c>
      <c r="L203" s="32"/>
      <c r="M203" s="63"/>
    </row>
    <row r="204" spans="1:13" x14ac:dyDescent="0.2">
      <c r="A204" s="32"/>
      <c r="B204" s="67">
        <v>4086</v>
      </c>
      <c r="C204" s="61" t="s">
        <v>520</v>
      </c>
      <c r="D204" s="61" t="s">
        <v>45</v>
      </c>
      <c r="E204" s="42">
        <v>918160</v>
      </c>
      <c r="F204" s="61" t="s">
        <v>45</v>
      </c>
      <c r="G204" s="32">
        <v>1</v>
      </c>
      <c r="H204" s="54">
        <v>5.33</v>
      </c>
      <c r="I204" s="61" t="s">
        <v>61</v>
      </c>
      <c r="J204" s="32" t="s">
        <v>521</v>
      </c>
      <c r="K204" s="54">
        <v>8400054</v>
      </c>
      <c r="L204" s="32"/>
      <c r="M204" s="64">
        <v>0.6</v>
      </c>
    </row>
    <row r="205" spans="1:13" x14ac:dyDescent="0.2">
      <c r="A205" s="32"/>
      <c r="B205" s="67">
        <v>4086</v>
      </c>
      <c r="C205" s="61" t="s">
        <v>520</v>
      </c>
      <c r="D205" s="61" t="s">
        <v>45</v>
      </c>
      <c r="E205" s="42">
        <v>918170</v>
      </c>
      <c r="F205" s="61" t="s">
        <v>45</v>
      </c>
      <c r="G205" s="32">
        <v>1</v>
      </c>
      <c r="H205" s="54">
        <v>6</v>
      </c>
      <c r="I205" s="61" t="s">
        <v>61</v>
      </c>
      <c r="J205" s="32" t="s">
        <v>521</v>
      </c>
      <c r="K205" s="54">
        <v>8400059</v>
      </c>
      <c r="L205" s="32"/>
      <c r="M205" s="63"/>
    </row>
    <row r="206" spans="1:13" x14ac:dyDescent="0.2">
      <c r="A206" s="32"/>
      <c r="B206" s="67">
        <v>4086</v>
      </c>
      <c r="C206" s="61" t="s">
        <v>520</v>
      </c>
      <c r="D206" s="61" t="s">
        <v>45</v>
      </c>
      <c r="E206" s="42">
        <v>438180</v>
      </c>
      <c r="F206" s="61" t="s">
        <v>45</v>
      </c>
      <c r="G206" s="32">
        <v>1</v>
      </c>
      <c r="H206" s="54">
        <v>0.95</v>
      </c>
      <c r="I206" s="61" t="s">
        <v>61</v>
      </c>
      <c r="J206" s="32" t="s">
        <v>521</v>
      </c>
      <c r="K206" s="54">
        <v>8400061</v>
      </c>
      <c r="L206" s="32"/>
      <c r="M206" s="63"/>
    </row>
    <row r="207" spans="1:13" x14ac:dyDescent="0.2">
      <c r="A207" s="32"/>
      <c r="B207" s="67">
        <v>4086</v>
      </c>
      <c r="C207" s="61" t="s">
        <v>520</v>
      </c>
      <c r="D207" s="61" t="s">
        <v>45</v>
      </c>
      <c r="E207" s="42">
        <v>438190</v>
      </c>
      <c r="F207" s="61" t="s">
        <v>45</v>
      </c>
      <c r="G207" s="32">
        <v>1</v>
      </c>
      <c r="H207" s="54">
        <v>5.6</v>
      </c>
      <c r="I207" s="61" t="s">
        <v>61</v>
      </c>
      <c r="J207" s="32" t="s">
        <v>521</v>
      </c>
      <c r="K207" s="54">
        <v>8400062</v>
      </c>
      <c r="L207" s="32"/>
      <c r="M207" s="64">
        <v>0.65</v>
      </c>
    </row>
    <row r="208" spans="1:13" x14ac:dyDescent="0.2">
      <c r="A208" s="32"/>
      <c r="B208" s="67">
        <v>4086</v>
      </c>
      <c r="C208" s="61" t="s">
        <v>520</v>
      </c>
      <c r="D208" s="61" t="s">
        <v>45</v>
      </c>
      <c r="E208" s="42">
        <v>218240</v>
      </c>
      <c r="F208" s="61" t="s">
        <v>45</v>
      </c>
      <c r="G208" s="32">
        <v>1</v>
      </c>
      <c r="H208" s="54">
        <v>0.85</v>
      </c>
      <c r="I208" s="61" t="s">
        <v>61</v>
      </c>
      <c r="J208" s="32" t="s">
        <v>521</v>
      </c>
      <c r="K208" s="54">
        <v>8400088</v>
      </c>
      <c r="L208" s="32"/>
      <c r="M208" s="63"/>
    </row>
    <row r="209" spans="1:13" x14ac:dyDescent="0.2">
      <c r="A209" s="32"/>
      <c r="B209" s="67">
        <v>4086</v>
      </c>
      <c r="C209" s="61" t="s">
        <v>520</v>
      </c>
      <c r="D209" s="61" t="s">
        <v>45</v>
      </c>
      <c r="E209" s="42">
        <v>218250</v>
      </c>
      <c r="F209" s="61" t="s">
        <v>45</v>
      </c>
      <c r="G209" s="32">
        <v>1</v>
      </c>
      <c r="H209" s="54">
        <v>1</v>
      </c>
      <c r="I209" s="61" t="s">
        <v>61</v>
      </c>
      <c r="J209" s="32" t="s">
        <v>521</v>
      </c>
      <c r="K209" s="54">
        <v>8400090</v>
      </c>
      <c r="L209" s="32"/>
      <c r="M209" s="63"/>
    </row>
    <row r="210" spans="1:13" x14ac:dyDescent="0.2">
      <c r="A210" s="32"/>
      <c r="B210" s="67">
        <v>4086</v>
      </c>
      <c r="C210" s="61" t="s">
        <v>520</v>
      </c>
      <c r="D210" s="61" t="s">
        <v>45</v>
      </c>
      <c r="E210" s="42">
        <v>218260</v>
      </c>
      <c r="F210" s="61" t="s">
        <v>45</v>
      </c>
      <c r="G210" s="32">
        <v>1</v>
      </c>
      <c r="H210" s="55">
        <v>0.7</v>
      </c>
      <c r="I210" s="61" t="s">
        <v>61</v>
      </c>
      <c r="J210" s="32" t="s">
        <v>521</v>
      </c>
      <c r="K210" s="54">
        <v>8600003</v>
      </c>
      <c r="L210" s="32"/>
      <c r="M210" s="57"/>
    </row>
    <row r="211" spans="1:13" x14ac:dyDescent="0.2">
      <c r="A211" s="32"/>
      <c r="B211" s="67">
        <v>4086</v>
      </c>
      <c r="C211" s="61" t="s">
        <v>520</v>
      </c>
      <c r="D211" s="61" t="s">
        <v>45</v>
      </c>
      <c r="E211" s="42">
        <v>218270</v>
      </c>
      <c r="F211" s="61" t="s">
        <v>45</v>
      </c>
      <c r="G211" s="32">
        <v>1</v>
      </c>
      <c r="H211" s="55">
        <v>1.4</v>
      </c>
      <c r="I211" s="61" t="s">
        <v>61</v>
      </c>
      <c r="J211" s="32" t="s">
        <v>521</v>
      </c>
      <c r="K211" s="54">
        <v>8600004</v>
      </c>
      <c r="L211" s="32"/>
      <c r="M211" s="57"/>
    </row>
    <row r="212" spans="1:13" x14ac:dyDescent="0.2">
      <c r="A212" s="32"/>
      <c r="B212" s="67">
        <v>4086</v>
      </c>
      <c r="C212" s="61" t="s">
        <v>520</v>
      </c>
      <c r="D212" s="61" t="s">
        <v>45</v>
      </c>
      <c r="E212" s="42">
        <v>218280</v>
      </c>
      <c r="F212" s="61" t="s">
        <v>45</v>
      </c>
      <c r="G212" s="32">
        <v>1</v>
      </c>
      <c r="H212" s="54">
        <v>2.1800000000000002</v>
      </c>
      <c r="I212" s="61" t="s">
        <v>61</v>
      </c>
      <c r="J212" s="32" t="s">
        <v>521</v>
      </c>
      <c r="K212" s="54">
        <v>8600005</v>
      </c>
      <c r="L212" s="32"/>
      <c r="M212" s="63"/>
    </row>
    <row r="213" spans="1:13" x14ac:dyDescent="0.2">
      <c r="A213" s="32"/>
      <c r="B213" s="67">
        <v>4086</v>
      </c>
      <c r="C213" s="61" t="s">
        <v>520</v>
      </c>
      <c r="D213" s="61" t="s">
        <v>45</v>
      </c>
      <c r="E213" s="42">
        <v>218290</v>
      </c>
      <c r="F213" s="61" t="s">
        <v>45</v>
      </c>
      <c r="G213" s="32">
        <v>1</v>
      </c>
      <c r="H213" s="55">
        <v>1</v>
      </c>
      <c r="I213" s="61" t="s">
        <v>61</v>
      </c>
      <c r="J213" s="32" t="s">
        <v>521</v>
      </c>
      <c r="K213" s="54">
        <v>8600103</v>
      </c>
      <c r="L213" s="32"/>
      <c r="M213" s="57"/>
    </row>
    <row r="214" spans="1:13" x14ac:dyDescent="0.2">
      <c r="A214" s="32"/>
      <c r="B214" s="67">
        <v>4086</v>
      </c>
      <c r="C214" s="61" t="s">
        <v>520</v>
      </c>
      <c r="D214" s="61" t="s">
        <v>45</v>
      </c>
      <c r="E214" s="42">
        <v>218300</v>
      </c>
      <c r="F214" s="61" t="s">
        <v>45</v>
      </c>
      <c r="G214" s="32">
        <v>1</v>
      </c>
      <c r="H214" s="55">
        <v>1.78</v>
      </c>
      <c r="I214" s="61" t="s">
        <v>61</v>
      </c>
      <c r="J214" s="32" t="s">
        <v>521</v>
      </c>
      <c r="K214" s="54">
        <v>8600104</v>
      </c>
      <c r="L214" s="32"/>
      <c r="M214" s="57"/>
    </row>
    <row r="215" spans="1:13" x14ac:dyDescent="0.2">
      <c r="A215" s="32"/>
      <c r="B215" s="67">
        <v>4086</v>
      </c>
      <c r="C215" s="61" t="s">
        <v>520</v>
      </c>
      <c r="D215" s="61" t="s">
        <v>45</v>
      </c>
      <c r="E215" s="42">
        <v>218310</v>
      </c>
      <c r="F215" s="61" t="s">
        <v>45</v>
      </c>
      <c r="G215" s="32">
        <v>1</v>
      </c>
      <c r="H215" s="55">
        <v>2.9</v>
      </c>
      <c r="I215" s="61" t="s">
        <v>61</v>
      </c>
      <c r="J215" s="32" t="s">
        <v>521</v>
      </c>
      <c r="K215" s="54">
        <v>8600105</v>
      </c>
      <c r="L215" s="32"/>
      <c r="M215" s="57"/>
    </row>
    <row r="216" spans="1:13" x14ac:dyDescent="0.2">
      <c r="A216" s="32"/>
      <c r="B216" s="67">
        <v>4086</v>
      </c>
      <c r="C216" s="61" t="s">
        <v>520</v>
      </c>
      <c r="D216" s="61" t="s">
        <v>45</v>
      </c>
      <c r="E216" s="42">
        <v>218320</v>
      </c>
      <c r="F216" s="61" t="s">
        <v>45</v>
      </c>
      <c r="G216" s="32">
        <v>1</v>
      </c>
      <c r="H216" s="55">
        <v>3.78</v>
      </c>
      <c r="I216" s="61" t="s">
        <v>61</v>
      </c>
      <c r="J216" s="32" t="s">
        <v>521</v>
      </c>
      <c r="K216" s="54">
        <v>8600106</v>
      </c>
      <c r="L216" s="32"/>
      <c r="M216" s="57"/>
    </row>
    <row r="217" spans="1:13" x14ac:dyDescent="0.2">
      <c r="A217" s="32"/>
      <c r="B217" s="67">
        <v>4086</v>
      </c>
      <c r="C217" s="61" t="s">
        <v>520</v>
      </c>
      <c r="D217" s="61" t="s">
        <v>45</v>
      </c>
      <c r="E217" s="42">
        <v>218330</v>
      </c>
      <c r="F217" s="61" t="s">
        <v>45</v>
      </c>
      <c r="G217" s="32">
        <v>1</v>
      </c>
      <c r="H217" s="55">
        <v>1</v>
      </c>
      <c r="I217" s="61" t="s">
        <v>61</v>
      </c>
      <c r="J217" s="32" t="s">
        <v>521</v>
      </c>
      <c r="K217" s="54">
        <v>8600108</v>
      </c>
      <c r="L217" s="32"/>
      <c r="M217" s="57"/>
    </row>
    <row r="218" spans="1:13" x14ac:dyDescent="0.2">
      <c r="A218" s="32"/>
      <c r="B218" s="67">
        <v>4086</v>
      </c>
      <c r="C218" s="61" t="s">
        <v>520</v>
      </c>
      <c r="D218" s="61" t="s">
        <v>45</v>
      </c>
      <c r="E218" s="42">
        <v>218340</v>
      </c>
      <c r="F218" s="61" t="s">
        <v>45</v>
      </c>
      <c r="G218" s="32">
        <v>1</v>
      </c>
      <c r="H218" s="55">
        <v>1</v>
      </c>
      <c r="I218" s="61" t="s">
        <v>61</v>
      </c>
      <c r="J218" s="32" t="s">
        <v>521</v>
      </c>
      <c r="K218" s="54">
        <v>8600110</v>
      </c>
      <c r="L218" s="32"/>
      <c r="M218" s="57"/>
    </row>
    <row r="219" spans="1:13" x14ac:dyDescent="0.2">
      <c r="A219" s="32"/>
      <c r="B219" s="67">
        <v>4086</v>
      </c>
      <c r="C219" s="61" t="s">
        <v>520</v>
      </c>
      <c r="D219" s="61" t="s">
        <v>45</v>
      </c>
      <c r="E219" s="42">
        <v>218350</v>
      </c>
      <c r="F219" s="61" t="s">
        <v>45</v>
      </c>
      <c r="G219" s="32">
        <v>1</v>
      </c>
      <c r="H219" s="55">
        <v>1</v>
      </c>
      <c r="I219" s="61" t="s">
        <v>61</v>
      </c>
      <c r="J219" s="32" t="s">
        <v>521</v>
      </c>
      <c r="K219" s="54">
        <v>8600112</v>
      </c>
      <c r="L219" s="32"/>
      <c r="M219" s="57"/>
    </row>
    <row r="220" spans="1:13" x14ac:dyDescent="0.2">
      <c r="A220" s="32"/>
      <c r="B220" s="67">
        <v>4086</v>
      </c>
      <c r="C220" s="61" t="s">
        <v>520</v>
      </c>
      <c r="D220" s="61" t="s">
        <v>45</v>
      </c>
      <c r="E220" s="42">
        <v>218360</v>
      </c>
      <c r="F220" s="61" t="s">
        <v>45</v>
      </c>
      <c r="G220" s="32">
        <v>1</v>
      </c>
      <c r="H220" s="55">
        <v>1</v>
      </c>
      <c r="I220" s="61" t="s">
        <v>61</v>
      </c>
      <c r="J220" s="32" t="s">
        <v>521</v>
      </c>
      <c r="K220" s="54">
        <v>8600113</v>
      </c>
      <c r="L220" s="32"/>
      <c r="M220" s="57"/>
    </row>
    <row r="221" spans="1:13" x14ac:dyDescent="0.2">
      <c r="A221" s="32"/>
      <c r="B221" s="67">
        <v>4086</v>
      </c>
      <c r="C221" s="61" t="s">
        <v>520</v>
      </c>
      <c r="D221" s="61" t="s">
        <v>45</v>
      </c>
      <c r="E221" s="42">
        <v>218370</v>
      </c>
      <c r="F221" s="61" t="s">
        <v>45</v>
      </c>
      <c r="G221" s="32">
        <v>1</v>
      </c>
      <c r="H221" s="55">
        <v>1</v>
      </c>
      <c r="I221" s="61" t="s">
        <v>61</v>
      </c>
      <c r="J221" s="32" t="s">
        <v>521</v>
      </c>
      <c r="K221" s="54">
        <v>8600114</v>
      </c>
      <c r="L221" s="32"/>
      <c r="M221" s="57"/>
    </row>
    <row r="222" spans="1:13" x14ac:dyDescent="0.2">
      <c r="A222" s="32"/>
      <c r="B222" s="67">
        <v>4086</v>
      </c>
      <c r="C222" s="61" t="s">
        <v>520</v>
      </c>
      <c r="D222" s="61" t="s">
        <v>45</v>
      </c>
      <c r="E222" s="42">
        <v>218380</v>
      </c>
      <c r="F222" s="61" t="s">
        <v>45</v>
      </c>
      <c r="G222" s="32">
        <v>1</v>
      </c>
      <c r="H222" s="54">
        <v>1.8</v>
      </c>
      <c r="I222" s="61" t="s">
        <v>61</v>
      </c>
      <c r="J222" s="32" t="s">
        <v>521</v>
      </c>
      <c r="K222" s="54">
        <v>8600115</v>
      </c>
      <c r="L222" s="32"/>
      <c r="M222" s="63"/>
    </row>
    <row r="223" spans="1:13" x14ac:dyDescent="0.2">
      <c r="A223" s="32"/>
      <c r="B223" s="67">
        <v>4086</v>
      </c>
      <c r="C223" s="61" t="s">
        <v>520</v>
      </c>
      <c r="D223" s="61" t="s">
        <v>45</v>
      </c>
      <c r="E223" s="42">
        <v>218390</v>
      </c>
      <c r="F223" s="61" t="s">
        <v>45</v>
      </c>
      <c r="G223" s="32">
        <v>1</v>
      </c>
      <c r="H223" s="54">
        <v>1.78</v>
      </c>
      <c r="I223" s="61" t="s">
        <v>61</v>
      </c>
      <c r="J223" s="32" t="s">
        <v>521</v>
      </c>
      <c r="K223" s="54">
        <v>8600118</v>
      </c>
      <c r="L223" s="32"/>
      <c r="M223" s="63"/>
    </row>
    <row r="224" spans="1:13" x14ac:dyDescent="0.2">
      <c r="A224" s="32"/>
      <c r="B224" s="67">
        <v>4086</v>
      </c>
      <c r="C224" s="61" t="s">
        <v>520</v>
      </c>
      <c r="D224" s="61" t="s">
        <v>45</v>
      </c>
      <c r="E224" s="42">
        <v>218400</v>
      </c>
      <c r="F224" s="61" t="s">
        <v>45</v>
      </c>
      <c r="G224" s="32">
        <v>1</v>
      </c>
      <c r="H224" s="54">
        <v>2.85</v>
      </c>
      <c r="I224" s="61" t="s">
        <v>61</v>
      </c>
      <c r="J224" s="32" t="s">
        <v>521</v>
      </c>
      <c r="K224" s="54">
        <v>8600121</v>
      </c>
      <c r="L224" s="32"/>
      <c r="M224" s="63"/>
    </row>
    <row r="225" spans="1:13" x14ac:dyDescent="0.2">
      <c r="A225" s="32"/>
      <c r="B225" s="67">
        <v>4086</v>
      </c>
      <c r="C225" s="61" t="s">
        <v>520</v>
      </c>
      <c r="D225" s="61" t="s">
        <v>45</v>
      </c>
      <c r="E225" s="42">
        <v>238250</v>
      </c>
      <c r="F225" s="61" t="s">
        <v>45</v>
      </c>
      <c r="G225" s="32">
        <v>1</v>
      </c>
      <c r="H225" s="54">
        <v>14.2</v>
      </c>
      <c r="I225" s="61" t="s">
        <v>61</v>
      </c>
      <c r="J225" s="32" t="s">
        <v>521</v>
      </c>
      <c r="K225" s="54">
        <v>8910026</v>
      </c>
      <c r="L225" s="32"/>
      <c r="M225" s="63"/>
    </row>
    <row r="226" spans="1:13" x14ac:dyDescent="0.2">
      <c r="A226" s="32"/>
      <c r="B226" s="67">
        <v>4086</v>
      </c>
      <c r="C226" s="61" t="s">
        <v>520</v>
      </c>
      <c r="D226" s="61" t="s">
        <v>45</v>
      </c>
      <c r="E226" s="42">
        <v>238260</v>
      </c>
      <c r="F226" s="61" t="s">
        <v>45</v>
      </c>
      <c r="G226" s="32">
        <v>1</v>
      </c>
      <c r="H226" s="54">
        <v>18.5</v>
      </c>
      <c r="I226" s="61" t="s">
        <v>61</v>
      </c>
      <c r="J226" s="32" t="s">
        <v>521</v>
      </c>
      <c r="K226" s="54">
        <v>8910031</v>
      </c>
      <c r="L226" s="32"/>
      <c r="M226" s="63"/>
    </row>
    <row r="227" spans="1:13" x14ac:dyDescent="0.2">
      <c r="A227" s="32"/>
      <c r="B227" s="67">
        <v>4086</v>
      </c>
      <c r="C227" s="61" t="s">
        <v>520</v>
      </c>
      <c r="D227" s="61" t="s">
        <v>45</v>
      </c>
      <c r="E227" s="42">
        <v>238270</v>
      </c>
      <c r="F227" s="61" t="s">
        <v>45</v>
      </c>
      <c r="G227" s="32">
        <v>1</v>
      </c>
      <c r="H227" s="54">
        <v>23.2</v>
      </c>
      <c r="I227" s="61" t="s">
        <v>61</v>
      </c>
      <c r="J227" s="32" t="s">
        <v>521</v>
      </c>
      <c r="K227" s="54">
        <v>8910036</v>
      </c>
      <c r="L227" s="32"/>
      <c r="M227" s="63"/>
    </row>
    <row r="228" spans="1:13" x14ac:dyDescent="0.2">
      <c r="A228" s="32"/>
      <c r="B228" s="67">
        <v>4086</v>
      </c>
      <c r="C228" s="61" t="s">
        <v>520</v>
      </c>
      <c r="D228" s="61" t="s">
        <v>45</v>
      </c>
      <c r="E228" s="42">
        <v>238280</v>
      </c>
      <c r="F228" s="61" t="s">
        <v>45</v>
      </c>
      <c r="G228" s="32">
        <v>1</v>
      </c>
      <c r="H228" s="54">
        <v>3</v>
      </c>
      <c r="I228" s="61" t="s">
        <v>61</v>
      </c>
      <c r="J228" s="32" t="s">
        <v>521</v>
      </c>
      <c r="K228" s="54">
        <v>8910251</v>
      </c>
      <c r="L228" s="32"/>
      <c r="M228" s="64">
        <v>0.55000000000000004</v>
      </c>
    </row>
    <row r="229" spans="1:13" x14ac:dyDescent="0.2">
      <c r="A229" s="32"/>
      <c r="B229" s="67">
        <v>4086</v>
      </c>
      <c r="C229" s="61" t="s">
        <v>520</v>
      </c>
      <c r="D229" s="61" t="s">
        <v>45</v>
      </c>
      <c r="E229" s="42">
        <v>238290</v>
      </c>
      <c r="F229" s="61" t="s">
        <v>45</v>
      </c>
      <c r="G229" s="32">
        <v>1</v>
      </c>
      <c r="H229" s="54">
        <v>30</v>
      </c>
      <c r="I229" s="61" t="s">
        <v>61</v>
      </c>
      <c r="J229" s="32" t="s">
        <v>521</v>
      </c>
      <c r="K229" s="54">
        <v>8910736</v>
      </c>
      <c r="L229" s="32"/>
      <c r="M229" s="63"/>
    </row>
    <row r="230" spans="1:13" x14ac:dyDescent="0.2">
      <c r="A230" s="32"/>
      <c r="B230" s="67">
        <v>4086</v>
      </c>
      <c r="C230" s="61" t="s">
        <v>520</v>
      </c>
      <c r="D230" s="61" t="s">
        <v>45</v>
      </c>
      <c r="E230" s="42">
        <v>238300</v>
      </c>
      <c r="F230" s="61" t="s">
        <v>45</v>
      </c>
      <c r="G230" s="32">
        <v>1</v>
      </c>
      <c r="H230" s="54">
        <v>13</v>
      </c>
      <c r="I230" s="61" t="s">
        <v>61</v>
      </c>
      <c r="J230" s="32" t="s">
        <v>521</v>
      </c>
      <c r="K230" s="54">
        <v>8911011</v>
      </c>
      <c r="L230" s="32"/>
      <c r="M230" s="64">
        <v>0.55000000000000004</v>
      </c>
    </row>
    <row r="231" spans="1:13" x14ac:dyDescent="0.2">
      <c r="A231" s="32"/>
      <c r="B231" s="67">
        <v>4086</v>
      </c>
      <c r="C231" s="61" t="s">
        <v>520</v>
      </c>
      <c r="D231" s="61" t="s">
        <v>45</v>
      </c>
      <c r="E231" s="42">
        <v>238310</v>
      </c>
      <c r="F231" s="61" t="s">
        <v>45</v>
      </c>
      <c r="G231" s="32">
        <v>1</v>
      </c>
      <c r="H231" s="54">
        <v>9.1</v>
      </c>
      <c r="I231" s="61" t="s">
        <v>61</v>
      </c>
      <c r="J231" s="32" t="s">
        <v>521</v>
      </c>
      <c r="K231" s="54">
        <v>8911021</v>
      </c>
      <c r="L231" s="32"/>
      <c r="M231" s="63"/>
    </row>
    <row r="232" spans="1:13" x14ac:dyDescent="0.2">
      <c r="A232" s="32"/>
      <c r="B232" s="67">
        <v>4086</v>
      </c>
      <c r="C232" s="61" t="s">
        <v>520</v>
      </c>
      <c r="D232" s="61" t="s">
        <v>45</v>
      </c>
      <c r="E232" s="42">
        <v>238320</v>
      </c>
      <c r="F232" s="61" t="s">
        <v>45</v>
      </c>
      <c r="G232" s="32">
        <v>1</v>
      </c>
      <c r="H232" s="54">
        <v>51.4</v>
      </c>
      <c r="I232" s="61" t="s">
        <v>61</v>
      </c>
      <c r="J232" s="32" t="s">
        <v>521</v>
      </c>
      <c r="K232" s="54">
        <v>8911026</v>
      </c>
      <c r="L232" s="32"/>
      <c r="M232" s="64">
        <v>0.55000000000000004</v>
      </c>
    </row>
    <row r="233" spans="1:13" x14ac:dyDescent="0.2">
      <c r="A233" s="32"/>
      <c r="B233" s="67">
        <v>4086</v>
      </c>
      <c r="C233" s="61" t="s">
        <v>520</v>
      </c>
      <c r="D233" s="61" t="s">
        <v>45</v>
      </c>
      <c r="E233" s="42">
        <v>238330</v>
      </c>
      <c r="F233" s="61" t="s">
        <v>45</v>
      </c>
      <c r="G233" s="32">
        <v>1</v>
      </c>
      <c r="H233" s="54">
        <v>6.8</v>
      </c>
      <c r="I233" s="61" t="s">
        <v>61</v>
      </c>
      <c r="J233" s="32" t="s">
        <v>521</v>
      </c>
      <c r="K233" s="54">
        <v>8911036</v>
      </c>
      <c r="L233" s="32"/>
      <c r="M233" s="63"/>
    </row>
    <row r="234" spans="1:13" x14ac:dyDescent="0.2">
      <c r="A234" s="32"/>
      <c r="B234" s="67">
        <v>4086</v>
      </c>
      <c r="C234" s="61" t="s">
        <v>520</v>
      </c>
      <c r="D234" s="61" t="s">
        <v>45</v>
      </c>
      <c r="E234" s="42">
        <v>238340</v>
      </c>
      <c r="F234" s="61" t="s">
        <v>45</v>
      </c>
      <c r="G234" s="32">
        <v>1</v>
      </c>
      <c r="H234" s="54">
        <v>8.3000000000000007</v>
      </c>
      <c r="I234" s="61" t="s">
        <v>61</v>
      </c>
      <c r="J234" s="32" t="s">
        <v>521</v>
      </c>
      <c r="K234" s="54">
        <v>8911041</v>
      </c>
      <c r="L234" s="32"/>
      <c r="M234" s="63"/>
    </row>
    <row r="235" spans="1:13" x14ac:dyDescent="0.2">
      <c r="A235" s="32"/>
      <c r="B235" s="67">
        <v>4086</v>
      </c>
      <c r="C235" s="61" t="s">
        <v>520</v>
      </c>
      <c r="D235" s="61" t="s">
        <v>45</v>
      </c>
      <c r="E235" s="42">
        <v>238350</v>
      </c>
      <c r="F235" s="61" t="s">
        <v>45</v>
      </c>
      <c r="G235" s="32">
        <v>1</v>
      </c>
      <c r="H235" s="54">
        <v>12.5</v>
      </c>
      <c r="I235" s="61" t="s">
        <v>61</v>
      </c>
      <c r="J235" s="32" t="s">
        <v>521</v>
      </c>
      <c r="K235" s="54">
        <v>8911046</v>
      </c>
      <c r="L235" s="32"/>
      <c r="M235" s="63"/>
    </row>
    <row r="236" spans="1:13" x14ac:dyDescent="0.2">
      <c r="A236" s="32"/>
      <c r="B236" s="67">
        <v>4086</v>
      </c>
      <c r="C236" s="61" t="s">
        <v>520</v>
      </c>
      <c r="D236" s="61" t="s">
        <v>45</v>
      </c>
      <c r="E236" s="42">
        <v>238360</v>
      </c>
      <c r="F236" s="61" t="s">
        <v>45</v>
      </c>
      <c r="G236" s="32">
        <v>1</v>
      </c>
      <c r="H236" s="54">
        <v>12.5</v>
      </c>
      <c r="I236" s="61" t="s">
        <v>61</v>
      </c>
      <c r="J236" s="32" t="s">
        <v>521</v>
      </c>
      <c r="K236" s="54">
        <v>8911111</v>
      </c>
      <c r="L236" s="32"/>
      <c r="M236" s="63"/>
    </row>
    <row r="237" spans="1:13" x14ac:dyDescent="0.2">
      <c r="A237" s="32"/>
      <c r="B237" s="67">
        <v>4086</v>
      </c>
      <c r="C237" s="61" t="s">
        <v>520</v>
      </c>
      <c r="D237" s="61" t="s">
        <v>45</v>
      </c>
      <c r="E237" s="42">
        <v>238370</v>
      </c>
      <c r="F237" s="61" t="s">
        <v>45</v>
      </c>
      <c r="G237" s="32">
        <v>1</v>
      </c>
      <c r="H237" s="54">
        <v>18.5</v>
      </c>
      <c r="I237" s="61" t="s">
        <v>61</v>
      </c>
      <c r="J237" s="32" t="s">
        <v>521</v>
      </c>
      <c r="K237" s="54">
        <v>8911121</v>
      </c>
      <c r="L237" s="32"/>
      <c r="M237" s="63"/>
    </row>
    <row r="238" spans="1:13" x14ac:dyDescent="0.2">
      <c r="A238" s="32"/>
      <c r="B238" s="67">
        <v>4086</v>
      </c>
      <c r="C238" s="61" t="s">
        <v>520</v>
      </c>
      <c r="D238" s="61" t="s">
        <v>45</v>
      </c>
      <c r="E238" s="42">
        <v>238380</v>
      </c>
      <c r="F238" s="61" t="s">
        <v>45</v>
      </c>
      <c r="G238" s="32">
        <v>1</v>
      </c>
      <c r="H238" s="54">
        <v>5.3</v>
      </c>
      <c r="I238" s="61" t="s">
        <v>61</v>
      </c>
      <c r="J238" s="32" t="s">
        <v>521</v>
      </c>
      <c r="K238" s="54">
        <v>8911141</v>
      </c>
      <c r="L238" s="32"/>
      <c r="M238" s="63"/>
    </row>
    <row r="239" spans="1:13" x14ac:dyDescent="0.2">
      <c r="A239" s="32"/>
      <c r="B239" s="67">
        <v>4086</v>
      </c>
      <c r="C239" s="61" t="s">
        <v>520</v>
      </c>
      <c r="D239" s="61" t="s">
        <v>45</v>
      </c>
      <c r="E239" s="42">
        <v>238390</v>
      </c>
      <c r="F239" s="61" t="s">
        <v>45</v>
      </c>
      <c r="G239" s="32">
        <v>1</v>
      </c>
      <c r="H239" s="54">
        <v>19.899999999999999</v>
      </c>
      <c r="I239" s="61" t="s">
        <v>61</v>
      </c>
      <c r="J239" s="32" t="s">
        <v>521</v>
      </c>
      <c r="K239" s="54">
        <v>8911186</v>
      </c>
      <c r="L239" s="32"/>
      <c r="M239" s="63"/>
    </row>
    <row r="240" spans="1:13" x14ac:dyDescent="0.2">
      <c r="A240" s="32"/>
      <c r="B240" s="67">
        <v>4086</v>
      </c>
      <c r="C240" s="61" t="s">
        <v>520</v>
      </c>
      <c r="D240" s="61" t="s">
        <v>45</v>
      </c>
      <c r="E240" s="42">
        <v>238400</v>
      </c>
      <c r="F240" s="61" t="s">
        <v>45</v>
      </c>
      <c r="G240" s="32">
        <v>1</v>
      </c>
      <c r="H240" s="54">
        <v>29.9</v>
      </c>
      <c r="I240" s="61" t="s">
        <v>61</v>
      </c>
      <c r="J240" s="32" t="s">
        <v>521</v>
      </c>
      <c r="K240" s="54">
        <v>8911191</v>
      </c>
      <c r="L240" s="32"/>
      <c r="M240" s="63"/>
    </row>
    <row r="241" spans="1:13" x14ac:dyDescent="0.2">
      <c r="A241" s="32"/>
      <c r="B241" s="67">
        <v>4086</v>
      </c>
      <c r="C241" s="61" t="s">
        <v>520</v>
      </c>
      <c r="D241" s="61" t="s">
        <v>45</v>
      </c>
      <c r="E241" s="42">
        <v>238410</v>
      </c>
      <c r="F241" s="61" t="s">
        <v>45</v>
      </c>
      <c r="G241" s="32">
        <v>1</v>
      </c>
      <c r="H241" s="54">
        <v>8.57</v>
      </c>
      <c r="I241" s="61" t="s">
        <v>61</v>
      </c>
      <c r="J241" s="32" t="s">
        <v>521</v>
      </c>
      <c r="K241" s="54">
        <v>8911196</v>
      </c>
      <c r="L241" s="32"/>
      <c r="M241" s="64">
        <v>0.55000000000000004</v>
      </c>
    </row>
    <row r="242" spans="1:13" x14ac:dyDescent="0.2">
      <c r="A242" s="32"/>
      <c r="B242" s="67">
        <v>4086</v>
      </c>
      <c r="C242" s="61" t="s">
        <v>520</v>
      </c>
      <c r="D242" s="61" t="s">
        <v>45</v>
      </c>
      <c r="E242" s="42">
        <v>238420</v>
      </c>
      <c r="F242" s="61" t="s">
        <v>45</v>
      </c>
      <c r="G242" s="32">
        <v>1</v>
      </c>
      <c r="H242" s="54">
        <v>4.0999999999999996</v>
      </c>
      <c r="I242" s="61" t="s">
        <v>61</v>
      </c>
      <c r="J242" s="32" t="s">
        <v>521</v>
      </c>
      <c r="K242" s="54">
        <v>8911251</v>
      </c>
      <c r="L242" s="32"/>
      <c r="M242" s="63"/>
    </row>
    <row r="243" spans="1:13" x14ac:dyDescent="0.2">
      <c r="A243" s="32"/>
      <c r="B243" s="67">
        <v>4086</v>
      </c>
      <c r="C243" s="61" t="s">
        <v>520</v>
      </c>
      <c r="D243" s="61" t="s">
        <v>45</v>
      </c>
      <c r="E243" s="42">
        <v>238430</v>
      </c>
      <c r="F243" s="61" t="s">
        <v>45</v>
      </c>
      <c r="G243" s="32">
        <v>1</v>
      </c>
      <c r="H243" s="54">
        <v>7.9</v>
      </c>
      <c r="I243" s="61" t="s">
        <v>61</v>
      </c>
      <c r="J243" s="32" t="s">
        <v>521</v>
      </c>
      <c r="K243" s="54">
        <v>8991234</v>
      </c>
      <c r="L243" s="32"/>
      <c r="M243" s="63"/>
    </row>
    <row r="244" spans="1:13" x14ac:dyDescent="0.2">
      <c r="A244" s="32"/>
      <c r="B244" s="67">
        <v>4086</v>
      </c>
      <c r="C244" s="61" t="s">
        <v>520</v>
      </c>
      <c r="D244" s="61" t="s">
        <v>45</v>
      </c>
      <c r="E244" s="42">
        <v>238440</v>
      </c>
      <c r="F244" s="61" t="s">
        <v>45</v>
      </c>
      <c r="G244" s="32">
        <v>1</v>
      </c>
      <c r="H244" s="54">
        <v>4</v>
      </c>
      <c r="I244" s="61" t="s">
        <v>61</v>
      </c>
      <c r="J244" s="32" t="s">
        <v>521</v>
      </c>
      <c r="K244" s="54">
        <v>8991235</v>
      </c>
      <c r="L244" s="32"/>
      <c r="M244" s="63"/>
    </row>
    <row r="245" spans="1:13" x14ac:dyDescent="0.2">
      <c r="A245" s="32"/>
      <c r="B245" s="67">
        <v>4086</v>
      </c>
      <c r="C245" s="61" t="s">
        <v>520</v>
      </c>
      <c r="D245" s="61" t="s">
        <v>45</v>
      </c>
      <c r="E245" s="42">
        <v>818130</v>
      </c>
      <c r="F245" s="61" t="s">
        <v>45</v>
      </c>
      <c r="G245" s="32">
        <v>1</v>
      </c>
      <c r="H245" s="54">
        <v>59</v>
      </c>
      <c r="I245" s="61" t="s">
        <v>61</v>
      </c>
      <c r="J245" s="32" t="s">
        <v>521</v>
      </c>
      <c r="K245" s="54">
        <v>9511640</v>
      </c>
      <c r="L245" s="32"/>
      <c r="M245" s="63"/>
    </row>
    <row r="246" spans="1:13" x14ac:dyDescent="0.2">
      <c r="A246" s="32"/>
      <c r="B246" s="67">
        <v>4086</v>
      </c>
      <c r="C246" s="61" t="s">
        <v>520</v>
      </c>
      <c r="D246" s="61" t="s">
        <v>45</v>
      </c>
      <c r="E246" s="42">
        <v>798140</v>
      </c>
      <c r="F246" s="61" t="s">
        <v>45</v>
      </c>
      <c r="G246" s="32">
        <v>1</v>
      </c>
      <c r="H246" s="54">
        <v>49.28</v>
      </c>
      <c r="I246" s="61" t="s">
        <v>61</v>
      </c>
      <c r="J246" s="32" t="s">
        <v>521</v>
      </c>
      <c r="K246" s="54">
        <v>9956596</v>
      </c>
      <c r="L246" s="32"/>
      <c r="M246" s="64">
        <v>0.55000000000000004</v>
      </c>
    </row>
    <row r="247" spans="1:13" x14ac:dyDescent="0.2">
      <c r="A247" s="32"/>
      <c r="B247" s="67">
        <v>4086</v>
      </c>
      <c r="C247" s="61" t="s">
        <v>520</v>
      </c>
      <c r="D247" s="61" t="s">
        <v>45</v>
      </c>
      <c r="E247" s="42">
        <v>218410</v>
      </c>
      <c r="F247" s="61" t="s">
        <v>45</v>
      </c>
      <c r="G247" s="32">
        <v>1</v>
      </c>
      <c r="H247" s="54">
        <v>1.55</v>
      </c>
      <c r="I247" s="61" t="s">
        <v>61</v>
      </c>
      <c r="J247" s="32" t="s">
        <v>521</v>
      </c>
      <c r="K247" s="54">
        <v>10201052</v>
      </c>
      <c r="L247" s="32"/>
      <c r="M247" s="63"/>
    </row>
    <row r="248" spans="1:13" x14ac:dyDescent="0.2">
      <c r="A248" s="32"/>
      <c r="B248" s="67">
        <v>4086</v>
      </c>
      <c r="C248" s="61" t="s">
        <v>520</v>
      </c>
      <c r="D248" s="61" t="s">
        <v>45</v>
      </c>
      <c r="E248" s="42">
        <v>218420</v>
      </c>
      <c r="F248" s="61" t="s">
        <v>45</v>
      </c>
      <c r="G248" s="32">
        <v>1</v>
      </c>
      <c r="H248" s="54">
        <v>1.8</v>
      </c>
      <c r="I248" s="61" t="s">
        <v>61</v>
      </c>
      <c r="J248" s="32" t="s">
        <v>521</v>
      </c>
      <c r="K248" s="54">
        <v>10201091</v>
      </c>
      <c r="L248" s="32"/>
      <c r="M248" s="63"/>
    </row>
    <row r="249" spans="1:13" x14ac:dyDescent="0.2">
      <c r="A249" s="32"/>
      <c r="B249" s="67">
        <v>4086</v>
      </c>
      <c r="C249" s="61" t="s">
        <v>520</v>
      </c>
      <c r="D249" s="61" t="s">
        <v>45</v>
      </c>
      <c r="E249" s="42">
        <v>938130</v>
      </c>
      <c r="F249" s="61" t="s">
        <v>45</v>
      </c>
      <c r="G249" s="32">
        <v>1</v>
      </c>
      <c r="H249" s="54">
        <v>176.66</v>
      </c>
      <c r="I249" s="61" t="s">
        <v>61</v>
      </c>
      <c r="J249" s="32" t="s">
        <v>521</v>
      </c>
      <c r="K249" s="54">
        <v>10901103</v>
      </c>
      <c r="L249" s="32"/>
      <c r="M249" s="64">
        <v>0.6</v>
      </c>
    </row>
    <row r="250" spans="1:13" x14ac:dyDescent="0.2">
      <c r="A250" s="32"/>
      <c r="B250" s="67">
        <v>4086</v>
      </c>
      <c r="C250" s="61" t="s">
        <v>520</v>
      </c>
      <c r="D250" s="61" t="s">
        <v>45</v>
      </c>
      <c r="E250" s="42">
        <v>938140</v>
      </c>
      <c r="F250" s="61" t="s">
        <v>45</v>
      </c>
      <c r="G250" s="32">
        <v>1</v>
      </c>
      <c r="H250" s="54">
        <v>0.3</v>
      </c>
      <c r="I250" s="61" t="s">
        <v>61</v>
      </c>
      <c r="J250" s="32" t="s">
        <v>521</v>
      </c>
      <c r="K250" s="54">
        <v>15170022</v>
      </c>
      <c r="L250" s="32"/>
      <c r="M250" s="63"/>
    </row>
    <row r="251" spans="1:13" x14ac:dyDescent="0.2">
      <c r="A251" s="32"/>
      <c r="B251" s="67">
        <v>4086</v>
      </c>
      <c r="C251" s="61" t="s">
        <v>520</v>
      </c>
      <c r="D251" s="61" t="s">
        <v>45</v>
      </c>
      <c r="E251" s="42">
        <v>938150</v>
      </c>
      <c r="F251" s="61" t="s">
        <v>45</v>
      </c>
      <c r="G251" s="32">
        <v>1</v>
      </c>
      <c r="H251" s="54">
        <v>3.3</v>
      </c>
      <c r="I251" s="61" t="s">
        <v>61</v>
      </c>
      <c r="J251" s="32" t="s">
        <v>521</v>
      </c>
      <c r="K251" s="54">
        <v>15170043</v>
      </c>
      <c r="L251" s="32"/>
      <c r="M251" s="63"/>
    </row>
    <row r="252" spans="1:13" x14ac:dyDescent="0.2">
      <c r="A252" s="32"/>
      <c r="B252" s="67">
        <v>4086</v>
      </c>
      <c r="C252" s="61" t="s">
        <v>520</v>
      </c>
      <c r="D252" s="61" t="s">
        <v>45</v>
      </c>
      <c r="E252" s="42">
        <v>938160</v>
      </c>
      <c r="F252" s="61" t="s">
        <v>45</v>
      </c>
      <c r="G252" s="32">
        <v>1</v>
      </c>
      <c r="H252" s="54">
        <v>1.1000000000000001</v>
      </c>
      <c r="I252" s="61" t="s">
        <v>61</v>
      </c>
      <c r="J252" s="32" t="s">
        <v>521</v>
      </c>
      <c r="K252" s="54">
        <v>15170061</v>
      </c>
      <c r="L252" s="32"/>
      <c r="M252" s="63"/>
    </row>
    <row r="253" spans="1:13" x14ac:dyDescent="0.2">
      <c r="A253" s="32"/>
      <c r="B253" s="67">
        <v>4086</v>
      </c>
      <c r="C253" s="61" t="s">
        <v>520</v>
      </c>
      <c r="D253" s="61" t="s">
        <v>45</v>
      </c>
      <c r="E253" s="42">
        <v>708320</v>
      </c>
      <c r="F253" s="61" t="s">
        <v>45</v>
      </c>
      <c r="G253" s="32">
        <v>1</v>
      </c>
      <c r="H253" s="54">
        <v>5.17</v>
      </c>
      <c r="I253" s="61" t="s">
        <v>61</v>
      </c>
      <c r="J253" s="32" t="s">
        <v>521</v>
      </c>
      <c r="K253" s="54">
        <v>15240067</v>
      </c>
      <c r="L253" s="32"/>
      <c r="M253" s="64">
        <v>0.6</v>
      </c>
    </row>
    <row r="254" spans="1:13" x14ac:dyDescent="0.2">
      <c r="A254" s="32"/>
      <c r="B254" s="67">
        <v>4086</v>
      </c>
      <c r="C254" s="61" t="s">
        <v>520</v>
      </c>
      <c r="D254" s="61" t="s">
        <v>45</v>
      </c>
      <c r="E254" s="42">
        <v>318370</v>
      </c>
      <c r="F254" s="61" t="s">
        <v>45</v>
      </c>
      <c r="G254" s="32">
        <v>1</v>
      </c>
      <c r="H254" s="54">
        <v>198</v>
      </c>
      <c r="I254" s="61" t="s">
        <v>61</v>
      </c>
      <c r="J254" s="32" t="s">
        <v>521</v>
      </c>
      <c r="K254" s="54">
        <v>15250122</v>
      </c>
      <c r="L254" s="32"/>
      <c r="M254" s="63"/>
    </row>
    <row r="255" spans="1:13" x14ac:dyDescent="0.2">
      <c r="A255" s="32"/>
      <c r="B255" s="67">
        <v>4086</v>
      </c>
      <c r="C255" s="61" t="s">
        <v>520</v>
      </c>
      <c r="D255" s="61" t="s">
        <v>45</v>
      </c>
      <c r="E255" s="42">
        <v>648280</v>
      </c>
      <c r="F255" s="61" t="s">
        <v>45</v>
      </c>
      <c r="G255" s="32">
        <v>1</v>
      </c>
      <c r="H255" s="55">
        <v>84</v>
      </c>
      <c r="I255" s="61" t="s">
        <v>61</v>
      </c>
      <c r="J255" s="32" t="s">
        <v>521</v>
      </c>
      <c r="K255" s="54">
        <v>22293007</v>
      </c>
      <c r="L255" s="32"/>
      <c r="M255" s="57"/>
    </row>
    <row r="256" spans="1:13" x14ac:dyDescent="0.2">
      <c r="A256" s="32"/>
      <c r="B256" s="67">
        <v>4086</v>
      </c>
      <c r="C256" s="61" t="s">
        <v>520</v>
      </c>
      <c r="D256" s="61" t="s">
        <v>45</v>
      </c>
      <c r="E256" s="42">
        <v>818140</v>
      </c>
      <c r="F256" s="61" t="s">
        <v>45</v>
      </c>
      <c r="G256" s="32">
        <v>1</v>
      </c>
      <c r="H256" s="54">
        <v>571.41999999999996</v>
      </c>
      <c r="I256" s="61" t="s">
        <v>61</v>
      </c>
      <c r="J256" s="32" t="s">
        <v>521</v>
      </c>
      <c r="K256" s="54">
        <v>23828610</v>
      </c>
      <c r="L256" s="32"/>
      <c r="M256" s="64">
        <v>0.53</v>
      </c>
    </row>
    <row r="257" spans="1:13" x14ac:dyDescent="0.2">
      <c r="A257" s="32"/>
      <c r="B257" s="67">
        <v>4086</v>
      </c>
      <c r="C257" s="61" t="s">
        <v>520</v>
      </c>
      <c r="D257" s="61" t="s">
        <v>45</v>
      </c>
      <c r="E257" s="42">
        <v>628120</v>
      </c>
      <c r="F257" s="61" t="s">
        <v>45</v>
      </c>
      <c r="G257" s="32">
        <v>1</v>
      </c>
      <c r="H257" s="54">
        <v>34</v>
      </c>
      <c r="I257" s="61" t="s">
        <v>61</v>
      </c>
      <c r="J257" s="32" t="s">
        <v>521</v>
      </c>
      <c r="K257" s="54">
        <v>29103815</v>
      </c>
      <c r="L257" s="32"/>
      <c r="M257" s="63"/>
    </row>
    <row r="258" spans="1:13" x14ac:dyDescent="0.2">
      <c r="A258" s="32"/>
      <c r="B258" s="67">
        <v>4086</v>
      </c>
      <c r="C258" s="61" t="s">
        <v>520</v>
      </c>
      <c r="D258" s="61" t="s">
        <v>45</v>
      </c>
      <c r="E258" s="42">
        <v>828140</v>
      </c>
      <c r="F258" s="61" t="s">
        <v>45</v>
      </c>
      <c r="G258" s="32">
        <v>1</v>
      </c>
      <c r="H258" s="55">
        <v>82</v>
      </c>
      <c r="I258" s="61" t="s">
        <v>61</v>
      </c>
      <c r="J258" s="32" t="s">
        <v>521</v>
      </c>
      <c r="K258" s="54">
        <v>38305894</v>
      </c>
      <c r="L258" s="32"/>
      <c r="M258" s="57"/>
    </row>
    <row r="259" spans="1:13" x14ac:dyDescent="0.2">
      <c r="A259" s="32"/>
      <c r="B259" s="67">
        <v>4086</v>
      </c>
      <c r="C259" s="61" t="s">
        <v>520</v>
      </c>
      <c r="D259" s="61" t="s">
        <v>45</v>
      </c>
      <c r="E259" s="42">
        <v>938170</v>
      </c>
      <c r="F259" s="61" t="s">
        <v>45</v>
      </c>
      <c r="G259" s="32">
        <v>1</v>
      </c>
      <c r="H259" s="54">
        <v>14.06</v>
      </c>
      <c r="I259" s="61" t="s">
        <v>61</v>
      </c>
      <c r="J259" s="32" t="s">
        <v>521</v>
      </c>
      <c r="K259" s="54">
        <v>49318991</v>
      </c>
      <c r="L259" s="32"/>
      <c r="M259" s="64">
        <v>0.57999999999999996</v>
      </c>
    </row>
    <row r="260" spans="1:13" x14ac:dyDescent="0.2">
      <c r="A260" s="32"/>
      <c r="B260" s="67">
        <v>4086</v>
      </c>
      <c r="C260" s="61" t="s">
        <v>520</v>
      </c>
      <c r="D260" s="61" t="s">
        <v>45</v>
      </c>
      <c r="E260" s="42">
        <v>218430</v>
      </c>
      <c r="F260" s="61" t="s">
        <v>45</v>
      </c>
      <c r="G260" s="32">
        <v>1</v>
      </c>
      <c r="H260" s="55">
        <v>20.329999999999998</v>
      </c>
      <c r="I260" s="61" t="s">
        <v>61</v>
      </c>
      <c r="J260" s="32" t="s">
        <v>521</v>
      </c>
      <c r="K260" s="54">
        <v>59511201</v>
      </c>
      <c r="L260" s="32"/>
      <c r="M260" s="56">
        <v>0.74099999999999999</v>
      </c>
    </row>
    <row r="261" spans="1:13" x14ac:dyDescent="0.2">
      <c r="A261" s="32"/>
      <c r="B261" s="67">
        <v>4086</v>
      </c>
      <c r="C261" s="61" t="s">
        <v>520</v>
      </c>
      <c r="D261" s="61" t="s">
        <v>45</v>
      </c>
      <c r="E261" s="42">
        <v>218440</v>
      </c>
      <c r="F261" s="61" t="s">
        <v>45</v>
      </c>
      <c r="G261" s="32">
        <v>1</v>
      </c>
      <c r="H261" s="54">
        <v>19.22</v>
      </c>
      <c r="I261" s="61" t="s">
        <v>61</v>
      </c>
      <c r="J261" s="32" t="s">
        <v>521</v>
      </c>
      <c r="K261" s="54">
        <v>59520701</v>
      </c>
      <c r="L261" s="32"/>
      <c r="M261" s="63"/>
    </row>
    <row r="262" spans="1:13" x14ac:dyDescent="0.2">
      <c r="A262" s="32"/>
      <c r="B262" s="67">
        <v>4086</v>
      </c>
      <c r="C262" s="61" t="s">
        <v>520</v>
      </c>
      <c r="D262" s="61" t="s">
        <v>45</v>
      </c>
      <c r="E262" s="42">
        <v>938180</v>
      </c>
      <c r="F262" s="61" t="s">
        <v>45</v>
      </c>
      <c r="G262" s="32">
        <v>1</v>
      </c>
      <c r="H262" s="54">
        <v>4.4000000000000004</v>
      </c>
      <c r="I262" s="61" t="s">
        <v>61</v>
      </c>
      <c r="J262" s="32" t="s">
        <v>521</v>
      </c>
      <c r="K262" s="54">
        <v>63300971</v>
      </c>
      <c r="L262" s="32"/>
      <c r="M262" s="63"/>
    </row>
    <row r="263" spans="1:13" x14ac:dyDescent="0.2">
      <c r="A263" s="32"/>
      <c r="B263" s="67">
        <v>4086</v>
      </c>
      <c r="C263" s="61" t="s">
        <v>520</v>
      </c>
      <c r="D263" s="61" t="s">
        <v>45</v>
      </c>
      <c r="E263" s="42">
        <v>938190</v>
      </c>
      <c r="F263" s="61" t="s">
        <v>45</v>
      </c>
      <c r="G263" s="32">
        <v>1</v>
      </c>
      <c r="H263" s="54">
        <v>5.58</v>
      </c>
      <c r="I263" s="61" t="s">
        <v>61</v>
      </c>
      <c r="J263" s="32" t="s">
        <v>521</v>
      </c>
      <c r="K263" s="54">
        <v>63300973</v>
      </c>
      <c r="L263" s="32"/>
      <c r="M263" s="63"/>
    </row>
    <row r="264" spans="1:13" x14ac:dyDescent="0.2">
      <c r="A264" s="32"/>
      <c r="B264" s="67">
        <v>4086</v>
      </c>
      <c r="C264" s="61" t="s">
        <v>520</v>
      </c>
      <c r="D264" s="61" t="s">
        <v>45</v>
      </c>
      <c r="E264" s="42">
        <v>648290</v>
      </c>
      <c r="F264" s="61" t="s">
        <v>45</v>
      </c>
      <c r="G264" s="32">
        <v>1</v>
      </c>
      <c r="H264" s="54">
        <v>105</v>
      </c>
      <c r="I264" s="61" t="s">
        <v>61</v>
      </c>
      <c r="J264" s="32" t="s">
        <v>521</v>
      </c>
      <c r="K264" s="54">
        <v>73274762</v>
      </c>
      <c r="L264" s="32"/>
      <c r="M264" s="64">
        <v>0.5</v>
      </c>
    </row>
    <row r="265" spans="1:13" x14ac:dyDescent="0.2">
      <c r="A265" s="32"/>
      <c r="B265" s="67">
        <v>4086</v>
      </c>
      <c r="C265" s="61" t="s">
        <v>520</v>
      </c>
      <c r="D265" s="61" t="s">
        <v>45</v>
      </c>
      <c r="E265" s="42">
        <v>798150</v>
      </c>
      <c r="F265" s="61" t="s">
        <v>45</v>
      </c>
      <c r="G265" s="32">
        <v>1</v>
      </c>
      <c r="H265" s="54">
        <v>2</v>
      </c>
      <c r="I265" s="61" t="s">
        <v>61</v>
      </c>
      <c r="J265" s="32" t="s">
        <v>521</v>
      </c>
      <c r="K265" s="54">
        <v>80145049</v>
      </c>
      <c r="L265" s="32"/>
      <c r="M265" s="63"/>
    </row>
    <row r="266" spans="1:13" x14ac:dyDescent="0.2">
      <c r="A266" s="32"/>
      <c r="B266" s="67">
        <v>4086</v>
      </c>
      <c r="C266" s="61" t="s">
        <v>520</v>
      </c>
      <c r="D266" s="61" t="s">
        <v>45</v>
      </c>
      <c r="E266" s="42">
        <v>228230</v>
      </c>
      <c r="F266" s="61" t="s">
        <v>45</v>
      </c>
      <c r="G266" s="32">
        <v>1</v>
      </c>
      <c r="H266" s="54">
        <v>7.66</v>
      </c>
      <c r="I266" s="61" t="s">
        <v>61</v>
      </c>
      <c r="J266" s="32" t="s">
        <v>521</v>
      </c>
      <c r="K266" s="54">
        <v>84000101</v>
      </c>
      <c r="L266" s="32"/>
      <c r="M266" s="64">
        <v>0.65</v>
      </c>
    </row>
    <row r="267" spans="1:13" x14ac:dyDescent="0.2">
      <c r="A267" s="32"/>
      <c r="B267" s="67">
        <v>4086</v>
      </c>
      <c r="C267" s="61" t="s">
        <v>520</v>
      </c>
      <c r="D267" s="61" t="s">
        <v>45</v>
      </c>
      <c r="E267" s="42">
        <v>438200</v>
      </c>
      <c r="F267" s="61" t="s">
        <v>45</v>
      </c>
      <c r="G267" s="32">
        <v>1</v>
      </c>
      <c r="H267" s="55">
        <v>1.4</v>
      </c>
      <c r="I267" s="61" t="s">
        <v>61</v>
      </c>
      <c r="J267" s="32" t="s">
        <v>521</v>
      </c>
      <c r="K267" s="54">
        <v>84000791</v>
      </c>
      <c r="L267" s="32"/>
      <c r="M267" s="57"/>
    </row>
    <row r="268" spans="1:13" x14ac:dyDescent="0.2">
      <c r="A268" s="32"/>
      <c r="B268" s="67">
        <v>4086</v>
      </c>
      <c r="C268" s="61" t="s">
        <v>520</v>
      </c>
      <c r="D268" s="61" t="s">
        <v>45</v>
      </c>
      <c r="E268" s="42">
        <v>918180</v>
      </c>
      <c r="F268" s="61" t="s">
        <v>45</v>
      </c>
      <c r="G268" s="32">
        <v>1</v>
      </c>
      <c r="H268" s="55">
        <v>30</v>
      </c>
      <c r="I268" s="61" t="s">
        <v>61</v>
      </c>
      <c r="J268" s="32" t="s">
        <v>521</v>
      </c>
      <c r="K268" s="54">
        <v>99060003</v>
      </c>
      <c r="L268" s="32"/>
      <c r="M268" s="57"/>
    </row>
    <row r="269" spans="1:13" x14ac:dyDescent="0.2">
      <c r="A269" s="32"/>
      <c r="B269" s="67">
        <v>4086</v>
      </c>
      <c r="C269" s="61" t="s">
        <v>520</v>
      </c>
      <c r="D269" s="61" t="s">
        <v>45</v>
      </c>
      <c r="E269" s="42">
        <v>918190</v>
      </c>
      <c r="F269" s="61" t="s">
        <v>45</v>
      </c>
      <c r="G269" s="32">
        <v>1</v>
      </c>
      <c r="H269" s="54">
        <v>36</v>
      </c>
      <c r="I269" s="61" t="s">
        <v>61</v>
      </c>
      <c r="J269" s="32" t="s">
        <v>521</v>
      </c>
      <c r="K269" s="54">
        <v>99060004</v>
      </c>
      <c r="L269" s="32"/>
      <c r="M269" s="63"/>
    </row>
    <row r="270" spans="1:13" x14ac:dyDescent="0.2">
      <c r="A270" s="32"/>
      <c r="B270" s="67">
        <v>4086</v>
      </c>
      <c r="C270" s="61" t="s">
        <v>520</v>
      </c>
      <c r="D270" s="61" t="s">
        <v>45</v>
      </c>
      <c r="E270" s="42">
        <v>918200</v>
      </c>
      <c r="F270" s="61" t="s">
        <v>45</v>
      </c>
      <c r="G270" s="32">
        <v>1</v>
      </c>
      <c r="H270" s="55">
        <v>38</v>
      </c>
      <c r="I270" s="61" t="s">
        <v>61</v>
      </c>
      <c r="J270" s="32" t="s">
        <v>521</v>
      </c>
      <c r="K270" s="54">
        <v>99060006</v>
      </c>
      <c r="L270" s="32"/>
      <c r="M270" s="57"/>
    </row>
    <row r="271" spans="1:13" x14ac:dyDescent="0.2">
      <c r="A271" s="32"/>
      <c r="B271" s="67">
        <v>4086</v>
      </c>
      <c r="C271" s="61" t="s">
        <v>520</v>
      </c>
      <c r="D271" s="61" t="s">
        <v>45</v>
      </c>
      <c r="E271" s="42">
        <v>708330</v>
      </c>
      <c r="F271" s="61" t="s">
        <v>45</v>
      </c>
      <c r="G271" s="32">
        <v>1</v>
      </c>
      <c r="H271" s="54">
        <v>23</v>
      </c>
      <c r="I271" s="61" t="s">
        <v>61</v>
      </c>
      <c r="J271" s="32" t="s">
        <v>521</v>
      </c>
      <c r="K271" s="54">
        <v>99070001</v>
      </c>
      <c r="L271" s="32"/>
      <c r="M271" s="63"/>
    </row>
    <row r="272" spans="1:13" x14ac:dyDescent="0.2">
      <c r="A272" s="32"/>
      <c r="B272" s="67">
        <v>4086</v>
      </c>
      <c r="C272" s="61" t="s">
        <v>520</v>
      </c>
      <c r="D272" s="61" t="s">
        <v>45</v>
      </c>
      <c r="E272" s="42">
        <v>708340</v>
      </c>
      <c r="F272" s="61" t="s">
        <v>45</v>
      </c>
      <c r="G272" s="32">
        <v>1</v>
      </c>
      <c r="H272" s="54">
        <v>342.86</v>
      </c>
      <c r="I272" s="61" t="s">
        <v>61</v>
      </c>
      <c r="J272" s="32" t="s">
        <v>521</v>
      </c>
      <c r="K272" s="54">
        <v>99070010</v>
      </c>
      <c r="L272" s="32"/>
      <c r="M272" s="64">
        <v>0.57999999999999996</v>
      </c>
    </row>
    <row r="273" spans="1:13" x14ac:dyDescent="0.2">
      <c r="A273" s="32"/>
      <c r="B273" s="67">
        <v>4086</v>
      </c>
      <c r="C273" s="61" t="s">
        <v>520</v>
      </c>
      <c r="D273" s="61" t="s">
        <v>45</v>
      </c>
      <c r="E273" s="42">
        <v>708350</v>
      </c>
      <c r="F273" s="61" t="s">
        <v>45</v>
      </c>
      <c r="G273" s="32">
        <v>1</v>
      </c>
      <c r="H273" s="55">
        <v>4.5</v>
      </c>
      <c r="I273" s="61" t="s">
        <v>61</v>
      </c>
      <c r="J273" s="32" t="s">
        <v>521</v>
      </c>
      <c r="K273" s="54">
        <v>99080056</v>
      </c>
      <c r="L273" s="32"/>
      <c r="M273" s="57"/>
    </row>
    <row r="274" spans="1:13" x14ac:dyDescent="0.2">
      <c r="A274" s="32"/>
      <c r="B274" s="67">
        <v>4086</v>
      </c>
      <c r="C274" s="61" t="s">
        <v>520</v>
      </c>
      <c r="D274" s="61" t="s">
        <v>45</v>
      </c>
      <c r="E274" s="42">
        <v>938200</v>
      </c>
      <c r="F274" s="61" t="s">
        <v>45</v>
      </c>
      <c r="G274" s="32">
        <v>1</v>
      </c>
      <c r="H274" s="55">
        <v>0.46</v>
      </c>
      <c r="I274" s="61" t="s">
        <v>61</v>
      </c>
      <c r="J274" s="32" t="s">
        <v>521</v>
      </c>
      <c r="K274" s="54">
        <v>99150592</v>
      </c>
      <c r="L274" s="32"/>
      <c r="M274" s="57"/>
    </row>
    <row r="275" spans="1:13" x14ac:dyDescent="0.2">
      <c r="A275" s="32"/>
      <c r="B275" s="67">
        <v>4086</v>
      </c>
      <c r="C275" s="61" t="s">
        <v>520</v>
      </c>
      <c r="D275" s="61" t="s">
        <v>45</v>
      </c>
      <c r="E275" s="42">
        <v>938210</v>
      </c>
      <c r="F275" s="61" t="s">
        <v>45</v>
      </c>
      <c r="G275" s="32">
        <v>1</v>
      </c>
      <c r="H275" s="55">
        <v>0.72</v>
      </c>
      <c r="I275" s="61" t="s">
        <v>61</v>
      </c>
      <c r="J275" s="32" t="s">
        <v>521</v>
      </c>
      <c r="K275" s="54">
        <v>99150596</v>
      </c>
      <c r="L275" s="32"/>
      <c r="M275" s="57"/>
    </row>
    <row r="276" spans="1:13" x14ac:dyDescent="0.2">
      <c r="A276" s="32"/>
      <c r="B276" s="67">
        <v>4086</v>
      </c>
      <c r="C276" s="61" t="s">
        <v>520</v>
      </c>
      <c r="D276" s="61" t="s">
        <v>45</v>
      </c>
      <c r="E276" s="42">
        <v>938220</v>
      </c>
      <c r="F276" s="61" t="s">
        <v>45</v>
      </c>
      <c r="G276" s="32">
        <v>1</v>
      </c>
      <c r="H276" s="54">
        <v>5.5</v>
      </c>
      <c r="I276" s="61" t="s">
        <v>61</v>
      </c>
      <c r="J276" s="32" t="s">
        <v>521</v>
      </c>
      <c r="K276" s="54">
        <v>99220215</v>
      </c>
      <c r="L276" s="32"/>
      <c r="M276" s="63"/>
    </row>
    <row r="277" spans="1:13" x14ac:dyDescent="0.2">
      <c r="A277" s="32"/>
      <c r="B277" s="67">
        <v>4086</v>
      </c>
      <c r="C277" s="61" t="s">
        <v>520</v>
      </c>
      <c r="D277" s="61" t="s">
        <v>45</v>
      </c>
      <c r="E277" s="42">
        <v>938230</v>
      </c>
      <c r="F277" s="61" t="s">
        <v>45</v>
      </c>
      <c r="G277" s="32">
        <v>1</v>
      </c>
      <c r="H277" s="54">
        <v>0.9</v>
      </c>
      <c r="I277" s="61" t="s">
        <v>61</v>
      </c>
      <c r="J277" s="32" t="s">
        <v>521</v>
      </c>
      <c r="K277" s="54">
        <v>99221070</v>
      </c>
      <c r="L277" s="32"/>
      <c r="M277" s="63"/>
    </row>
    <row r="278" spans="1:13" x14ac:dyDescent="0.2">
      <c r="A278" s="32"/>
      <c r="B278" s="67">
        <v>4086</v>
      </c>
      <c r="C278" s="61" t="s">
        <v>520</v>
      </c>
      <c r="D278" s="61" t="s">
        <v>45</v>
      </c>
      <c r="E278" s="42">
        <v>938240</v>
      </c>
      <c r="F278" s="61" t="s">
        <v>45</v>
      </c>
      <c r="G278" s="32">
        <v>1</v>
      </c>
      <c r="H278" s="54">
        <v>3.7</v>
      </c>
      <c r="I278" s="61" t="s">
        <v>61</v>
      </c>
      <c r="J278" s="32" t="s">
        <v>521</v>
      </c>
      <c r="K278" s="54">
        <v>99221091</v>
      </c>
      <c r="L278" s="32"/>
      <c r="M278" s="63"/>
    </row>
    <row r="279" spans="1:13" x14ac:dyDescent="0.2">
      <c r="A279" s="32"/>
      <c r="B279" s="67">
        <v>4086</v>
      </c>
      <c r="C279" s="61" t="s">
        <v>520</v>
      </c>
      <c r="D279" s="61" t="s">
        <v>45</v>
      </c>
      <c r="E279" s="42">
        <v>648300</v>
      </c>
      <c r="F279" s="61" t="s">
        <v>45</v>
      </c>
      <c r="G279" s="32">
        <v>1</v>
      </c>
      <c r="H279" s="55">
        <v>28</v>
      </c>
      <c r="I279" s="61" t="s">
        <v>61</v>
      </c>
      <c r="J279" s="32" t="s">
        <v>521</v>
      </c>
      <c r="K279" s="54">
        <v>99291722</v>
      </c>
      <c r="L279" s="32"/>
      <c r="M279" s="57"/>
    </row>
    <row r="280" spans="1:13" x14ac:dyDescent="0.2">
      <c r="A280" s="32"/>
      <c r="B280" s="67">
        <v>4086</v>
      </c>
      <c r="C280" s="61" t="s">
        <v>520</v>
      </c>
      <c r="D280" s="61" t="s">
        <v>45</v>
      </c>
      <c r="E280" s="42">
        <v>648310</v>
      </c>
      <c r="F280" s="61" t="s">
        <v>45</v>
      </c>
      <c r="G280" s="32">
        <v>1</v>
      </c>
      <c r="H280" s="54">
        <v>38</v>
      </c>
      <c r="I280" s="61" t="s">
        <v>61</v>
      </c>
      <c r="J280" s="32" t="s">
        <v>521</v>
      </c>
      <c r="K280" s="54">
        <v>99291724</v>
      </c>
      <c r="L280" s="32"/>
      <c r="M280" s="63"/>
    </row>
    <row r="281" spans="1:13" x14ac:dyDescent="0.2">
      <c r="A281" s="32"/>
      <c r="B281" s="67">
        <v>4086</v>
      </c>
      <c r="C281" s="61" t="s">
        <v>520</v>
      </c>
      <c r="D281" s="61" t="s">
        <v>45</v>
      </c>
      <c r="E281" s="42">
        <v>438210</v>
      </c>
      <c r="F281" s="61" t="s">
        <v>45</v>
      </c>
      <c r="G281" s="32">
        <v>1</v>
      </c>
      <c r="H281" s="54">
        <v>3</v>
      </c>
      <c r="I281" s="61" t="s">
        <v>61</v>
      </c>
      <c r="J281" s="32" t="s">
        <v>521</v>
      </c>
      <c r="K281" s="54">
        <v>99450008</v>
      </c>
      <c r="L281" s="32"/>
      <c r="M281" s="64">
        <v>0.65</v>
      </c>
    </row>
    <row r="282" spans="1:13" x14ac:dyDescent="0.2">
      <c r="A282" s="32"/>
      <c r="B282" s="67">
        <v>4086</v>
      </c>
      <c r="C282" s="61" t="s">
        <v>520</v>
      </c>
      <c r="D282" s="61" t="s">
        <v>45</v>
      </c>
      <c r="E282" s="42">
        <v>438220</v>
      </c>
      <c r="F282" s="61" t="s">
        <v>45</v>
      </c>
      <c r="G282" s="32">
        <v>1</v>
      </c>
      <c r="H282" s="54">
        <v>6.5</v>
      </c>
      <c r="I282" s="61" t="s">
        <v>61</v>
      </c>
      <c r="J282" s="32" t="s">
        <v>521</v>
      </c>
      <c r="K282" s="54">
        <v>99450020</v>
      </c>
      <c r="L282" s="32"/>
      <c r="M282" s="64">
        <v>0.55000000000000004</v>
      </c>
    </row>
    <row r="283" spans="1:13" x14ac:dyDescent="0.2">
      <c r="A283" s="32"/>
      <c r="B283" s="67">
        <v>4086</v>
      </c>
      <c r="C283" s="61" t="s">
        <v>520</v>
      </c>
      <c r="D283" s="61" t="s">
        <v>45</v>
      </c>
      <c r="E283" s="42">
        <v>708360</v>
      </c>
      <c r="F283" s="61" t="s">
        <v>45</v>
      </c>
      <c r="G283" s="32">
        <v>1</v>
      </c>
      <c r="H283" s="54">
        <v>74</v>
      </c>
      <c r="I283" s="61" t="s">
        <v>61</v>
      </c>
      <c r="J283" s="32" t="s">
        <v>521</v>
      </c>
      <c r="K283" s="54">
        <v>99451001</v>
      </c>
      <c r="L283" s="32"/>
      <c r="M283" s="63"/>
    </row>
    <row r="284" spans="1:13" x14ac:dyDescent="0.2">
      <c r="A284" s="32"/>
      <c r="B284" s="67">
        <v>4086</v>
      </c>
      <c r="C284" s="61" t="s">
        <v>520</v>
      </c>
      <c r="D284" s="61" t="s">
        <v>45</v>
      </c>
      <c r="E284" s="42">
        <v>798160</v>
      </c>
      <c r="F284" s="61" t="s">
        <v>45</v>
      </c>
      <c r="G284" s="32">
        <v>1</v>
      </c>
      <c r="H284" s="54">
        <v>33</v>
      </c>
      <c r="I284" s="61" t="s">
        <v>61</v>
      </c>
      <c r="J284" s="32" t="s">
        <v>521</v>
      </c>
      <c r="K284" s="54">
        <v>99521001</v>
      </c>
      <c r="L284" s="32"/>
      <c r="M284" s="63"/>
    </row>
    <row r="285" spans="1:13" x14ac:dyDescent="0.2">
      <c r="A285" s="32"/>
      <c r="B285" s="67">
        <v>4086</v>
      </c>
      <c r="C285" s="61" t="s">
        <v>520</v>
      </c>
      <c r="D285" s="61" t="s">
        <v>45</v>
      </c>
      <c r="E285" s="42">
        <v>798170</v>
      </c>
      <c r="F285" s="61" t="s">
        <v>45</v>
      </c>
      <c r="G285" s="32">
        <v>1</v>
      </c>
      <c r="H285" s="54">
        <v>169</v>
      </c>
      <c r="I285" s="61" t="s">
        <v>61</v>
      </c>
      <c r="J285" s="32" t="s">
        <v>521</v>
      </c>
      <c r="K285" s="54">
        <v>99521003</v>
      </c>
      <c r="L285" s="32"/>
      <c r="M285" s="63"/>
    </row>
    <row r="286" spans="1:13" x14ac:dyDescent="0.2">
      <c r="A286" s="32"/>
      <c r="B286" s="67">
        <v>4086</v>
      </c>
      <c r="C286" s="61" t="s">
        <v>520</v>
      </c>
      <c r="D286" s="61" t="s">
        <v>45</v>
      </c>
      <c r="E286" s="42">
        <v>928230</v>
      </c>
      <c r="F286" s="61" t="s">
        <v>45</v>
      </c>
      <c r="G286" s="32">
        <v>1</v>
      </c>
      <c r="H286" s="54">
        <v>21</v>
      </c>
      <c r="I286" s="61" t="s">
        <v>61</v>
      </c>
      <c r="J286" s="32" t="s">
        <v>521</v>
      </c>
      <c r="K286" s="54">
        <v>99535524</v>
      </c>
      <c r="L286" s="32"/>
      <c r="M286" s="63"/>
    </row>
    <row r="287" spans="1:13" x14ac:dyDescent="0.2">
      <c r="A287" s="32"/>
      <c r="B287" s="67">
        <v>4086</v>
      </c>
      <c r="C287" s="61" t="s">
        <v>520</v>
      </c>
      <c r="D287" s="61" t="s">
        <v>45</v>
      </c>
      <c r="E287" s="42">
        <v>928240</v>
      </c>
      <c r="F287" s="61" t="s">
        <v>45</v>
      </c>
      <c r="G287" s="32">
        <v>1</v>
      </c>
      <c r="H287" s="54">
        <v>13.71</v>
      </c>
      <c r="I287" s="61" t="s">
        <v>61</v>
      </c>
      <c r="J287" s="32" t="s">
        <v>521</v>
      </c>
      <c r="K287" s="54">
        <v>99565002</v>
      </c>
      <c r="L287" s="32"/>
      <c r="M287" s="64">
        <v>0.6</v>
      </c>
    </row>
    <row r="288" spans="1:13" x14ac:dyDescent="0.2">
      <c r="A288" s="32"/>
      <c r="B288" s="67">
        <v>4086</v>
      </c>
      <c r="C288" s="61" t="s">
        <v>520</v>
      </c>
      <c r="D288" s="61" t="s">
        <v>45</v>
      </c>
      <c r="E288" s="42">
        <v>928250</v>
      </c>
      <c r="F288" s="61" t="s">
        <v>45</v>
      </c>
      <c r="G288" s="32">
        <v>1</v>
      </c>
      <c r="H288" s="54">
        <v>6</v>
      </c>
      <c r="I288" s="61" t="s">
        <v>61</v>
      </c>
      <c r="J288" s="32" t="s">
        <v>521</v>
      </c>
      <c r="K288" s="54">
        <v>99565034</v>
      </c>
      <c r="L288" s="32"/>
      <c r="M288" s="64">
        <v>0.5</v>
      </c>
    </row>
    <row r="289" spans="1:13" x14ac:dyDescent="0.2">
      <c r="A289" s="32"/>
      <c r="B289" s="67">
        <v>4086</v>
      </c>
      <c r="C289" s="61" t="s">
        <v>520</v>
      </c>
      <c r="D289" s="61" t="s">
        <v>45</v>
      </c>
      <c r="E289" s="42">
        <v>928260</v>
      </c>
      <c r="F289" s="61" t="s">
        <v>45</v>
      </c>
      <c r="G289" s="32">
        <v>1</v>
      </c>
      <c r="H289" s="54">
        <v>80.56</v>
      </c>
      <c r="I289" s="61" t="s">
        <v>61</v>
      </c>
      <c r="J289" s="32" t="s">
        <v>521</v>
      </c>
      <c r="K289" s="54">
        <v>99565037</v>
      </c>
      <c r="L289" s="32"/>
      <c r="M289" s="64">
        <v>0.6</v>
      </c>
    </row>
    <row r="290" spans="1:13" x14ac:dyDescent="0.2">
      <c r="A290" s="32"/>
      <c r="B290" s="67">
        <v>4086</v>
      </c>
      <c r="C290" s="61" t="s">
        <v>520</v>
      </c>
      <c r="D290" s="61" t="s">
        <v>45</v>
      </c>
      <c r="E290" s="42">
        <v>928270</v>
      </c>
      <c r="F290" s="61" t="s">
        <v>45</v>
      </c>
      <c r="G290" s="32">
        <v>1</v>
      </c>
      <c r="H290" s="54">
        <v>45.49</v>
      </c>
      <c r="I290" s="61" t="s">
        <v>61</v>
      </c>
      <c r="J290" s="32" t="s">
        <v>521</v>
      </c>
      <c r="K290" s="54">
        <v>99565100</v>
      </c>
      <c r="L290" s="32"/>
      <c r="M290" s="54" t="s">
        <v>523</v>
      </c>
    </row>
    <row r="291" spans="1:13" x14ac:dyDescent="0.2">
      <c r="A291" s="32"/>
      <c r="B291" s="67">
        <v>4086</v>
      </c>
      <c r="C291" s="61" t="s">
        <v>520</v>
      </c>
      <c r="D291" s="61" t="s">
        <v>45</v>
      </c>
      <c r="E291" s="42">
        <v>928280</v>
      </c>
      <c r="F291" s="61" t="s">
        <v>45</v>
      </c>
      <c r="G291" s="32">
        <v>1</v>
      </c>
      <c r="H291" s="54">
        <v>17.14</v>
      </c>
      <c r="I291" s="61" t="s">
        <v>61</v>
      </c>
      <c r="J291" s="32" t="s">
        <v>521</v>
      </c>
      <c r="K291" s="54">
        <v>99565120</v>
      </c>
      <c r="L291" s="32"/>
      <c r="M291" s="64">
        <v>0.55000000000000004</v>
      </c>
    </row>
    <row r="292" spans="1:13" x14ac:dyDescent="0.2">
      <c r="A292" s="32"/>
      <c r="B292" s="67">
        <v>4086</v>
      </c>
      <c r="C292" s="61" t="s">
        <v>520</v>
      </c>
      <c r="D292" s="61" t="s">
        <v>45</v>
      </c>
      <c r="E292" s="42">
        <v>928290</v>
      </c>
      <c r="F292" s="61" t="s">
        <v>45</v>
      </c>
      <c r="G292" s="32">
        <v>1</v>
      </c>
      <c r="H292" s="55">
        <v>11</v>
      </c>
      <c r="I292" s="61" t="s">
        <v>61</v>
      </c>
      <c r="J292" s="32" t="s">
        <v>521</v>
      </c>
      <c r="K292" s="54">
        <v>99565123</v>
      </c>
      <c r="L292" s="32"/>
      <c r="M292" s="57"/>
    </row>
    <row r="293" spans="1:13" x14ac:dyDescent="0.2">
      <c r="A293" s="32"/>
      <c r="B293" s="67">
        <v>4086</v>
      </c>
      <c r="C293" s="61" t="s">
        <v>520</v>
      </c>
      <c r="D293" s="61" t="s">
        <v>45</v>
      </c>
      <c r="E293" s="42">
        <v>798180</v>
      </c>
      <c r="F293" s="61" t="s">
        <v>45</v>
      </c>
      <c r="G293" s="32">
        <v>1</v>
      </c>
      <c r="H293" s="55">
        <v>11.14</v>
      </c>
      <c r="I293" s="61" t="s">
        <v>61</v>
      </c>
      <c r="J293" s="32" t="s">
        <v>521</v>
      </c>
      <c r="K293" s="54">
        <v>99565212</v>
      </c>
      <c r="L293" s="32"/>
      <c r="M293" s="56">
        <v>0.5</v>
      </c>
    </row>
    <row r="294" spans="1:13" x14ac:dyDescent="0.2">
      <c r="A294" s="32"/>
      <c r="B294" s="67">
        <v>4086</v>
      </c>
      <c r="C294" s="61" t="s">
        <v>520</v>
      </c>
      <c r="D294" s="61" t="s">
        <v>45</v>
      </c>
      <c r="E294" s="42">
        <v>798190</v>
      </c>
      <c r="F294" s="61" t="s">
        <v>45</v>
      </c>
      <c r="G294" s="32">
        <v>1</v>
      </c>
      <c r="H294" s="55">
        <v>11.14</v>
      </c>
      <c r="I294" s="61" t="s">
        <v>61</v>
      </c>
      <c r="J294" s="32" t="s">
        <v>521</v>
      </c>
      <c r="K294" s="54">
        <v>99565213</v>
      </c>
      <c r="L294" s="32"/>
      <c r="M294" s="56">
        <v>0.5</v>
      </c>
    </row>
    <row r="295" spans="1:13" x14ac:dyDescent="0.2">
      <c r="A295" s="32"/>
      <c r="B295" s="67">
        <v>4086</v>
      </c>
      <c r="C295" s="61" t="s">
        <v>520</v>
      </c>
      <c r="D295" s="61" t="s">
        <v>45</v>
      </c>
      <c r="E295" s="42">
        <v>918210</v>
      </c>
      <c r="F295" s="61" t="s">
        <v>45</v>
      </c>
      <c r="G295" s="32">
        <v>1</v>
      </c>
      <c r="H295" s="54">
        <v>0.15</v>
      </c>
      <c r="I295" s="61" t="s">
        <v>61</v>
      </c>
      <c r="J295" s="32" t="s">
        <v>521</v>
      </c>
      <c r="K295" s="54">
        <v>99565256</v>
      </c>
      <c r="L295" s="32"/>
      <c r="M295" s="64">
        <v>0.65</v>
      </c>
    </row>
    <row r="296" spans="1:13" x14ac:dyDescent="0.2">
      <c r="A296" s="32"/>
      <c r="B296" s="67">
        <v>4086</v>
      </c>
      <c r="C296" s="61" t="s">
        <v>520</v>
      </c>
      <c r="D296" s="61" t="s">
        <v>45</v>
      </c>
      <c r="E296" s="42">
        <v>918220</v>
      </c>
      <c r="F296" s="61" t="s">
        <v>45</v>
      </c>
      <c r="G296" s="32">
        <v>1</v>
      </c>
      <c r="H296" s="54">
        <v>0.1</v>
      </c>
      <c r="I296" s="61" t="s">
        <v>61</v>
      </c>
      <c r="J296" s="32" t="s">
        <v>521</v>
      </c>
      <c r="K296" s="54">
        <v>99565258</v>
      </c>
      <c r="L296" s="32"/>
      <c r="M296" s="64">
        <v>0.55000000000000004</v>
      </c>
    </row>
    <row r="297" spans="1:13" x14ac:dyDescent="0.2">
      <c r="A297" s="32"/>
      <c r="B297" s="67">
        <v>4086</v>
      </c>
      <c r="C297" s="61" t="s">
        <v>520</v>
      </c>
      <c r="D297" s="61" t="s">
        <v>45</v>
      </c>
      <c r="E297" s="42">
        <v>918230</v>
      </c>
      <c r="F297" s="61" t="s">
        <v>45</v>
      </c>
      <c r="G297" s="32">
        <v>1</v>
      </c>
      <c r="H297" s="54">
        <v>0.15</v>
      </c>
      <c r="I297" s="61" t="s">
        <v>61</v>
      </c>
      <c r="J297" s="32" t="s">
        <v>521</v>
      </c>
      <c r="K297" s="54">
        <v>99565259</v>
      </c>
      <c r="L297" s="32"/>
      <c r="M297" s="64">
        <v>0.55000000000000004</v>
      </c>
    </row>
    <row r="298" spans="1:13" x14ac:dyDescent="0.2">
      <c r="A298" s="32"/>
      <c r="B298" s="67">
        <v>4086</v>
      </c>
      <c r="C298" s="61" t="s">
        <v>520</v>
      </c>
      <c r="D298" s="61" t="s">
        <v>45</v>
      </c>
      <c r="E298" s="42">
        <v>918240</v>
      </c>
      <c r="F298" s="61" t="s">
        <v>45</v>
      </c>
      <c r="G298" s="32">
        <v>1</v>
      </c>
      <c r="H298" s="54">
        <v>0.3</v>
      </c>
      <c r="I298" s="61" t="s">
        <v>61</v>
      </c>
      <c r="J298" s="32" t="s">
        <v>521</v>
      </c>
      <c r="K298" s="54">
        <v>99565276</v>
      </c>
      <c r="L298" s="32"/>
      <c r="M298" s="64">
        <v>0.7</v>
      </c>
    </row>
    <row r="299" spans="1:13" x14ac:dyDescent="0.2">
      <c r="A299" s="32"/>
      <c r="B299" s="67">
        <v>4086</v>
      </c>
      <c r="C299" s="61" t="s">
        <v>520</v>
      </c>
      <c r="D299" s="61" t="s">
        <v>45</v>
      </c>
      <c r="E299" s="42">
        <v>918250</v>
      </c>
      <c r="F299" s="61" t="s">
        <v>45</v>
      </c>
      <c r="G299" s="32">
        <v>1</v>
      </c>
      <c r="H299" s="54">
        <v>0.3</v>
      </c>
      <c r="I299" s="61" t="s">
        <v>61</v>
      </c>
      <c r="J299" s="32" t="s">
        <v>521</v>
      </c>
      <c r="K299" s="54">
        <v>99565317</v>
      </c>
      <c r="L299" s="32"/>
      <c r="M299" s="64">
        <v>0.7</v>
      </c>
    </row>
    <row r="300" spans="1:13" x14ac:dyDescent="0.2">
      <c r="A300" s="32"/>
      <c r="B300" s="67">
        <v>4086</v>
      </c>
      <c r="C300" s="61" t="s">
        <v>520</v>
      </c>
      <c r="D300" s="61" t="s">
        <v>45</v>
      </c>
      <c r="E300" s="42">
        <v>928300</v>
      </c>
      <c r="F300" s="61" t="s">
        <v>45</v>
      </c>
      <c r="G300" s="32">
        <v>1</v>
      </c>
      <c r="H300" s="54">
        <v>37.74</v>
      </c>
      <c r="I300" s="61" t="s">
        <v>61</v>
      </c>
      <c r="J300" s="32" t="s">
        <v>521</v>
      </c>
      <c r="K300" s="54">
        <v>99565373</v>
      </c>
      <c r="L300" s="32"/>
      <c r="M300" s="64">
        <v>0.6</v>
      </c>
    </row>
    <row r="301" spans="1:13" x14ac:dyDescent="0.2">
      <c r="A301" s="32"/>
      <c r="B301" s="67">
        <v>4086</v>
      </c>
      <c r="C301" s="61" t="s">
        <v>520</v>
      </c>
      <c r="D301" s="61" t="s">
        <v>45</v>
      </c>
      <c r="E301" s="42">
        <v>928310</v>
      </c>
      <c r="F301" s="61" t="s">
        <v>45</v>
      </c>
      <c r="G301" s="32">
        <v>1</v>
      </c>
      <c r="H301" s="54">
        <v>85.71</v>
      </c>
      <c r="I301" s="61" t="s">
        <v>61</v>
      </c>
      <c r="J301" s="32" t="s">
        <v>521</v>
      </c>
      <c r="K301" s="54">
        <v>99565477</v>
      </c>
      <c r="L301" s="32"/>
      <c r="M301" s="64">
        <v>0.55000000000000004</v>
      </c>
    </row>
    <row r="302" spans="1:13" x14ac:dyDescent="0.2">
      <c r="A302" s="32"/>
      <c r="B302" s="67">
        <v>4086</v>
      </c>
      <c r="C302" s="61" t="s">
        <v>520</v>
      </c>
      <c r="D302" s="61" t="s">
        <v>45</v>
      </c>
      <c r="E302" s="42">
        <v>928320</v>
      </c>
      <c r="F302" s="61" t="s">
        <v>45</v>
      </c>
      <c r="G302" s="32">
        <v>1</v>
      </c>
      <c r="H302" s="54">
        <v>2.9</v>
      </c>
      <c r="I302" s="61" t="s">
        <v>61</v>
      </c>
      <c r="J302" s="32" t="s">
        <v>521</v>
      </c>
      <c r="K302" s="54">
        <v>99565554</v>
      </c>
      <c r="L302" s="32"/>
      <c r="M302" s="63"/>
    </row>
    <row r="303" spans="1:13" x14ac:dyDescent="0.2">
      <c r="A303" s="32"/>
      <c r="B303" s="67">
        <v>4086</v>
      </c>
      <c r="C303" s="61" t="s">
        <v>520</v>
      </c>
      <c r="D303" s="61" t="s">
        <v>45</v>
      </c>
      <c r="E303" s="42">
        <v>928330</v>
      </c>
      <c r="F303" s="61" t="s">
        <v>45</v>
      </c>
      <c r="G303" s="32">
        <v>1</v>
      </c>
      <c r="H303" s="55">
        <v>9.4700000000000006</v>
      </c>
      <c r="I303" s="61" t="s">
        <v>61</v>
      </c>
      <c r="J303" s="32" t="s">
        <v>521</v>
      </c>
      <c r="K303" s="54">
        <v>99565557</v>
      </c>
      <c r="L303" s="32"/>
      <c r="M303" s="56">
        <v>0.6</v>
      </c>
    </row>
    <row r="304" spans="1:13" x14ac:dyDescent="0.2">
      <c r="A304" s="32"/>
      <c r="B304" s="67">
        <v>4086</v>
      </c>
      <c r="C304" s="61" t="s">
        <v>520</v>
      </c>
      <c r="D304" s="61" t="s">
        <v>45</v>
      </c>
      <c r="E304" s="42">
        <v>928340</v>
      </c>
      <c r="F304" s="61" t="s">
        <v>45</v>
      </c>
      <c r="G304" s="32">
        <v>1</v>
      </c>
      <c r="H304" s="54">
        <v>0.68</v>
      </c>
      <c r="I304" s="61" t="s">
        <v>61</v>
      </c>
      <c r="J304" s="32" t="s">
        <v>521</v>
      </c>
      <c r="K304" s="54">
        <v>99565640</v>
      </c>
      <c r="L304" s="32"/>
      <c r="M304" s="63"/>
    </row>
    <row r="305" spans="1:13" x14ac:dyDescent="0.2">
      <c r="A305" s="32"/>
      <c r="B305" s="67">
        <v>4086</v>
      </c>
      <c r="C305" s="61" t="s">
        <v>520</v>
      </c>
      <c r="D305" s="61" t="s">
        <v>45</v>
      </c>
      <c r="E305" s="42">
        <v>918260</v>
      </c>
      <c r="F305" s="61" t="s">
        <v>45</v>
      </c>
      <c r="G305" s="32">
        <v>1</v>
      </c>
      <c r="H305" s="54">
        <v>0.45</v>
      </c>
      <c r="I305" s="61" t="s">
        <v>61</v>
      </c>
      <c r="J305" s="32" t="s">
        <v>521</v>
      </c>
      <c r="K305" s="54">
        <v>99565654</v>
      </c>
      <c r="L305" s="32"/>
      <c r="M305" s="64">
        <v>0.65</v>
      </c>
    </row>
    <row r="306" spans="1:13" x14ac:dyDescent="0.2">
      <c r="A306" s="32"/>
      <c r="B306" s="67">
        <v>4086</v>
      </c>
      <c r="C306" s="61" t="s">
        <v>520</v>
      </c>
      <c r="D306" s="61" t="s">
        <v>45</v>
      </c>
      <c r="E306" s="42">
        <v>918270</v>
      </c>
      <c r="F306" s="61" t="s">
        <v>45</v>
      </c>
      <c r="G306" s="32">
        <v>1</v>
      </c>
      <c r="H306" s="54">
        <v>0.2</v>
      </c>
      <c r="I306" s="61" t="s">
        <v>61</v>
      </c>
      <c r="J306" s="32" t="s">
        <v>521</v>
      </c>
      <c r="K306" s="54">
        <v>99565659</v>
      </c>
      <c r="L306" s="32"/>
      <c r="M306" s="64">
        <v>0.65</v>
      </c>
    </row>
    <row r="307" spans="1:13" x14ac:dyDescent="0.2">
      <c r="A307" s="32"/>
      <c r="B307" s="67">
        <v>4086</v>
      </c>
      <c r="C307" s="61" t="s">
        <v>520</v>
      </c>
      <c r="D307" s="61" t="s">
        <v>45</v>
      </c>
      <c r="E307" s="42">
        <v>918280</v>
      </c>
      <c r="F307" s="61" t="s">
        <v>45</v>
      </c>
      <c r="G307" s="32">
        <v>1</v>
      </c>
      <c r="H307" s="54">
        <v>0.72</v>
      </c>
      <c r="I307" s="61" t="s">
        <v>61</v>
      </c>
      <c r="J307" s="32" t="s">
        <v>521</v>
      </c>
      <c r="K307" s="54">
        <v>99565662</v>
      </c>
      <c r="L307" s="32"/>
      <c r="M307" s="63"/>
    </row>
    <row r="308" spans="1:13" x14ac:dyDescent="0.2">
      <c r="A308" s="32"/>
      <c r="B308" s="67">
        <v>4086</v>
      </c>
      <c r="C308" s="61" t="s">
        <v>520</v>
      </c>
      <c r="D308" s="61" t="s">
        <v>45</v>
      </c>
      <c r="E308" s="42">
        <v>798200</v>
      </c>
      <c r="F308" s="61" t="s">
        <v>45</v>
      </c>
      <c r="G308" s="32">
        <v>1</v>
      </c>
      <c r="H308" s="54">
        <v>10.29</v>
      </c>
      <c r="I308" s="61" t="s">
        <v>61</v>
      </c>
      <c r="J308" s="32" t="s">
        <v>521</v>
      </c>
      <c r="K308" s="54">
        <v>99565763</v>
      </c>
      <c r="L308" s="32"/>
      <c r="M308" s="54" t="s">
        <v>524</v>
      </c>
    </row>
    <row r="309" spans="1:13" x14ac:dyDescent="0.2">
      <c r="A309" s="32"/>
      <c r="B309" s="67">
        <v>4086</v>
      </c>
      <c r="C309" s="61" t="s">
        <v>520</v>
      </c>
      <c r="D309" s="61" t="s">
        <v>45</v>
      </c>
      <c r="E309" s="42">
        <v>928350</v>
      </c>
      <c r="F309" s="61" t="s">
        <v>45</v>
      </c>
      <c r="G309" s="32">
        <v>1</v>
      </c>
      <c r="H309" s="54">
        <v>127.54</v>
      </c>
      <c r="I309" s="61" t="s">
        <v>61</v>
      </c>
      <c r="J309" s="32" t="s">
        <v>521</v>
      </c>
      <c r="K309" s="54">
        <v>99565986</v>
      </c>
      <c r="L309" s="32"/>
      <c r="M309" s="64">
        <v>0.6</v>
      </c>
    </row>
    <row r="310" spans="1:13" x14ac:dyDescent="0.2">
      <c r="A310" s="32"/>
      <c r="B310" s="67">
        <v>4086</v>
      </c>
      <c r="C310" s="61" t="s">
        <v>520</v>
      </c>
      <c r="D310" s="61" t="s">
        <v>45</v>
      </c>
      <c r="E310" s="42">
        <v>928360</v>
      </c>
      <c r="F310" s="61" t="s">
        <v>45</v>
      </c>
      <c r="G310" s="32">
        <v>1</v>
      </c>
      <c r="H310" s="54">
        <v>32.5</v>
      </c>
      <c r="I310" s="61" t="s">
        <v>61</v>
      </c>
      <c r="J310" s="32" t="s">
        <v>521</v>
      </c>
      <c r="K310" s="54">
        <v>99565992</v>
      </c>
      <c r="L310" s="32"/>
      <c r="M310" s="64">
        <v>0.47</v>
      </c>
    </row>
    <row r="311" spans="1:13" x14ac:dyDescent="0.2">
      <c r="A311" s="32"/>
      <c r="B311" s="67">
        <v>4086</v>
      </c>
      <c r="C311" s="61" t="s">
        <v>520</v>
      </c>
      <c r="D311" s="61" t="s">
        <v>45</v>
      </c>
      <c r="E311" s="42">
        <v>928370</v>
      </c>
      <c r="F311" s="61" t="s">
        <v>45</v>
      </c>
      <c r="G311" s="32">
        <v>1</v>
      </c>
      <c r="H311" s="54">
        <v>35</v>
      </c>
      <c r="I311" s="61" t="s">
        <v>61</v>
      </c>
      <c r="J311" s="32" t="s">
        <v>521</v>
      </c>
      <c r="K311" s="54">
        <v>99566002</v>
      </c>
      <c r="L311" s="32"/>
      <c r="M311" s="63"/>
    </row>
    <row r="312" spans="1:13" x14ac:dyDescent="0.2">
      <c r="A312" s="32"/>
      <c r="B312" s="67">
        <v>4086</v>
      </c>
      <c r="C312" s="61" t="s">
        <v>520</v>
      </c>
      <c r="D312" s="61" t="s">
        <v>45</v>
      </c>
      <c r="E312" s="42">
        <v>928380</v>
      </c>
      <c r="F312" s="61" t="s">
        <v>45</v>
      </c>
      <c r="G312" s="32">
        <v>1</v>
      </c>
      <c r="H312" s="54">
        <v>37</v>
      </c>
      <c r="I312" s="61" t="s">
        <v>61</v>
      </c>
      <c r="J312" s="32" t="s">
        <v>521</v>
      </c>
      <c r="K312" s="54">
        <v>99566004</v>
      </c>
      <c r="L312" s="32"/>
      <c r="M312" s="63"/>
    </row>
    <row r="313" spans="1:13" x14ac:dyDescent="0.2">
      <c r="A313" s="32"/>
      <c r="B313" s="67">
        <v>4086</v>
      </c>
      <c r="C313" s="61" t="s">
        <v>520</v>
      </c>
      <c r="D313" s="61" t="s">
        <v>45</v>
      </c>
      <c r="E313" s="42">
        <v>928390</v>
      </c>
      <c r="F313" s="61" t="s">
        <v>45</v>
      </c>
      <c r="G313" s="32">
        <v>1</v>
      </c>
      <c r="H313" s="54">
        <v>190</v>
      </c>
      <c r="I313" s="61" t="s">
        <v>61</v>
      </c>
      <c r="J313" s="32" t="s">
        <v>521</v>
      </c>
      <c r="K313" s="54">
        <v>99585112</v>
      </c>
      <c r="L313" s="32"/>
      <c r="M313" s="63"/>
    </row>
    <row r="314" spans="1:13" x14ac:dyDescent="0.2">
      <c r="A314" s="32"/>
      <c r="B314" s="67">
        <v>4086</v>
      </c>
      <c r="C314" s="61" t="s">
        <v>520</v>
      </c>
      <c r="D314" s="61" t="s">
        <v>45</v>
      </c>
      <c r="E314" s="42">
        <v>928400</v>
      </c>
      <c r="F314" s="61" t="s">
        <v>45</v>
      </c>
      <c r="G314" s="32">
        <v>1</v>
      </c>
      <c r="H314" s="54">
        <v>220</v>
      </c>
      <c r="I314" s="61" t="s">
        <v>61</v>
      </c>
      <c r="J314" s="32" t="s">
        <v>521</v>
      </c>
      <c r="K314" s="54">
        <v>99585114</v>
      </c>
      <c r="L314" s="32"/>
      <c r="M314" s="63"/>
    </row>
    <row r="315" spans="1:13" x14ac:dyDescent="0.2">
      <c r="A315" s="32"/>
      <c r="B315" s="67">
        <v>4086</v>
      </c>
      <c r="C315" s="61" t="s">
        <v>520</v>
      </c>
      <c r="D315" s="61" t="s">
        <v>45</v>
      </c>
      <c r="E315" s="42">
        <v>928410</v>
      </c>
      <c r="F315" s="61" t="s">
        <v>45</v>
      </c>
      <c r="G315" s="32">
        <v>1</v>
      </c>
      <c r="H315" s="54">
        <v>33.71</v>
      </c>
      <c r="I315" s="61" t="s">
        <v>61</v>
      </c>
      <c r="J315" s="32" t="s">
        <v>521</v>
      </c>
      <c r="K315" s="54">
        <v>99597006</v>
      </c>
      <c r="L315" s="32"/>
      <c r="M315" s="64">
        <v>0.6</v>
      </c>
    </row>
    <row r="316" spans="1:13" x14ac:dyDescent="0.2">
      <c r="A316" s="32"/>
      <c r="B316" s="67">
        <v>4086</v>
      </c>
      <c r="C316" s="61" t="s">
        <v>520</v>
      </c>
      <c r="D316" s="61" t="s">
        <v>45</v>
      </c>
      <c r="E316" s="42">
        <v>228240</v>
      </c>
      <c r="F316" s="61" t="s">
        <v>45</v>
      </c>
      <c r="G316" s="32">
        <v>1</v>
      </c>
      <c r="H316" s="54">
        <v>3.8</v>
      </c>
      <c r="I316" s="61" t="s">
        <v>61</v>
      </c>
      <c r="J316" s="32" t="s">
        <v>521</v>
      </c>
      <c r="K316" s="54">
        <v>99761102</v>
      </c>
      <c r="L316" s="32"/>
      <c r="M316" s="63"/>
    </row>
    <row r="317" spans="1:13" x14ac:dyDescent="0.2">
      <c r="A317" s="32"/>
      <c r="B317" s="67">
        <v>4086</v>
      </c>
      <c r="C317" s="61" t="s">
        <v>520</v>
      </c>
      <c r="D317" s="61" t="s">
        <v>45</v>
      </c>
      <c r="E317" s="42">
        <v>228250</v>
      </c>
      <c r="F317" s="61" t="s">
        <v>45</v>
      </c>
      <c r="G317" s="32">
        <v>1</v>
      </c>
      <c r="H317" s="54">
        <v>13.13</v>
      </c>
      <c r="I317" s="61" t="s">
        <v>61</v>
      </c>
      <c r="J317" s="32" t="s">
        <v>521</v>
      </c>
      <c r="K317" s="54">
        <v>99761104</v>
      </c>
      <c r="L317" s="32"/>
      <c r="M317" s="64">
        <v>0.6</v>
      </c>
    </row>
    <row r="318" spans="1:13" x14ac:dyDescent="0.2">
      <c r="A318" s="32"/>
      <c r="B318" s="67">
        <v>4086</v>
      </c>
      <c r="C318" s="61" t="s">
        <v>520</v>
      </c>
      <c r="D318" s="61" t="s">
        <v>45</v>
      </c>
      <c r="E318" s="42">
        <v>228260</v>
      </c>
      <c r="F318" s="61" t="s">
        <v>45</v>
      </c>
      <c r="G318" s="32">
        <v>1</v>
      </c>
      <c r="H318" s="54">
        <v>17</v>
      </c>
      <c r="I318" s="61" t="s">
        <v>61</v>
      </c>
      <c r="J318" s="32" t="s">
        <v>521</v>
      </c>
      <c r="K318" s="54">
        <v>99761106</v>
      </c>
      <c r="L318" s="32"/>
      <c r="M318" s="63"/>
    </row>
    <row r="319" spans="1:13" x14ac:dyDescent="0.2">
      <c r="A319" s="32"/>
      <c r="B319" s="67">
        <v>4086</v>
      </c>
      <c r="C319" s="61" t="s">
        <v>520</v>
      </c>
      <c r="D319" s="61" t="s">
        <v>45</v>
      </c>
      <c r="E319" s="42">
        <v>228270</v>
      </c>
      <c r="F319" s="61" t="s">
        <v>45</v>
      </c>
      <c r="G319" s="32">
        <v>1</v>
      </c>
      <c r="H319" s="54">
        <v>50</v>
      </c>
      <c r="I319" s="61" t="s">
        <v>61</v>
      </c>
      <c r="J319" s="32" t="s">
        <v>521</v>
      </c>
      <c r="K319" s="54">
        <v>99761113</v>
      </c>
      <c r="L319" s="32"/>
      <c r="M319" s="64">
        <v>0.56000000000000005</v>
      </c>
    </row>
    <row r="320" spans="1:13" x14ac:dyDescent="0.2">
      <c r="A320" s="32"/>
      <c r="B320" s="67">
        <v>4086</v>
      </c>
      <c r="C320" s="61" t="s">
        <v>520</v>
      </c>
      <c r="D320" s="61" t="s">
        <v>45</v>
      </c>
      <c r="E320" s="42">
        <v>228280</v>
      </c>
      <c r="F320" s="61" t="s">
        <v>45</v>
      </c>
      <c r="G320" s="32">
        <v>1</v>
      </c>
      <c r="H320" s="54">
        <v>32.89</v>
      </c>
      <c r="I320" s="61" t="s">
        <v>61</v>
      </c>
      <c r="J320" s="32" t="s">
        <v>521</v>
      </c>
      <c r="K320" s="54">
        <v>99761114</v>
      </c>
      <c r="L320" s="32"/>
      <c r="M320" s="64">
        <v>0.55000000000000004</v>
      </c>
    </row>
    <row r="321" spans="1:13" x14ac:dyDescent="0.2">
      <c r="A321" s="32"/>
      <c r="B321" s="67">
        <v>4086</v>
      </c>
      <c r="C321" s="61" t="s">
        <v>520</v>
      </c>
      <c r="D321" s="61" t="s">
        <v>45</v>
      </c>
      <c r="E321" s="42">
        <v>228290</v>
      </c>
      <c r="F321" s="61" t="s">
        <v>45</v>
      </c>
      <c r="G321" s="32">
        <v>1</v>
      </c>
      <c r="H321" s="54">
        <v>107</v>
      </c>
      <c r="I321" s="61" t="s">
        <v>61</v>
      </c>
      <c r="J321" s="32" t="s">
        <v>521</v>
      </c>
      <c r="K321" s="54">
        <v>99761424</v>
      </c>
      <c r="L321" s="32"/>
      <c r="M321" s="63"/>
    </row>
    <row r="322" spans="1:13" x14ac:dyDescent="0.2">
      <c r="A322" s="32"/>
      <c r="B322" s="67">
        <v>4086</v>
      </c>
      <c r="C322" s="61" t="s">
        <v>520</v>
      </c>
      <c r="D322" s="61" t="s">
        <v>45</v>
      </c>
      <c r="E322" s="42">
        <v>618150</v>
      </c>
      <c r="F322" s="61" t="s">
        <v>45</v>
      </c>
      <c r="G322" s="32">
        <v>1</v>
      </c>
      <c r="H322" s="54">
        <v>77</v>
      </c>
      <c r="I322" s="61" t="s">
        <v>61</v>
      </c>
      <c r="J322" s="32" t="s">
        <v>521</v>
      </c>
      <c r="K322" s="54">
        <v>99761506</v>
      </c>
      <c r="L322" s="32"/>
      <c r="M322" s="63"/>
    </row>
    <row r="323" spans="1:13" x14ac:dyDescent="0.2">
      <c r="A323" s="32"/>
      <c r="B323" s="67">
        <v>4086</v>
      </c>
      <c r="C323" s="61" t="s">
        <v>520</v>
      </c>
      <c r="D323" s="61" t="s">
        <v>45</v>
      </c>
      <c r="E323" s="42">
        <v>618160</v>
      </c>
      <c r="F323" s="61" t="s">
        <v>45</v>
      </c>
      <c r="G323" s="32">
        <v>1</v>
      </c>
      <c r="H323" s="54">
        <v>81</v>
      </c>
      <c r="I323" s="61" t="s">
        <v>61</v>
      </c>
      <c r="J323" s="32" t="s">
        <v>521</v>
      </c>
      <c r="K323" s="54">
        <v>99761512</v>
      </c>
      <c r="L323" s="32"/>
      <c r="M323" s="63"/>
    </row>
    <row r="324" spans="1:13" x14ac:dyDescent="0.2">
      <c r="A324" s="32"/>
      <c r="B324" s="67">
        <v>4086</v>
      </c>
      <c r="C324" s="61" t="s">
        <v>520</v>
      </c>
      <c r="D324" s="61" t="s">
        <v>45</v>
      </c>
      <c r="E324" s="42">
        <v>618170</v>
      </c>
      <c r="F324" s="61" t="s">
        <v>45</v>
      </c>
      <c r="G324" s="32">
        <v>1</v>
      </c>
      <c r="H324" s="54">
        <v>203</v>
      </c>
      <c r="I324" s="61" t="s">
        <v>61</v>
      </c>
      <c r="J324" s="32" t="s">
        <v>521</v>
      </c>
      <c r="K324" s="54">
        <v>99761528</v>
      </c>
      <c r="L324" s="32"/>
      <c r="M324" s="63"/>
    </row>
    <row r="325" spans="1:13" x14ac:dyDescent="0.2">
      <c r="A325" s="32"/>
      <c r="B325" s="67">
        <v>4086</v>
      </c>
      <c r="C325" s="61" t="s">
        <v>520</v>
      </c>
      <c r="D325" s="61" t="s">
        <v>45</v>
      </c>
      <c r="E325" s="42">
        <v>618180</v>
      </c>
      <c r="F325" s="61" t="s">
        <v>45</v>
      </c>
      <c r="G325" s="32">
        <v>1</v>
      </c>
      <c r="H325" s="55">
        <v>59</v>
      </c>
      <c r="I325" s="61" t="s">
        <v>61</v>
      </c>
      <c r="J325" s="32" t="s">
        <v>521</v>
      </c>
      <c r="K325" s="54">
        <v>99761550</v>
      </c>
      <c r="L325" s="32"/>
      <c r="M325" s="57"/>
    </row>
    <row r="326" spans="1:13" x14ac:dyDescent="0.2">
      <c r="A326" s="32"/>
      <c r="B326" s="67">
        <v>4086</v>
      </c>
      <c r="C326" s="61" t="s">
        <v>520</v>
      </c>
      <c r="D326" s="61" t="s">
        <v>45</v>
      </c>
      <c r="E326" s="42">
        <v>708370</v>
      </c>
      <c r="F326" s="61" t="s">
        <v>45</v>
      </c>
      <c r="G326" s="32">
        <v>1</v>
      </c>
      <c r="H326" s="54">
        <v>11.5</v>
      </c>
      <c r="I326" s="61" t="s">
        <v>61</v>
      </c>
      <c r="J326" s="32" t="s">
        <v>521</v>
      </c>
      <c r="K326" s="54">
        <v>99761700</v>
      </c>
      <c r="L326" s="32"/>
      <c r="M326" s="63"/>
    </row>
    <row r="327" spans="1:13" x14ac:dyDescent="0.2">
      <c r="A327" s="32"/>
      <c r="B327" s="67">
        <v>4086</v>
      </c>
      <c r="C327" s="61" t="s">
        <v>520</v>
      </c>
      <c r="D327" s="61" t="s">
        <v>45</v>
      </c>
      <c r="E327" s="42">
        <v>798210</v>
      </c>
      <c r="F327" s="61" t="s">
        <v>45</v>
      </c>
      <c r="G327" s="32">
        <v>1</v>
      </c>
      <c r="H327" s="54">
        <v>29.5</v>
      </c>
      <c r="I327" s="61" t="s">
        <v>61</v>
      </c>
      <c r="J327" s="32" t="s">
        <v>521</v>
      </c>
      <c r="K327" s="54">
        <v>99850038</v>
      </c>
      <c r="L327" s="32"/>
      <c r="M327" s="63"/>
    </row>
    <row r="328" spans="1:13" x14ac:dyDescent="0.2">
      <c r="A328" s="32"/>
      <c r="B328" s="67">
        <v>4086</v>
      </c>
      <c r="C328" s="61" t="s">
        <v>520</v>
      </c>
      <c r="D328" s="61" t="s">
        <v>45</v>
      </c>
      <c r="E328" s="42">
        <v>708380</v>
      </c>
      <c r="F328" s="61" t="s">
        <v>45</v>
      </c>
      <c r="G328" s="32">
        <v>1</v>
      </c>
      <c r="H328" s="54">
        <v>29.5</v>
      </c>
      <c r="I328" s="61" t="s">
        <v>61</v>
      </c>
      <c r="J328" s="32" t="s">
        <v>521</v>
      </c>
      <c r="K328" s="54">
        <v>99890004</v>
      </c>
      <c r="L328" s="32"/>
      <c r="M328" s="63"/>
    </row>
    <row r="329" spans="1:13" x14ac:dyDescent="0.2">
      <c r="A329" s="32"/>
      <c r="B329" s="67">
        <v>4086</v>
      </c>
      <c r="C329" s="61" t="s">
        <v>520</v>
      </c>
      <c r="D329" s="61" t="s">
        <v>45</v>
      </c>
      <c r="E329" s="42">
        <v>708390</v>
      </c>
      <c r="F329" s="61" t="s">
        <v>45</v>
      </c>
      <c r="G329" s="32">
        <v>1</v>
      </c>
      <c r="H329" s="54">
        <v>34</v>
      </c>
      <c r="I329" s="61" t="s">
        <v>61</v>
      </c>
      <c r="J329" s="32" t="s">
        <v>521</v>
      </c>
      <c r="K329" s="54">
        <v>99890008</v>
      </c>
      <c r="L329" s="32"/>
      <c r="M329" s="63"/>
    </row>
    <row r="330" spans="1:13" x14ac:dyDescent="0.2">
      <c r="A330" s="32"/>
      <c r="B330" s="67">
        <v>4086</v>
      </c>
      <c r="C330" s="61" t="s">
        <v>520</v>
      </c>
      <c r="D330" s="61" t="s">
        <v>45</v>
      </c>
      <c r="E330" s="42">
        <v>708400</v>
      </c>
      <c r="F330" s="61" t="s">
        <v>45</v>
      </c>
      <c r="G330" s="32">
        <v>1</v>
      </c>
      <c r="H330" s="54">
        <v>3.9</v>
      </c>
      <c r="I330" s="61" t="s">
        <v>61</v>
      </c>
      <c r="J330" s="32" t="s">
        <v>521</v>
      </c>
      <c r="K330" s="54">
        <v>99890118</v>
      </c>
      <c r="L330" s="32"/>
      <c r="M330" s="63"/>
    </row>
    <row r="331" spans="1:13" x14ac:dyDescent="0.2">
      <c r="A331" s="32"/>
      <c r="B331" s="67">
        <v>4086</v>
      </c>
      <c r="C331" s="61" t="s">
        <v>520</v>
      </c>
      <c r="D331" s="61" t="s">
        <v>45</v>
      </c>
      <c r="E331" s="42">
        <v>708410</v>
      </c>
      <c r="F331" s="61" t="s">
        <v>45</v>
      </c>
      <c r="G331" s="32">
        <v>1</v>
      </c>
      <c r="H331" s="54">
        <v>16</v>
      </c>
      <c r="I331" s="61" t="s">
        <v>61</v>
      </c>
      <c r="J331" s="32" t="s">
        <v>521</v>
      </c>
      <c r="K331" s="54">
        <v>99890120</v>
      </c>
      <c r="L331" s="32"/>
      <c r="M331" s="63"/>
    </row>
    <row r="332" spans="1:13" x14ac:dyDescent="0.2">
      <c r="A332" s="32"/>
      <c r="B332" s="67">
        <v>4086</v>
      </c>
      <c r="C332" s="61" t="s">
        <v>520</v>
      </c>
      <c r="D332" s="61" t="s">
        <v>45</v>
      </c>
      <c r="E332" s="42">
        <v>708420</v>
      </c>
      <c r="F332" s="61" t="s">
        <v>45</v>
      </c>
      <c r="G332" s="32">
        <v>1</v>
      </c>
      <c r="H332" s="54">
        <v>19.45</v>
      </c>
      <c r="I332" s="61" t="s">
        <v>61</v>
      </c>
      <c r="J332" s="32" t="s">
        <v>521</v>
      </c>
      <c r="K332" s="54">
        <v>99890130</v>
      </c>
      <c r="L332" s="32"/>
      <c r="M332" s="63"/>
    </row>
    <row r="333" spans="1:13" x14ac:dyDescent="0.2">
      <c r="A333" s="32"/>
      <c r="B333" s="67">
        <v>4086</v>
      </c>
      <c r="C333" s="61" t="s">
        <v>520</v>
      </c>
      <c r="D333" s="61" t="s">
        <v>45</v>
      </c>
      <c r="E333" s="42">
        <v>378160</v>
      </c>
      <c r="F333" s="61" t="s">
        <v>45</v>
      </c>
      <c r="G333" s="32">
        <v>1</v>
      </c>
      <c r="H333" s="54">
        <v>0.57999999999999996</v>
      </c>
      <c r="I333" s="61" t="s">
        <v>61</v>
      </c>
      <c r="J333" s="32" t="s">
        <v>521</v>
      </c>
      <c r="K333" s="54">
        <v>99911009</v>
      </c>
      <c r="L333" s="32"/>
      <c r="M333" s="63"/>
    </row>
    <row r="334" spans="1:13" x14ac:dyDescent="0.2">
      <c r="A334" s="32"/>
      <c r="B334" s="67">
        <v>4086</v>
      </c>
      <c r="C334" s="61" t="s">
        <v>520</v>
      </c>
      <c r="D334" s="61" t="s">
        <v>45</v>
      </c>
      <c r="E334" s="42">
        <v>628130</v>
      </c>
      <c r="F334" s="61" t="s">
        <v>45</v>
      </c>
      <c r="G334" s="32">
        <v>1</v>
      </c>
      <c r="H334" s="54">
        <v>4.5</v>
      </c>
      <c r="I334" s="61" t="s">
        <v>61</v>
      </c>
      <c r="J334" s="32" t="s">
        <v>521</v>
      </c>
      <c r="K334" s="54">
        <v>461203925</v>
      </c>
      <c r="L334" s="32"/>
      <c r="M334" s="63"/>
    </row>
    <row r="335" spans="1:13" x14ac:dyDescent="0.2">
      <c r="A335" s="32"/>
      <c r="B335" s="67">
        <v>4086</v>
      </c>
      <c r="C335" s="61" t="s">
        <v>520</v>
      </c>
      <c r="D335" s="61" t="s">
        <v>45</v>
      </c>
      <c r="E335" s="42">
        <v>438230</v>
      </c>
      <c r="F335" s="61" t="s">
        <v>45</v>
      </c>
      <c r="G335" s="32">
        <v>1</v>
      </c>
      <c r="H335" s="54">
        <v>1</v>
      </c>
      <c r="I335" s="61" t="s">
        <v>61</v>
      </c>
      <c r="J335" s="32" t="s">
        <v>521</v>
      </c>
      <c r="K335" s="54">
        <v>495132786</v>
      </c>
      <c r="L335" s="32"/>
      <c r="M335" s="64">
        <v>0.65</v>
      </c>
    </row>
    <row r="336" spans="1:13" x14ac:dyDescent="0.2">
      <c r="A336" s="32"/>
      <c r="B336" s="67">
        <v>4086</v>
      </c>
      <c r="C336" s="61" t="s">
        <v>520</v>
      </c>
      <c r="D336" s="61" t="s">
        <v>45</v>
      </c>
      <c r="E336" s="42">
        <v>438240</v>
      </c>
      <c r="F336" s="61" t="s">
        <v>45</v>
      </c>
      <c r="G336" s="32">
        <v>1</v>
      </c>
      <c r="H336" s="54">
        <v>0.54</v>
      </c>
      <c r="I336" s="61" t="s">
        <v>61</v>
      </c>
      <c r="J336" s="32" t="s">
        <v>521</v>
      </c>
      <c r="K336" s="54">
        <v>495132789</v>
      </c>
      <c r="L336" s="32"/>
      <c r="M336" s="63"/>
    </row>
    <row r="337" spans="1:13" x14ac:dyDescent="0.2">
      <c r="A337" s="32"/>
      <c r="B337" s="67">
        <v>4086</v>
      </c>
      <c r="C337" s="61" t="s">
        <v>520</v>
      </c>
      <c r="D337" s="61" t="s">
        <v>45</v>
      </c>
      <c r="E337" s="42">
        <v>438250</v>
      </c>
      <c r="F337" s="61" t="s">
        <v>45</v>
      </c>
      <c r="G337" s="32">
        <v>1</v>
      </c>
      <c r="H337" s="54">
        <v>0.68</v>
      </c>
      <c r="I337" s="61" t="s">
        <v>61</v>
      </c>
      <c r="J337" s="32" t="s">
        <v>521</v>
      </c>
      <c r="K337" s="54">
        <v>495132790</v>
      </c>
      <c r="L337" s="32"/>
      <c r="M337" s="63"/>
    </row>
    <row r="338" spans="1:13" x14ac:dyDescent="0.2">
      <c r="A338" s="32"/>
      <c r="B338" s="67">
        <v>4086</v>
      </c>
      <c r="C338" s="61" t="s">
        <v>520</v>
      </c>
      <c r="D338" s="61" t="s">
        <v>45</v>
      </c>
      <c r="E338" s="42">
        <v>928420</v>
      </c>
      <c r="F338" s="61" t="s">
        <v>45</v>
      </c>
      <c r="G338" s="32">
        <v>1</v>
      </c>
      <c r="H338" s="54">
        <v>8.3000000000000007</v>
      </c>
      <c r="I338" s="61" t="s">
        <v>61</v>
      </c>
      <c r="J338" s="32" t="s">
        <v>521</v>
      </c>
      <c r="K338" s="54">
        <v>495133006</v>
      </c>
      <c r="L338" s="32"/>
      <c r="M338" s="64">
        <v>0.6</v>
      </c>
    </row>
    <row r="339" spans="1:13" x14ac:dyDescent="0.2">
      <c r="A339" s="32"/>
      <c r="B339" s="67">
        <v>4086</v>
      </c>
      <c r="C339" s="61" t="s">
        <v>520</v>
      </c>
      <c r="D339" s="61" t="s">
        <v>45</v>
      </c>
      <c r="E339" s="42">
        <v>928430</v>
      </c>
      <c r="F339" s="61" t="s">
        <v>45</v>
      </c>
      <c r="G339" s="32">
        <v>1</v>
      </c>
      <c r="H339" s="54">
        <v>11.7</v>
      </c>
      <c r="I339" s="61" t="s">
        <v>61</v>
      </c>
      <c r="J339" s="32" t="s">
        <v>521</v>
      </c>
      <c r="K339" s="54">
        <v>495133009</v>
      </c>
      <c r="L339" s="32"/>
      <c r="M339" s="64">
        <v>0.5</v>
      </c>
    </row>
    <row r="340" spans="1:13" x14ac:dyDescent="0.2">
      <c r="A340" s="32"/>
      <c r="B340" s="67">
        <v>4086</v>
      </c>
      <c r="C340" s="61" t="s">
        <v>520</v>
      </c>
      <c r="D340" s="61" t="s">
        <v>45</v>
      </c>
      <c r="E340" s="42">
        <v>708430</v>
      </c>
      <c r="F340" s="61" t="s">
        <v>45</v>
      </c>
      <c r="G340" s="32">
        <v>1</v>
      </c>
      <c r="H340" s="54">
        <v>17.8</v>
      </c>
      <c r="I340" s="61" t="s">
        <v>61</v>
      </c>
      <c r="J340" s="32" t="s">
        <v>521</v>
      </c>
      <c r="K340" s="54">
        <v>695220102</v>
      </c>
      <c r="L340" s="32"/>
      <c r="M340" s="64">
        <v>0.55000000000000004</v>
      </c>
    </row>
    <row r="341" spans="1:13" x14ac:dyDescent="0.2">
      <c r="A341" s="32"/>
      <c r="B341" s="67">
        <v>4086</v>
      </c>
      <c r="C341" s="61" t="s">
        <v>520</v>
      </c>
      <c r="D341" s="61" t="s">
        <v>45</v>
      </c>
      <c r="E341" s="42">
        <v>708440</v>
      </c>
      <c r="F341" s="61" t="s">
        <v>45</v>
      </c>
      <c r="G341" s="32">
        <v>1</v>
      </c>
      <c r="H341" s="54">
        <v>14.4</v>
      </c>
      <c r="I341" s="61" t="s">
        <v>61</v>
      </c>
      <c r="J341" s="32" t="s">
        <v>521</v>
      </c>
      <c r="K341" s="54">
        <v>695220501</v>
      </c>
      <c r="L341" s="32"/>
      <c r="M341" s="64">
        <v>0.55000000000000004</v>
      </c>
    </row>
    <row r="342" spans="1:13" x14ac:dyDescent="0.2">
      <c r="A342" s="32"/>
      <c r="B342" s="67">
        <v>4086</v>
      </c>
      <c r="C342" s="61" t="s">
        <v>520</v>
      </c>
      <c r="D342" s="61" t="s">
        <v>45</v>
      </c>
      <c r="E342" s="42">
        <v>708450</v>
      </c>
      <c r="F342" s="61" t="s">
        <v>45</v>
      </c>
      <c r="G342" s="32">
        <v>1</v>
      </c>
      <c r="H342" s="54">
        <v>4.4000000000000004</v>
      </c>
      <c r="I342" s="61" t="s">
        <v>61</v>
      </c>
      <c r="J342" s="32" t="s">
        <v>521</v>
      </c>
      <c r="K342" s="54">
        <v>695220521</v>
      </c>
      <c r="L342" s="32"/>
      <c r="M342" s="63"/>
    </row>
    <row r="343" spans="1:13" x14ac:dyDescent="0.2">
      <c r="A343" s="32"/>
      <c r="B343" s="67">
        <v>4086</v>
      </c>
      <c r="C343" s="61" t="s">
        <v>520</v>
      </c>
      <c r="D343" s="61" t="s">
        <v>45</v>
      </c>
      <c r="E343" s="42">
        <v>708460</v>
      </c>
      <c r="F343" s="61" t="s">
        <v>45</v>
      </c>
      <c r="G343" s="32">
        <v>1</v>
      </c>
      <c r="H343" s="54">
        <v>9.1999999999999993</v>
      </c>
      <c r="I343" s="61" t="s">
        <v>61</v>
      </c>
      <c r="J343" s="32" t="s">
        <v>521</v>
      </c>
      <c r="K343" s="54">
        <v>695220611</v>
      </c>
      <c r="L343" s="32"/>
      <c r="M343" s="63"/>
    </row>
    <row r="344" spans="1:13" x14ac:dyDescent="0.2">
      <c r="A344" s="32"/>
      <c r="B344" s="67">
        <v>4086</v>
      </c>
      <c r="C344" s="61" t="s">
        <v>520</v>
      </c>
      <c r="D344" s="61" t="s">
        <v>45</v>
      </c>
      <c r="E344" s="42">
        <v>708470</v>
      </c>
      <c r="F344" s="61" t="s">
        <v>45</v>
      </c>
      <c r="G344" s="32">
        <v>1</v>
      </c>
      <c r="H344" s="54">
        <v>19.100000000000001</v>
      </c>
      <c r="I344" s="61" t="s">
        <v>61</v>
      </c>
      <c r="J344" s="32" t="s">
        <v>521</v>
      </c>
      <c r="K344" s="54">
        <v>695220621</v>
      </c>
      <c r="L344" s="32"/>
      <c r="M344" s="64">
        <v>0.55000000000000004</v>
      </c>
    </row>
    <row r="345" spans="1:13" x14ac:dyDescent="0.2">
      <c r="A345" s="32"/>
      <c r="B345" s="67">
        <v>4086</v>
      </c>
      <c r="C345" s="61" t="s">
        <v>520</v>
      </c>
      <c r="D345" s="61" t="s">
        <v>45</v>
      </c>
      <c r="E345" s="42">
        <v>708480</v>
      </c>
      <c r="F345" s="61" t="s">
        <v>45</v>
      </c>
      <c r="G345" s="32">
        <v>1</v>
      </c>
      <c r="H345" s="54">
        <v>47</v>
      </c>
      <c r="I345" s="61" t="s">
        <v>61</v>
      </c>
      <c r="J345" s="32" t="s">
        <v>521</v>
      </c>
      <c r="K345" s="54">
        <v>695260006</v>
      </c>
      <c r="L345" s="32"/>
      <c r="M345" s="64">
        <v>0.5</v>
      </c>
    </row>
    <row r="346" spans="1:13" x14ac:dyDescent="0.2">
      <c r="A346" s="32"/>
      <c r="B346" s="67">
        <v>4086</v>
      </c>
      <c r="C346" s="61" t="s">
        <v>520</v>
      </c>
      <c r="D346" s="61" t="s">
        <v>45</v>
      </c>
      <c r="E346" s="42">
        <v>708490</v>
      </c>
      <c r="F346" s="61" t="s">
        <v>45</v>
      </c>
      <c r="G346" s="32">
        <v>1</v>
      </c>
      <c r="H346" s="54">
        <v>26.2</v>
      </c>
      <c r="I346" s="61" t="s">
        <v>61</v>
      </c>
      <c r="J346" s="32" t="s">
        <v>521</v>
      </c>
      <c r="K346" s="54">
        <v>695269001</v>
      </c>
      <c r="L346" s="32"/>
      <c r="M346" s="64">
        <v>0.5</v>
      </c>
    </row>
    <row r="347" spans="1:13" x14ac:dyDescent="0.2">
      <c r="A347" s="32"/>
      <c r="B347" s="67">
        <v>4086</v>
      </c>
      <c r="C347" s="61" t="s">
        <v>520</v>
      </c>
      <c r="D347" s="61" t="s">
        <v>45</v>
      </c>
      <c r="E347" s="42">
        <v>708500</v>
      </c>
      <c r="F347" s="61" t="s">
        <v>45</v>
      </c>
      <c r="G347" s="32">
        <v>1</v>
      </c>
      <c r="H347" s="54">
        <v>5.4</v>
      </c>
      <c r="I347" s="61" t="s">
        <v>61</v>
      </c>
      <c r="J347" s="32" t="s">
        <v>521</v>
      </c>
      <c r="K347" s="54">
        <v>695269008</v>
      </c>
      <c r="L347" s="32"/>
      <c r="M347" s="64">
        <v>0.5</v>
      </c>
    </row>
    <row r="348" spans="1:13" x14ac:dyDescent="0.2">
      <c r="A348" s="32"/>
      <c r="B348" s="67">
        <v>4086</v>
      </c>
      <c r="C348" s="61" t="s">
        <v>520</v>
      </c>
      <c r="D348" s="61" t="s">
        <v>45</v>
      </c>
      <c r="E348" s="42">
        <v>708510</v>
      </c>
      <c r="F348" s="61" t="s">
        <v>45</v>
      </c>
      <c r="G348" s="32">
        <v>1</v>
      </c>
      <c r="H348" s="54">
        <v>54</v>
      </c>
      <c r="I348" s="61" t="s">
        <v>61</v>
      </c>
      <c r="J348" s="32" t="s">
        <v>521</v>
      </c>
      <c r="K348" s="54">
        <v>695269009</v>
      </c>
      <c r="L348" s="32"/>
      <c r="M348" s="64">
        <v>0.5</v>
      </c>
    </row>
    <row r="349" spans="1:13" x14ac:dyDescent="0.2">
      <c r="A349" s="32"/>
      <c r="B349" s="67">
        <v>4086</v>
      </c>
      <c r="C349" s="61" t="s">
        <v>520</v>
      </c>
      <c r="D349" s="61" t="s">
        <v>45</v>
      </c>
      <c r="E349" s="42">
        <v>708520</v>
      </c>
      <c r="F349" s="61" t="s">
        <v>45</v>
      </c>
      <c r="G349" s="32">
        <v>1</v>
      </c>
      <c r="H349" s="54">
        <v>30.9</v>
      </c>
      <c r="I349" s="61" t="s">
        <v>61</v>
      </c>
      <c r="J349" s="32" t="s">
        <v>521</v>
      </c>
      <c r="K349" s="54">
        <v>695269012</v>
      </c>
      <c r="L349" s="32"/>
      <c r="M349" s="64">
        <v>0.5</v>
      </c>
    </row>
    <row r="350" spans="1:13" x14ac:dyDescent="0.2">
      <c r="A350" s="32"/>
      <c r="B350" s="67">
        <v>4086</v>
      </c>
      <c r="C350" s="61" t="s">
        <v>520</v>
      </c>
      <c r="D350" s="61" t="s">
        <v>45</v>
      </c>
      <c r="E350" s="42">
        <v>708530</v>
      </c>
      <c r="F350" s="61" t="s">
        <v>45</v>
      </c>
      <c r="G350" s="32">
        <v>1</v>
      </c>
      <c r="H350" s="54">
        <v>54</v>
      </c>
      <c r="I350" s="61" t="s">
        <v>61</v>
      </c>
      <c r="J350" s="32" t="s">
        <v>521</v>
      </c>
      <c r="K350" s="54">
        <v>695270008</v>
      </c>
      <c r="L350" s="32"/>
      <c r="M350" s="64">
        <v>0.5</v>
      </c>
    </row>
    <row r="351" spans="1:13" x14ac:dyDescent="0.2">
      <c r="A351" s="32"/>
      <c r="B351" s="67">
        <v>4086</v>
      </c>
      <c r="C351" s="61" t="s">
        <v>520</v>
      </c>
      <c r="D351" s="61" t="s">
        <v>45</v>
      </c>
      <c r="E351" s="42">
        <v>628140</v>
      </c>
      <c r="F351" s="61" t="s">
        <v>45</v>
      </c>
      <c r="G351" s="32">
        <v>1</v>
      </c>
      <c r="H351" s="54">
        <v>29</v>
      </c>
      <c r="I351" s="61" t="s">
        <v>61</v>
      </c>
      <c r="J351" s="32" t="s">
        <v>521</v>
      </c>
      <c r="K351" s="54">
        <v>695320101</v>
      </c>
      <c r="L351" s="32"/>
      <c r="M351" s="63"/>
    </row>
    <row r="352" spans="1:13" x14ac:dyDescent="0.2">
      <c r="A352" s="32"/>
      <c r="B352" s="67">
        <v>4086</v>
      </c>
      <c r="C352" s="61" t="s">
        <v>520</v>
      </c>
      <c r="D352" s="61" t="s">
        <v>45</v>
      </c>
      <c r="E352" s="42">
        <v>628150</v>
      </c>
      <c r="F352" s="61" t="s">
        <v>45</v>
      </c>
      <c r="G352" s="32">
        <v>1</v>
      </c>
      <c r="H352" s="54">
        <v>3</v>
      </c>
      <c r="I352" s="61" t="s">
        <v>61</v>
      </c>
      <c r="J352" s="32" t="s">
        <v>521</v>
      </c>
      <c r="K352" s="54">
        <v>695321041</v>
      </c>
      <c r="L352" s="32"/>
      <c r="M352" s="63"/>
    </row>
    <row r="353" spans="1:13" x14ac:dyDescent="0.2">
      <c r="A353" s="32"/>
      <c r="B353" s="67">
        <v>4086</v>
      </c>
      <c r="C353" s="61" t="s">
        <v>520</v>
      </c>
      <c r="D353" s="61" t="s">
        <v>45</v>
      </c>
      <c r="E353" s="42">
        <v>628160</v>
      </c>
      <c r="F353" s="61" t="s">
        <v>45</v>
      </c>
      <c r="G353" s="32">
        <v>1</v>
      </c>
      <c r="H353" s="54">
        <v>1.6</v>
      </c>
      <c r="I353" s="61" t="s">
        <v>61</v>
      </c>
      <c r="J353" s="32" t="s">
        <v>521</v>
      </c>
      <c r="K353" s="54">
        <v>695321405</v>
      </c>
      <c r="L353" s="32"/>
      <c r="M353" s="63"/>
    </row>
    <row r="354" spans="1:13" x14ac:dyDescent="0.2">
      <c r="A354" s="32"/>
      <c r="B354" s="67">
        <v>4086</v>
      </c>
      <c r="C354" s="61" t="s">
        <v>520</v>
      </c>
      <c r="D354" s="61" t="s">
        <v>45</v>
      </c>
      <c r="E354" s="42">
        <v>628170</v>
      </c>
      <c r="F354" s="61" t="s">
        <v>45</v>
      </c>
      <c r="G354" s="32">
        <v>1</v>
      </c>
      <c r="H354" s="54">
        <v>6.5</v>
      </c>
      <c r="I354" s="61" t="s">
        <v>61</v>
      </c>
      <c r="J354" s="32" t="s">
        <v>521</v>
      </c>
      <c r="K354" s="54">
        <v>695321632</v>
      </c>
      <c r="L354" s="32"/>
      <c r="M354" s="63"/>
    </row>
    <row r="355" spans="1:13" x14ac:dyDescent="0.2">
      <c r="A355" s="32"/>
      <c r="B355" s="67">
        <v>4086</v>
      </c>
      <c r="C355" s="61" t="s">
        <v>520</v>
      </c>
      <c r="D355" s="61" t="s">
        <v>45</v>
      </c>
      <c r="E355" s="42">
        <v>628180</v>
      </c>
      <c r="F355" s="61" t="s">
        <v>45</v>
      </c>
      <c r="G355" s="32">
        <v>1</v>
      </c>
      <c r="H355" s="54">
        <v>8.1999999999999993</v>
      </c>
      <c r="I355" s="61" t="s">
        <v>61</v>
      </c>
      <c r="J355" s="32" t="s">
        <v>521</v>
      </c>
      <c r="K355" s="54">
        <v>695321681</v>
      </c>
      <c r="L355" s="32"/>
      <c r="M355" s="63"/>
    </row>
    <row r="356" spans="1:13" x14ac:dyDescent="0.2">
      <c r="A356" s="32"/>
      <c r="B356" s="67">
        <v>4086</v>
      </c>
      <c r="C356" s="61" t="s">
        <v>520</v>
      </c>
      <c r="D356" s="61" t="s">
        <v>45</v>
      </c>
      <c r="E356" s="42">
        <v>628190</v>
      </c>
      <c r="F356" s="61" t="s">
        <v>45</v>
      </c>
      <c r="G356" s="32">
        <v>1</v>
      </c>
      <c r="H356" s="54">
        <v>7.8</v>
      </c>
      <c r="I356" s="61" t="s">
        <v>61</v>
      </c>
      <c r="J356" s="32" t="s">
        <v>521</v>
      </c>
      <c r="K356" s="54">
        <v>695321683</v>
      </c>
      <c r="L356" s="32"/>
      <c r="M356" s="63"/>
    </row>
    <row r="357" spans="1:13" x14ac:dyDescent="0.2">
      <c r="A357" s="32"/>
      <c r="B357" s="67">
        <v>4086</v>
      </c>
      <c r="C357" s="61" t="s">
        <v>520</v>
      </c>
      <c r="D357" s="61" t="s">
        <v>45</v>
      </c>
      <c r="E357" s="42">
        <v>228300</v>
      </c>
      <c r="F357" s="61" t="s">
        <v>45</v>
      </c>
      <c r="G357" s="32">
        <v>1</v>
      </c>
      <c r="H357" s="54">
        <v>56</v>
      </c>
      <c r="I357" s="61" t="s">
        <v>61</v>
      </c>
      <c r="J357" s="32" t="s">
        <v>521</v>
      </c>
      <c r="K357" s="54">
        <v>695642001</v>
      </c>
      <c r="L357" s="32"/>
      <c r="M357" s="63"/>
    </row>
    <row r="358" spans="1:13" x14ac:dyDescent="0.2">
      <c r="A358" s="32"/>
      <c r="B358" s="67">
        <v>4086</v>
      </c>
      <c r="C358" s="61" t="s">
        <v>520</v>
      </c>
      <c r="D358" s="61" t="s">
        <v>45</v>
      </c>
      <c r="E358" s="42">
        <v>228310</v>
      </c>
      <c r="F358" s="61" t="s">
        <v>45</v>
      </c>
      <c r="G358" s="32">
        <v>1</v>
      </c>
      <c r="H358" s="54">
        <v>108</v>
      </c>
      <c r="I358" s="61" t="s">
        <v>61</v>
      </c>
      <c r="J358" s="32" t="s">
        <v>521</v>
      </c>
      <c r="K358" s="54">
        <v>695642086</v>
      </c>
      <c r="L358" s="32"/>
      <c r="M358" s="63"/>
    </row>
    <row r="359" spans="1:13" x14ac:dyDescent="0.2">
      <c r="A359" s="32"/>
      <c r="B359" s="67">
        <v>4086</v>
      </c>
      <c r="C359" s="61" t="s">
        <v>520</v>
      </c>
      <c r="D359" s="61" t="s">
        <v>45</v>
      </c>
      <c r="E359" s="42">
        <v>228320</v>
      </c>
      <c r="F359" s="61" t="s">
        <v>45</v>
      </c>
      <c r="G359" s="32">
        <v>1</v>
      </c>
      <c r="H359" s="54">
        <v>119</v>
      </c>
      <c r="I359" s="61" t="s">
        <v>61</v>
      </c>
      <c r="J359" s="32" t="s">
        <v>521</v>
      </c>
      <c r="K359" s="54">
        <v>695642804</v>
      </c>
      <c r="L359" s="32"/>
      <c r="M359" s="63"/>
    </row>
    <row r="360" spans="1:13" x14ac:dyDescent="0.2">
      <c r="A360" s="32"/>
      <c r="B360" s="67">
        <v>4086</v>
      </c>
      <c r="C360" s="61" t="s">
        <v>520</v>
      </c>
      <c r="D360" s="61" t="s">
        <v>45</v>
      </c>
      <c r="E360" s="42">
        <v>228330</v>
      </c>
      <c r="F360" s="61" t="s">
        <v>45</v>
      </c>
      <c r="G360" s="32">
        <v>1</v>
      </c>
      <c r="H360" s="54">
        <v>75</v>
      </c>
      <c r="I360" s="61" t="s">
        <v>61</v>
      </c>
      <c r="J360" s="32" t="s">
        <v>521</v>
      </c>
      <c r="K360" s="54">
        <v>695642831</v>
      </c>
      <c r="L360" s="32"/>
      <c r="M360" s="63"/>
    </row>
    <row r="361" spans="1:13" x14ac:dyDescent="0.2">
      <c r="A361" s="32"/>
      <c r="B361" s="67">
        <v>4086</v>
      </c>
      <c r="C361" s="61" t="s">
        <v>520</v>
      </c>
      <c r="D361" s="61" t="s">
        <v>45</v>
      </c>
      <c r="E361" s="42">
        <v>228340</v>
      </c>
      <c r="F361" s="61" t="s">
        <v>45</v>
      </c>
      <c r="G361" s="32">
        <v>1</v>
      </c>
      <c r="H361" s="54">
        <v>120</v>
      </c>
      <c r="I361" s="61" t="s">
        <v>61</v>
      </c>
      <c r="J361" s="32" t="s">
        <v>521</v>
      </c>
      <c r="K361" s="54">
        <v>695642833</v>
      </c>
      <c r="L361" s="32"/>
      <c r="M361" s="63"/>
    </row>
    <row r="362" spans="1:13" x14ac:dyDescent="0.2">
      <c r="A362" s="32"/>
      <c r="B362" s="67">
        <v>4086</v>
      </c>
      <c r="C362" s="61" t="s">
        <v>520</v>
      </c>
      <c r="D362" s="61" t="s">
        <v>45</v>
      </c>
      <c r="E362" s="42">
        <v>648320</v>
      </c>
      <c r="F362" s="61" t="s">
        <v>45</v>
      </c>
      <c r="G362" s="32">
        <v>1</v>
      </c>
      <c r="H362" s="54">
        <v>34</v>
      </c>
      <c r="I362" s="61" t="s">
        <v>61</v>
      </c>
      <c r="J362" s="32" t="s">
        <v>521</v>
      </c>
      <c r="K362" s="54">
        <v>696444022</v>
      </c>
      <c r="L362" s="32"/>
      <c r="M362" s="63"/>
    </row>
    <row r="363" spans="1:13" x14ac:dyDescent="0.2">
      <c r="A363" s="32"/>
      <c r="B363" s="67">
        <v>4086</v>
      </c>
      <c r="C363" s="61" t="s">
        <v>520</v>
      </c>
      <c r="D363" s="61" t="s">
        <v>45</v>
      </c>
      <c r="E363" s="42">
        <v>228350</v>
      </c>
      <c r="F363" s="61" t="s">
        <v>45</v>
      </c>
      <c r="G363" s="32">
        <v>1</v>
      </c>
      <c r="H363" s="55">
        <v>3.23</v>
      </c>
      <c r="I363" s="61" t="s">
        <v>61</v>
      </c>
      <c r="J363" s="32" t="s">
        <v>521</v>
      </c>
      <c r="K363" s="54">
        <v>840001800</v>
      </c>
      <c r="L363" s="32"/>
      <c r="M363" s="56">
        <v>0.7</v>
      </c>
    </row>
    <row r="364" spans="1:13" x14ac:dyDescent="0.2">
      <c r="A364" s="32"/>
      <c r="B364" s="67">
        <v>4086</v>
      </c>
      <c r="C364" s="61" t="s">
        <v>520</v>
      </c>
      <c r="D364" s="61" t="s">
        <v>45</v>
      </c>
      <c r="E364" s="42">
        <v>228360</v>
      </c>
      <c r="F364" s="61" t="s">
        <v>45</v>
      </c>
      <c r="G364" s="32">
        <v>1</v>
      </c>
      <c r="H364" s="54">
        <v>9.89</v>
      </c>
      <c r="I364" s="61" t="s">
        <v>61</v>
      </c>
      <c r="J364" s="32" t="s">
        <v>521</v>
      </c>
      <c r="K364" s="54">
        <v>840001801</v>
      </c>
      <c r="L364" s="32"/>
      <c r="M364" s="54" t="s">
        <v>525</v>
      </c>
    </row>
    <row r="365" spans="1:13" x14ac:dyDescent="0.2">
      <c r="A365" s="32"/>
      <c r="B365" s="67">
        <v>4086</v>
      </c>
      <c r="C365" s="61" t="s">
        <v>520</v>
      </c>
      <c r="D365" s="61" t="s">
        <v>45</v>
      </c>
      <c r="E365" s="42">
        <v>228370</v>
      </c>
      <c r="F365" s="61" t="s">
        <v>45</v>
      </c>
      <c r="G365" s="32">
        <v>1</v>
      </c>
      <c r="H365" s="55">
        <v>6.23</v>
      </c>
      <c r="I365" s="61" t="s">
        <v>61</v>
      </c>
      <c r="J365" s="32" t="s">
        <v>521</v>
      </c>
      <c r="K365" s="54">
        <v>840001810</v>
      </c>
      <c r="L365" s="32"/>
      <c r="M365" s="56">
        <v>0.7</v>
      </c>
    </row>
    <row r="366" spans="1:13" x14ac:dyDescent="0.2">
      <c r="A366" s="32"/>
      <c r="B366" s="67">
        <v>4086</v>
      </c>
      <c r="C366" s="61" t="s">
        <v>520</v>
      </c>
      <c r="D366" s="61" t="s">
        <v>45</v>
      </c>
      <c r="E366" s="42">
        <v>228380</v>
      </c>
      <c r="F366" s="61" t="s">
        <v>45</v>
      </c>
      <c r="G366" s="32">
        <v>1</v>
      </c>
      <c r="H366" s="54">
        <v>23.67</v>
      </c>
      <c r="I366" s="61" t="s">
        <v>61</v>
      </c>
      <c r="J366" s="32" t="s">
        <v>521</v>
      </c>
      <c r="K366" s="54">
        <v>840001812</v>
      </c>
      <c r="L366" s="32"/>
      <c r="M366" s="64">
        <v>0.68</v>
      </c>
    </row>
    <row r="367" spans="1:13" x14ac:dyDescent="0.2">
      <c r="A367" s="32"/>
      <c r="B367" s="67">
        <v>4086</v>
      </c>
      <c r="C367" s="61" t="s">
        <v>520</v>
      </c>
      <c r="D367" s="61" t="s">
        <v>45</v>
      </c>
      <c r="E367" s="42">
        <v>228390</v>
      </c>
      <c r="F367" s="61" t="s">
        <v>45</v>
      </c>
      <c r="G367" s="32">
        <v>1</v>
      </c>
      <c r="H367" s="55">
        <v>10.54</v>
      </c>
      <c r="I367" s="61" t="s">
        <v>61</v>
      </c>
      <c r="J367" s="32" t="s">
        <v>521</v>
      </c>
      <c r="K367" s="54">
        <v>840001813</v>
      </c>
      <c r="L367" s="32"/>
      <c r="M367" s="56">
        <v>0.63</v>
      </c>
    </row>
    <row r="368" spans="1:13" x14ac:dyDescent="0.2">
      <c r="A368" s="32"/>
      <c r="B368" s="67">
        <v>4086</v>
      </c>
      <c r="C368" s="61" t="s">
        <v>520</v>
      </c>
      <c r="D368" s="61" t="s">
        <v>45</v>
      </c>
      <c r="E368" s="42">
        <v>228400</v>
      </c>
      <c r="F368" s="61" t="s">
        <v>45</v>
      </c>
      <c r="G368" s="32">
        <v>1</v>
      </c>
      <c r="H368" s="54">
        <v>12</v>
      </c>
      <c r="I368" s="61" t="s">
        <v>61</v>
      </c>
      <c r="J368" s="32" t="s">
        <v>521</v>
      </c>
      <c r="K368" s="54">
        <v>840001831</v>
      </c>
      <c r="L368" s="32"/>
      <c r="M368" s="64">
        <v>0.65</v>
      </c>
    </row>
    <row r="369" spans="1:13" x14ac:dyDescent="0.2">
      <c r="A369" s="32"/>
      <c r="B369" s="67">
        <v>4086</v>
      </c>
      <c r="C369" s="61" t="s">
        <v>520</v>
      </c>
      <c r="D369" s="61" t="s">
        <v>45</v>
      </c>
      <c r="E369" s="42">
        <v>228410</v>
      </c>
      <c r="F369" s="61" t="s">
        <v>45</v>
      </c>
      <c r="G369" s="32">
        <v>1</v>
      </c>
      <c r="H369" s="54">
        <v>5.8</v>
      </c>
      <c r="I369" s="61" t="s">
        <v>61</v>
      </c>
      <c r="J369" s="32" t="s">
        <v>521</v>
      </c>
      <c r="K369" s="54">
        <v>840001841</v>
      </c>
      <c r="L369" s="32"/>
      <c r="M369" s="63"/>
    </row>
    <row r="370" spans="1:13" x14ac:dyDescent="0.2">
      <c r="A370" s="32"/>
      <c r="B370" s="67">
        <v>4086</v>
      </c>
      <c r="C370" s="61" t="s">
        <v>520</v>
      </c>
      <c r="D370" s="61" t="s">
        <v>45</v>
      </c>
      <c r="E370" s="42">
        <v>228420</v>
      </c>
      <c r="F370" s="61" t="s">
        <v>45</v>
      </c>
      <c r="G370" s="32">
        <v>1</v>
      </c>
      <c r="H370" s="54">
        <v>53.33</v>
      </c>
      <c r="I370" s="61" t="s">
        <v>61</v>
      </c>
      <c r="J370" s="32" t="s">
        <v>521</v>
      </c>
      <c r="K370" s="54">
        <v>840005211</v>
      </c>
      <c r="L370" s="32"/>
      <c r="M370" s="64">
        <v>0.66</v>
      </c>
    </row>
    <row r="371" spans="1:13" x14ac:dyDescent="0.2">
      <c r="A371" s="32"/>
      <c r="B371" s="67">
        <v>4086</v>
      </c>
      <c r="C371" s="61" t="s">
        <v>520</v>
      </c>
      <c r="D371" s="61" t="s">
        <v>45</v>
      </c>
      <c r="E371" s="42">
        <v>708540</v>
      </c>
      <c r="F371" s="61" t="s">
        <v>45</v>
      </c>
      <c r="G371" s="32">
        <v>1</v>
      </c>
      <c r="H371" s="54">
        <v>41</v>
      </c>
      <c r="I371" s="61" t="s">
        <v>61</v>
      </c>
      <c r="J371" s="32" t="s">
        <v>521</v>
      </c>
      <c r="K371" s="54">
        <v>990700022</v>
      </c>
      <c r="L371" s="32"/>
      <c r="M371" s="63"/>
    </row>
    <row r="372" spans="1:13" x14ac:dyDescent="0.2">
      <c r="A372" s="32"/>
      <c r="B372" s="67">
        <v>4086</v>
      </c>
      <c r="C372" s="61" t="s">
        <v>520</v>
      </c>
      <c r="D372" s="61" t="s">
        <v>45</v>
      </c>
      <c r="E372" s="42">
        <v>798220</v>
      </c>
      <c r="F372" s="61" t="s">
        <v>45</v>
      </c>
      <c r="G372" s="32">
        <v>1</v>
      </c>
      <c r="H372" s="54">
        <v>3.9</v>
      </c>
      <c r="I372" s="61" t="s">
        <v>61</v>
      </c>
      <c r="J372" s="32" t="s">
        <v>521</v>
      </c>
      <c r="K372" s="54">
        <v>990800550</v>
      </c>
      <c r="L372" s="32"/>
      <c r="M372" s="64">
        <v>0.5</v>
      </c>
    </row>
    <row r="373" spans="1:13" x14ac:dyDescent="0.2">
      <c r="A373" s="32"/>
      <c r="B373" s="67">
        <v>4086</v>
      </c>
      <c r="C373" s="61" t="s">
        <v>520</v>
      </c>
      <c r="D373" s="61" t="s">
        <v>45</v>
      </c>
      <c r="E373" s="42">
        <v>798230</v>
      </c>
      <c r="F373" s="61" t="s">
        <v>45</v>
      </c>
      <c r="G373" s="32">
        <v>1</v>
      </c>
      <c r="H373" s="54">
        <v>1.8</v>
      </c>
      <c r="I373" s="61" t="s">
        <v>61</v>
      </c>
      <c r="J373" s="32" t="s">
        <v>521</v>
      </c>
      <c r="K373" s="54">
        <v>990800552</v>
      </c>
      <c r="L373" s="32"/>
      <c r="M373" s="63"/>
    </row>
    <row r="374" spans="1:13" x14ac:dyDescent="0.2">
      <c r="A374" s="32"/>
      <c r="B374" s="67">
        <v>4086</v>
      </c>
      <c r="C374" s="61" t="s">
        <v>520</v>
      </c>
      <c r="D374" s="61" t="s">
        <v>45</v>
      </c>
      <c r="E374" s="42">
        <v>798240</v>
      </c>
      <c r="F374" s="61" t="s">
        <v>45</v>
      </c>
      <c r="G374" s="32">
        <v>1</v>
      </c>
      <c r="H374" s="54">
        <v>1.8</v>
      </c>
      <c r="I374" s="61" t="s">
        <v>61</v>
      </c>
      <c r="J374" s="32" t="s">
        <v>521</v>
      </c>
      <c r="K374" s="54">
        <v>990800553</v>
      </c>
      <c r="L374" s="32"/>
      <c r="M374" s="63"/>
    </row>
    <row r="375" spans="1:13" x14ac:dyDescent="0.2">
      <c r="A375" s="32"/>
      <c r="B375" s="67">
        <v>4086</v>
      </c>
      <c r="C375" s="61" t="s">
        <v>520</v>
      </c>
      <c r="D375" s="61" t="s">
        <v>45</v>
      </c>
      <c r="E375" s="42">
        <v>798250</v>
      </c>
      <c r="F375" s="61" t="s">
        <v>45</v>
      </c>
      <c r="G375" s="32">
        <v>1</v>
      </c>
      <c r="H375" s="54">
        <v>1.8</v>
      </c>
      <c r="I375" s="61" t="s">
        <v>61</v>
      </c>
      <c r="J375" s="32" t="s">
        <v>521</v>
      </c>
      <c r="K375" s="54">
        <v>990800554</v>
      </c>
      <c r="L375" s="32"/>
      <c r="M375" s="63"/>
    </row>
    <row r="376" spans="1:13" x14ac:dyDescent="0.2">
      <c r="A376" s="32"/>
      <c r="B376" s="67">
        <v>4086</v>
      </c>
      <c r="C376" s="61" t="s">
        <v>520</v>
      </c>
      <c r="D376" s="61" t="s">
        <v>45</v>
      </c>
      <c r="E376" s="42">
        <v>798260</v>
      </c>
      <c r="F376" s="61" t="s">
        <v>45</v>
      </c>
      <c r="G376" s="32">
        <v>1</v>
      </c>
      <c r="H376" s="54">
        <v>1.8</v>
      </c>
      <c r="I376" s="61" t="s">
        <v>61</v>
      </c>
      <c r="J376" s="32" t="s">
        <v>521</v>
      </c>
      <c r="K376" s="54">
        <v>990800559</v>
      </c>
      <c r="L376" s="32"/>
      <c r="M376" s="63"/>
    </row>
    <row r="377" spans="1:13" x14ac:dyDescent="0.2">
      <c r="A377" s="32"/>
      <c r="B377" s="67">
        <v>4086</v>
      </c>
      <c r="C377" s="61" t="s">
        <v>520</v>
      </c>
      <c r="D377" s="61" t="s">
        <v>45</v>
      </c>
      <c r="E377" s="42">
        <v>928440</v>
      </c>
      <c r="F377" s="61" t="s">
        <v>45</v>
      </c>
      <c r="G377" s="32">
        <v>1</v>
      </c>
      <c r="H377" s="54">
        <v>440</v>
      </c>
      <c r="I377" s="61" t="s">
        <v>61</v>
      </c>
      <c r="J377" s="32" t="s">
        <v>521</v>
      </c>
      <c r="K377" s="54">
        <v>992200102</v>
      </c>
      <c r="L377" s="32"/>
      <c r="M377" s="63"/>
    </row>
    <row r="378" spans="1:13" x14ac:dyDescent="0.2">
      <c r="A378" s="32"/>
      <c r="B378" s="67">
        <v>4086</v>
      </c>
      <c r="C378" s="61" t="s">
        <v>520</v>
      </c>
      <c r="D378" s="61" t="s">
        <v>45</v>
      </c>
      <c r="E378" s="42">
        <v>938250</v>
      </c>
      <c r="F378" s="61" t="s">
        <v>45</v>
      </c>
      <c r="G378" s="32">
        <v>1</v>
      </c>
      <c r="H378" s="54">
        <v>3</v>
      </c>
      <c r="I378" s="61" t="s">
        <v>61</v>
      </c>
      <c r="J378" s="32" t="s">
        <v>521</v>
      </c>
      <c r="K378" s="54">
        <v>992211001</v>
      </c>
      <c r="L378" s="32"/>
      <c r="M378" s="63"/>
    </row>
    <row r="379" spans="1:13" x14ac:dyDescent="0.2">
      <c r="A379" s="32"/>
      <c r="B379" s="67">
        <v>4086</v>
      </c>
      <c r="C379" s="61" t="s">
        <v>520</v>
      </c>
      <c r="D379" s="61" t="s">
        <v>45</v>
      </c>
      <c r="E379" s="42">
        <v>848140</v>
      </c>
      <c r="F379" s="61" t="s">
        <v>45</v>
      </c>
      <c r="G379" s="32">
        <v>1</v>
      </c>
      <c r="H379" s="54">
        <v>65</v>
      </c>
      <c r="I379" s="61" t="s">
        <v>61</v>
      </c>
      <c r="J379" s="32" t="s">
        <v>521</v>
      </c>
      <c r="K379" s="54">
        <v>993189533</v>
      </c>
      <c r="L379" s="32"/>
      <c r="M379" s="63"/>
    </row>
    <row r="380" spans="1:13" x14ac:dyDescent="0.2">
      <c r="A380" s="32"/>
      <c r="B380" s="67">
        <v>4086</v>
      </c>
      <c r="C380" s="61" t="s">
        <v>520</v>
      </c>
      <c r="D380" s="61" t="s">
        <v>45</v>
      </c>
      <c r="E380" s="42">
        <v>928450</v>
      </c>
      <c r="F380" s="61" t="s">
        <v>45</v>
      </c>
      <c r="G380" s="32">
        <v>1</v>
      </c>
      <c r="H380" s="54">
        <v>164</v>
      </c>
      <c r="I380" s="61" t="s">
        <v>61</v>
      </c>
      <c r="J380" s="32" t="s">
        <v>521</v>
      </c>
      <c r="K380" s="54">
        <v>995650275</v>
      </c>
      <c r="L380" s="32"/>
      <c r="M380" s="64">
        <v>0.6</v>
      </c>
    </row>
    <row r="381" spans="1:13" x14ac:dyDescent="0.2">
      <c r="A381" s="32"/>
      <c r="B381" s="67">
        <v>4086</v>
      </c>
      <c r="C381" s="61" t="s">
        <v>520</v>
      </c>
      <c r="D381" s="61" t="s">
        <v>45</v>
      </c>
      <c r="E381" s="42">
        <v>928460</v>
      </c>
      <c r="F381" s="61" t="s">
        <v>45</v>
      </c>
      <c r="G381" s="32">
        <v>1</v>
      </c>
      <c r="H381" s="54">
        <v>171.42</v>
      </c>
      <c r="I381" s="61" t="s">
        <v>61</v>
      </c>
      <c r="J381" s="32" t="s">
        <v>521</v>
      </c>
      <c r="K381" s="54">
        <v>995650277</v>
      </c>
      <c r="L381" s="32"/>
      <c r="M381" s="64">
        <v>0.65</v>
      </c>
    </row>
    <row r="382" spans="1:13" x14ac:dyDescent="0.2">
      <c r="A382" s="32"/>
      <c r="B382" s="67">
        <v>4086</v>
      </c>
      <c r="C382" s="61" t="s">
        <v>520</v>
      </c>
      <c r="D382" s="61" t="s">
        <v>45</v>
      </c>
      <c r="E382" s="42">
        <v>928470</v>
      </c>
      <c r="F382" s="61" t="s">
        <v>45</v>
      </c>
      <c r="G382" s="32">
        <v>1</v>
      </c>
      <c r="H382" s="54">
        <v>55</v>
      </c>
      <c r="I382" s="61" t="s">
        <v>61</v>
      </c>
      <c r="J382" s="32" t="s">
        <v>521</v>
      </c>
      <c r="K382" s="54">
        <v>995650421</v>
      </c>
      <c r="L382" s="32"/>
      <c r="M382" s="64">
        <v>0.6</v>
      </c>
    </row>
    <row r="383" spans="1:13" x14ac:dyDescent="0.2">
      <c r="A383" s="32"/>
      <c r="B383" s="67">
        <v>4086</v>
      </c>
      <c r="C383" s="61" t="s">
        <v>520</v>
      </c>
      <c r="D383" s="61" t="s">
        <v>45</v>
      </c>
      <c r="E383" s="42">
        <v>928480</v>
      </c>
      <c r="F383" s="61" t="s">
        <v>45</v>
      </c>
      <c r="G383" s="32">
        <v>1</v>
      </c>
      <c r="H383" s="54">
        <v>228</v>
      </c>
      <c r="I383" s="61" t="s">
        <v>61</v>
      </c>
      <c r="J383" s="32" t="s">
        <v>521</v>
      </c>
      <c r="K383" s="54">
        <v>995650434</v>
      </c>
      <c r="L383" s="32"/>
      <c r="M383" s="64">
        <v>0.6</v>
      </c>
    </row>
    <row r="384" spans="1:13" x14ac:dyDescent="0.2">
      <c r="A384" s="32"/>
      <c r="B384" s="67">
        <v>4086</v>
      </c>
      <c r="C384" s="61" t="s">
        <v>520</v>
      </c>
      <c r="D384" s="61" t="s">
        <v>45</v>
      </c>
      <c r="E384" s="42">
        <v>798270</v>
      </c>
      <c r="F384" s="61" t="s">
        <v>45</v>
      </c>
      <c r="G384" s="32">
        <v>1</v>
      </c>
      <c r="H384" s="54">
        <v>11.71</v>
      </c>
      <c r="I384" s="61" t="s">
        <v>61</v>
      </c>
      <c r="J384" s="32" t="s">
        <v>521</v>
      </c>
      <c r="K384" s="54">
        <v>995650473</v>
      </c>
      <c r="L384" s="32"/>
      <c r="M384" s="64">
        <v>0.5</v>
      </c>
    </row>
    <row r="385" spans="1:13" x14ac:dyDescent="0.2">
      <c r="A385" s="32"/>
      <c r="B385" s="67">
        <v>4086</v>
      </c>
      <c r="C385" s="61" t="s">
        <v>520</v>
      </c>
      <c r="D385" s="61" t="s">
        <v>45</v>
      </c>
      <c r="E385" s="42">
        <v>928490</v>
      </c>
      <c r="F385" s="61" t="s">
        <v>45</v>
      </c>
      <c r="G385" s="32">
        <v>1</v>
      </c>
      <c r="H385" s="54">
        <v>177.14</v>
      </c>
      <c r="I385" s="61" t="s">
        <v>61</v>
      </c>
      <c r="J385" s="32" t="s">
        <v>521</v>
      </c>
      <c r="K385" s="54">
        <v>995650532</v>
      </c>
      <c r="L385" s="32"/>
      <c r="M385" s="64">
        <v>0.57999999999999996</v>
      </c>
    </row>
    <row r="386" spans="1:13" x14ac:dyDescent="0.2">
      <c r="A386" s="32"/>
      <c r="B386" s="67">
        <v>4086</v>
      </c>
      <c r="C386" s="61" t="s">
        <v>520</v>
      </c>
      <c r="D386" s="61" t="s">
        <v>45</v>
      </c>
      <c r="E386" s="42">
        <v>928500</v>
      </c>
      <c r="F386" s="61" t="s">
        <v>45</v>
      </c>
      <c r="G386" s="32">
        <v>1</v>
      </c>
      <c r="H386" s="54">
        <v>82</v>
      </c>
      <c r="I386" s="61" t="s">
        <v>61</v>
      </c>
      <c r="J386" s="32" t="s">
        <v>521</v>
      </c>
      <c r="K386" s="54">
        <v>995651357</v>
      </c>
      <c r="L386" s="32"/>
      <c r="M386" s="63"/>
    </row>
    <row r="387" spans="1:13" x14ac:dyDescent="0.2">
      <c r="A387" s="32"/>
      <c r="B387" s="67">
        <v>4086</v>
      </c>
      <c r="C387" s="61" t="s">
        <v>520</v>
      </c>
      <c r="D387" s="61" t="s">
        <v>45</v>
      </c>
      <c r="E387" s="42">
        <v>928510</v>
      </c>
      <c r="F387" s="61" t="s">
        <v>45</v>
      </c>
      <c r="G387" s="32">
        <v>1</v>
      </c>
      <c r="H387" s="54">
        <v>128.57</v>
      </c>
      <c r="I387" s="61" t="s">
        <v>61</v>
      </c>
      <c r="J387" s="32" t="s">
        <v>521</v>
      </c>
      <c r="K387" s="54">
        <v>995652166</v>
      </c>
      <c r="L387" s="32"/>
      <c r="M387" s="64">
        <v>0.6</v>
      </c>
    </row>
    <row r="388" spans="1:13" x14ac:dyDescent="0.2">
      <c r="A388" s="32"/>
      <c r="B388" s="67">
        <v>4086</v>
      </c>
      <c r="C388" s="61" t="s">
        <v>520</v>
      </c>
      <c r="D388" s="61" t="s">
        <v>45</v>
      </c>
      <c r="E388" s="42">
        <v>928520</v>
      </c>
      <c r="F388" s="61" t="s">
        <v>45</v>
      </c>
      <c r="G388" s="32">
        <v>1</v>
      </c>
      <c r="H388" s="54">
        <v>18</v>
      </c>
      <c r="I388" s="61" t="s">
        <v>61</v>
      </c>
      <c r="J388" s="32" t="s">
        <v>521</v>
      </c>
      <c r="K388" s="54">
        <v>995654830</v>
      </c>
      <c r="L388" s="32"/>
      <c r="M388" s="63"/>
    </row>
    <row r="389" spans="1:13" x14ac:dyDescent="0.2">
      <c r="A389" s="32"/>
      <c r="B389" s="67">
        <v>4086</v>
      </c>
      <c r="C389" s="61" t="s">
        <v>520</v>
      </c>
      <c r="D389" s="61" t="s">
        <v>45</v>
      </c>
      <c r="E389" s="42">
        <v>928530</v>
      </c>
      <c r="F389" s="61" t="s">
        <v>45</v>
      </c>
      <c r="G389" s="32">
        <v>1</v>
      </c>
      <c r="H389" s="54">
        <v>27.62</v>
      </c>
      <c r="I389" s="61" t="s">
        <v>61</v>
      </c>
      <c r="J389" s="32" t="s">
        <v>521</v>
      </c>
      <c r="K389" s="54">
        <v>995655504</v>
      </c>
      <c r="L389" s="32"/>
      <c r="M389" s="64">
        <v>0.56000000000000005</v>
      </c>
    </row>
    <row r="390" spans="1:13" x14ac:dyDescent="0.2">
      <c r="A390" s="32"/>
      <c r="B390" s="67">
        <v>4086</v>
      </c>
      <c r="C390" s="61" t="s">
        <v>520</v>
      </c>
      <c r="D390" s="61" t="s">
        <v>45</v>
      </c>
      <c r="E390" s="42">
        <v>228430</v>
      </c>
      <c r="F390" s="61" t="s">
        <v>45</v>
      </c>
      <c r="G390" s="32">
        <v>1</v>
      </c>
      <c r="H390" s="54">
        <v>110.53</v>
      </c>
      <c r="I390" s="61" t="s">
        <v>61</v>
      </c>
      <c r="J390" s="32" t="s">
        <v>521</v>
      </c>
      <c r="K390" s="54">
        <v>997600221</v>
      </c>
      <c r="L390" s="32"/>
      <c r="M390" s="64">
        <v>0.55000000000000004</v>
      </c>
    </row>
    <row r="391" spans="1:13" x14ac:dyDescent="0.2">
      <c r="A391" s="32"/>
      <c r="B391" s="67">
        <v>4086</v>
      </c>
      <c r="C391" s="61" t="s">
        <v>520</v>
      </c>
      <c r="D391" s="61" t="s">
        <v>45</v>
      </c>
      <c r="E391" s="42">
        <v>228440</v>
      </c>
      <c r="F391" s="61" t="s">
        <v>45</v>
      </c>
      <c r="G391" s="32">
        <v>1</v>
      </c>
      <c r="H391" s="54">
        <v>60.53</v>
      </c>
      <c r="I391" s="61" t="s">
        <v>61</v>
      </c>
      <c r="J391" s="32" t="s">
        <v>521</v>
      </c>
      <c r="K391" s="54">
        <v>997611140</v>
      </c>
      <c r="L391" s="32"/>
      <c r="M391" s="64">
        <v>0.56000000000000005</v>
      </c>
    </row>
    <row r="392" spans="1:13" x14ac:dyDescent="0.2">
      <c r="A392" s="32"/>
      <c r="B392" s="67">
        <v>4086</v>
      </c>
      <c r="C392" s="61" t="s">
        <v>520</v>
      </c>
      <c r="D392" s="61" t="s">
        <v>45</v>
      </c>
      <c r="E392" s="42">
        <v>618190</v>
      </c>
      <c r="F392" s="61" t="s">
        <v>45</v>
      </c>
      <c r="G392" s="32">
        <v>1</v>
      </c>
      <c r="H392" s="55">
        <v>62</v>
      </c>
      <c r="I392" s="61" t="s">
        <v>61</v>
      </c>
      <c r="J392" s="32" t="s">
        <v>521</v>
      </c>
      <c r="K392" s="54">
        <v>997615482</v>
      </c>
      <c r="L392" s="32"/>
      <c r="M392" s="57"/>
    </row>
    <row r="393" spans="1:13" x14ac:dyDescent="0.2">
      <c r="A393" s="32"/>
      <c r="B393" s="67">
        <v>4086</v>
      </c>
      <c r="C393" s="61" t="s">
        <v>520</v>
      </c>
      <c r="D393" s="61" t="s">
        <v>45</v>
      </c>
      <c r="E393" s="42">
        <v>708550</v>
      </c>
      <c r="F393" s="61" t="s">
        <v>45</v>
      </c>
      <c r="G393" s="32">
        <v>1</v>
      </c>
      <c r="H393" s="54">
        <v>11.5</v>
      </c>
      <c r="I393" s="61" t="s">
        <v>61</v>
      </c>
      <c r="J393" s="32" t="s">
        <v>521</v>
      </c>
      <c r="K393" s="54">
        <v>998900030</v>
      </c>
      <c r="L393" s="32"/>
      <c r="M393" s="63"/>
    </row>
    <row r="394" spans="1:13" x14ac:dyDescent="0.2">
      <c r="A394" s="32"/>
      <c r="B394" s="67">
        <v>4086</v>
      </c>
      <c r="C394" s="61" t="s">
        <v>520</v>
      </c>
      <c r="D394" s="61" t="s">
        <v>45</v>
      </c>
      <c r="E394" s="42">
        <v>708560</v>
      </c>
      <c r="F394" s="61" t="s">
        <v>45</v>
      </c>
      <c r="G394" s="32">
        <v>1</v>
      </c>
      <c r="H394" s="54">
        <v>14.9</v>
      </c>
      <c r="I394" s="61" t="s">
        <v>61</v>
      </c>
      <c r="J394" s="32" t="s">
        <v>521</v>
      </c>
      <c r="K394" s="54">
        <v>998900050</v>
      </c>
      <c r="L394" s="32"/>
      <c r="M394" s="63"/>
    </row>
    <row r="395" spans="1:13" x14ac:dyDescent="0.2">
      <c r="A395" s="32"/>
      <c r="B395" s="67">
        <v>4086</v>
      </c>
      <c r="C395" s="61" t="s">
        <v>520</v>
      </c>
      <c r="D395" s="61" t="s">
        <v>45</v>
      </c>
      <c r="E395" s="42">
        <v>708570</v>
      </c>
      <c r="F395" s="61" t="s">
        <v>45</v>
      </c>
      <c r="G395" s="32">
        <v>1</v>
      </c>
      <c r="H395" s="54">
        <v>49</v>
      </c>
      <c r="I395" s="61" t="s">
        <v>61</v>
      </c>
      <c r="J395" s="32" t="s">
        <v>521</v>
      </c>
      <c r="K395" s="54">
        <v>998900060</v>
      </c>
      <c r="L395" s="32"/>
      <c r="M395" s="63"/>
    </row>
    <row r="396" spans="1:13" x14ac:dyDescent="0.2">
      <c r="A396" s="32"/>
      <c r="B396" s="67">
        <v>4086</v>
      </c>
      <c r="C396" s="61" t="s">
        <v>520</v>
      </c>
      <c r="D396" s="61" t="s">
        <v>45</v>
      </c>
      <c r="E396" s="42">
        <v>628200</v>
      </c>
      <c r="F396" s="61" t="s">
        <v>45</v>
      </c>
      <c r="G396" s="32">
        <v>1</v>
      </c>
      <c r="H396" s="54">
        <v>34</v>
      </c>
      <c r="I396" s="61" t="s">
        <v>61</v>
      </c>
      <c r="J396" s="32" t="s">
        <v>521</v>
      </c>
      <c r="K396" s="54">
        <v>4612043541</v>
      </c>
      <c r="L396" s="32"/>
      <c r="M396" s="63"/>
    </row>
    <row r="397" spans="1:13" x14ac:dyDescent="0.2">
      <c r="A397" s="32"/>
      <c r="B397" s="67">
        <v>4086</v>
      </c>
      <c r="C397" s="61" t="s">
        <v>520</v>
      </c>
      <c r="D397" s="61" t="s">
        <v>45</v>
      </c>
      <c r="E397" s="42">
        <v>928540</v>
      </c>
      <c r="F397" s="61" t="s">
        <v>45</v>
      </c>
      <c r="G397" s="32">
        <v>1</v>
      </c>
      <c r="H397" s="54">
        <v>5.9</v>
      </c>
      <c r="I397" s="61" t="s">
        <v>61</v>
      </c>
      <c r="J397" s="32" t="s">
        <v>521</v>
      </c>
      <c r="K397" s="54">
        <v>4951330031</v>
      </c>
      <c r="L397" s="32"/>
      <c r="M397" s="64">
        <v>0.6</v>
      </c>
    </row>
    <row r="398" spans="1:13" x14ac:dyDescent="0.2">
      <c r="A398" s="32"/>
      <c r="B398" s="67">
        <v>4086</v>
      </c>
      <c r="C398" s="61" t="s">
        <v>520</v>
      </c>
      <c r="D398" s="61" t="s">
        <v>45</v>
      </c>
      <c r="E398" s="42">
        <v>928550</v>
      </c>
      <c r="F398" s="61" t="s">
        <v>45</v>
      </c>
      <c r="G398" s="32">
        <v>1</v>
      </c>
      <c r="H398" s="54">
        <v>6.6</v>
      </c>
      <c r="I398" s="61" t="s">
        <v>61</v>
      </c>
      <c r="J398" s="32" t="s">
        <v>521</v>
      </c>
      <c r="K398" s="54">
        <v>4951330051</v>
      </c>
      <c r="L398" s="32"/>
      <c r="M398" s="64">
        <v>0.6</v>
      </c>
    </row>
    <row r="399" spans="1:13" x14ac:dyDescent="0.2">
      <c r="A399" s="32"/>
      <c r="B399" s="67">
        <v>4086</v>
      </c>
      <c r="C399" s="61" t="s">
        <v>520</v>
      </c>
      <c r="D399" s="61" t="s">
        <v>45</v>
      </c>
      <c r="E399" s="42">
        <v>928560</v>
      </c>
      <c r="F399" s="61" t="s">
        <v>45</v>
      </c>
      <c r="G399" s="32">
        <v>1</v>
      </c>
      <c r="H399" s="54">
        <v>188.57</v>
      </c>
      <c r="I399" s="61" t="s">
        <v>61</v>
      </c>
      <c r="J399" s="32" t="s">
        <v>521</v>
      </c>
      <c r="K399" s="54">
        <v>9956513582</v>
      </c>
      <c r="L399" s="32"/>
      <c r="M399" s="64">
        <v>0.65</v>
      </c>
    </row>
    <row r="400" spans="1:13" x14ac:dyDescent="0.2">
      <c r="A400" s="32"/>
      <c r="B400" s="67">
        <v>4086</v>
      </c>
      <c r="C400" s="61" t="s">
        <v>520</v>
      </c>
      <c r="D400" s="61" t="s">
        <v>45</v>
      </c>
      <c r="E400" s="42">
        <v>928570</v>
      </c>
      <c r="F400" s="61" t="s">
        <v>45</v>
      </c>
      <c r="G400" s="32">
        <v>1</v>
      </c>
      <c r="H400" s="54">
        <v>10</v>
      </c>
      <c r="I400" s="61" t="s">
        <v>61</v>
      </c>
      <c r="J400" s="32" t="s">
        <v>521</v>
      </c>
      <c r="K400" s="54">
        <v>9956615010</v>
      </c>
      <c r="L400" s="32"/>
      <c r="M400" s="63"/>
    </row>
    <row r="401" spans="1:13" x14ac:dyDescent="0.2">
      <c r="A401" s="32"/>
      <c r="B401" s="67">
        <v>4086</v>
      </c>
      <c r="C401" s="61" t="s">
        <v>520</v>
      </c>
      <c r="D401" s="61" t="s">
        <v>45</v>
      </c>
      <c r="E401" s="42">
        <v>928580</v>
      </c>
      <c r="F401" s="61" t="s">
        <v>45</v>
      </c>
      <c r="G401" s="32">
        <v>1</v>
      </c>
      <c r="H401" s="54">
        <v>14</v>
      </c>
      <c r="I401" s="61" t="s">
        <v>61</v>
      </c>
      <c r="J401" s="32" t="s">
        <v>521</v>
      </c>
      <c r="K401" s="54">
        <v>9956615011</v>
      </c>
      <c r="L401" s="32"/>
      <c r="M401" s="63"/>
    </row>
    <row r="402" spans="1:13" x14ac:dyDescent="0.2">
      <c r="A402" s="32"/>
      <c r="B402" s="67">
        <v>4086</v>
      </c>
      <c r="C402" s="61" t="s">
        <v>520</v>
      </c>
      <c r="D402" s="61" t="s">
        <v>45</v>
      </c>
      <c r="E402" s="42">
        <v>928590</v>
      </c>
      <c r="F402" s="61" t="s">
        <v>45</v>
      </c>
      <c r="G402" s="32">
        <v>1</v>
      </c>
      <c r="H402" s="54">
        <v>20</v>
      </c>
      <c r="I402" s="61" t="s">
        <v>61</v>
      </c>
      <c r="J402" s="32" t="s">
        <v>521</v>
      </c>
      <c r="K402" s="54">
        <v>9956615012</v>
      </c>
      <c r="L402" s="32"/>
      <c r="M402" s="63"/>
    </row>
    <row r="403" spans="1:13" x14ac:dyDescent="0.2">
      <c r="A403" s="32"/>
      <c r="B403" s="67">
        <v>4086</v>
      </c>
      <c r="C403" s="61" t="s">
        <v>520</v>
      </c>
      <c r="D403" s="61" t="s">
        <v>45</v>
      </c>
      <c r="E403" s="42">
        <v>928600</v>
      </c>
      <c r="F403" s="61" t="s">
        <v>45</v>
      </c>
      <c r="G403" s="32">
        <v>1</v>
      </c>
      <c r="H403" s="54">
        <v>16</v>
      </c>
      <c r="I403" s="61" t="s">
        <v>61</v>
      </c>
      <c r="J403" s="32" t="s">
        <v>521</v>
      </c>
      <c r="K403" s="54">
        <v>9956615033</v>
      </c>
      <c r="L403" s="32"/>
      <c r="M403" s="63"/>
    </row>
    <row r="404" spans="1:13" x14ac:dyDescent="0.2">
      <c r="A404" s="32"/>
      <c r="B404" s="67">
        <v>4086</v>
      </c>
      <c r="C404" s="61" t="s">
        <v>520</v>
      </c>
      <c r="D404" s="61" t="s">
        <v>45</v>
      </c>
      <c r="E404" s="42">
        <v>928610</v>
      </c>
      <c r="F404" s="61" t="s">
        <v>45</v>
      </c>
      <c r="G404" s="32">
        <v>1</v>
      </c>
      <c r="H404" s="54">
        <v>8</v>
      </c>
      <c r="I404" s="61" t="s">
        <v>61</v>
      </c>
      <c r="J404" s="32" t="s">
        <v>521</v>
      </c>
      <c r="K404" s="54">
        <v>9956615102</v>
      </c>
      <c r="L404" s="32"/>
      <c r="M404" s="63"/>
    </row>
    <row r="405" spans="1:13" x14ac:dyDescent="0.2">
      <c r="A405" s="32"/>
      <c r="B405" s="67">
        <v>4086</v>
      </c>
      <c r="C405" s="61" t="s">
        <v>520</v>
      </c>
      <c r="D405" s="61" t="s">
        <v>45</v>
      </c>
      <c r="E405" s="42">
        <v>928620</v>
      </c>
      <c r="F405" s="61" t="s">
        <v>45</v>
      </c>
      <c r="G405" s="32">
        <v>1</v>
      </c>
      <c r="H405" s="54">
        <v>14</v>
      </c>
      <c r="I405" s="61" t="s">
        <v>61</v>
      </c>
      <c r="J405" s="32" t="s">
        <v>521</v>
      </c>
      <c r="K405" s="54">
        <v>9956615262</v>
      </c>
      <c r="L405" s="32"/>
      <c r="M405" s="63"/>
    </row>
    <row r="406" spans="1:13" x14ac:dyDescent="0.2">
      <c r="A406" s="32"/>
      <c r="B406" s="67">
        <v>4086</v>
      </c>
      <c r="C406" s="61" t="s">
        <v>520</v>
      </c>
      <c r="D406" s="61" t="s">
        <v>45</v>
      </c>
      <c r="E406" s="42">
        <v>928630</v>
      </c>
      <c r="F406" s="61" t="s">
        <v>45</v>
      </c>
      <c r="G406" s="32">
        <v>1</v>
      </c>
      <c r="H406" s="54">
        <v>1.4</v>
      </c>
      <c r="I406" s="61" t="s">
        <v>61</v>
      </c>
      <c r="J406" s="32" t="s">
        <v>521</v>
      </c>
      <c r="K406" s="54">
        <v>9991105100</v>
      </c>
      <c r="L406" s="32"/>
      <c r="M406" s="63"/>
    </row>
    <row r="407" spans="1:13" x14ac:dyDescent="0.2">
      <c r="A407" s="32"/>
      <c r="B407" s="67">
        <v>4086</v>
      </c>
      <c r="C407" s="61" t="s">
        <v>520</v>
      </c>
      <c r="D407" s="61" t="s">
        <v>45</v>
      </c>
      <c r="E407" s="42">
        <v>618200</v>
      </c>
      <c r="F407" s="61" t="s">
        <v>45</v>
      </c>
      <c r="G407" s="32">
        <v>1</v>
      </c>
      <c r="H407" s="54">
        <v>17</v>
      </c>
      <c r="I407" s="61" t="s">
        <v>61</v>
      </c>
      <c r="J407" s="32" t="s">
        <v>521</v>
      </c>
      <c r="K407" s="54">
        <v>46112199804</v>
      </c>
      <c r="L407" s="32"/>
      <c r="M407" s="63"/>
    </row>
    <row r="408" spans="1:13" x14ac:dyDescent="0.2">
      <c r="A408" s="32"/>
      <c r="B408" s="67">
        <v>4086</v>
      </c>
      <c r="C408" s="61" t="s">
        <v>520</v>
      </c>
      <c r="D408" s="61" t="s">
        <v>45</v>
      </c>
      <c r="E408" s="42">
        <v>928640</v>
      </c>
      <c r="F408" s="61" t="s">
        <v>45</v>
      </c>
      <c r="G408" s="32">
        <v>1</v>
      </c>
      <c r="H408" s="54">
        <v>22.63</v>
      </c>
      <c r="I408" s="61" t="s">
        <v>61</v>
      </c>
      <c r="J408" s="32" t="s">
        <v>521</v>
      </c>
      <c r="K408" s="54">
        <v>99566104272</v>
      </c>
      <c r="L408" s="32"/>
      <c r="M408" s="64">
        <v>0.5</v>
      </c>
    </row>
    <row r="409" spans="1:13" x14ac:dyDescent="0.2">
      <c r="A409" s="32"/>
      <c r="B409" s="67">
        <v>4086</v>
      </c>
      <c r="C409" s="61" t="s">
        <v>520</v>
      </c>
      <c r="D409" s="61" t="s">
        <v>45</v>
      </c>
      <c r="E409" s="42">
        <v>928650</v>
      </c>
      <c r="F409" s="61" t="s">
        <v>45</v>
      </c>
      <c r="G409" s="32">
        <v>1</v>
      </c>
      <c r="H409" s="55">
        <v>490</v>
      </c>
      <c r="I409" s="61" t="s">
        <v>61</v>
      </c>
      <c r="J409" s="32" t="s">
        <v>521</v>
      </c>
      <c r="K409" s="54" t="s">
        <v>495</v>
      </c>
      <c r="L409" s="32"/>
      <c r="M409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טיפוס משפחה</vt:lpstr>
      <vt:lpstr>משפחות מוצר</vt:lpstr>
      <vt:lpstr>מוצרים - פריטים</vt:lpstr>
      <vt:lpstr>סוגי ספקים</vt:lpstr>
      <vt:lpstr>תנאי תשלום</vt:lpstr>
      <vt:lpstr>ספקים וקבלנים</vt:lpstr>
      <vt:lpstr>מק"ט ספק</vt:lpstr>
      <vt:lpstr>טבלת יחידות מידה</vt:lpstr>
      <vt:lpstr>מטבעות</vt:lpstr>
      <vt:lpstr>מחירוני ספק-שלב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Eedo Azoulay</dc:creator>
  <cp:lastModifiedBy>Dayan ofir</cp:lastModifiedBy>
  <dcterms:created xsi:type="dcterms:W3CDTF">2016-09-11T08:11:06Z</dcterms:created>
  <dcterms:modified xsi:type="dcterms:W3CDTF">2016-12-08T08:17:31Z</dcterms:modified>
</cp:coreProperties>
</file>