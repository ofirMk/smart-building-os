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הסבת ספקים" sheetId="1" r:id="rId1"/>
    <sheet name="הסבת תנאי תשלום" sheetId="4" r:id="rId2"/>
  </sheets>
  <calcPr calcId="145621"/>
</workbook>
</file>

<file path=xl/calcChain.xml><?xml version="1.0" encoding="utf-8"?>
<calcChain xmlns="http://schemas.openxmlformats.org/spreadsheetml/2006/main">
  <c r="A1" i="4" l="1"/>
  <c r="B1" i="4"/>
  <c r="C1" i="4"/>
  <c r="D1" i="4"/>
  <c r="E1" i="4"/>
  <c r="F1" i="4"/>
  <c r="A2" i="4"/>
  <c r="B2" i="4"/>
  <c r="C2" i="4"/>
  <c r="A3" i="4"/>
  <c r="B3" i="4"/>
  <c r="C3" i="4"/>
  <c r="A4" i="4"/>
  <c r="B4" i="4"/>
  <c r="C4" i="4"/>
  <c r="A5" i="4"/>
  <c r="B5" i="4"/>
  <c r="C5" i="4"/>
  <c r="A6" i="4"/>
  <c r="B6" i="4"/>
  <c r="C6" i="4"/>
</calcChain>
</file>

<file path=xl/sharedStrings.xml><?xml version="1.0" encoding="utf-8"?>
<sst xmlns="http://schemas.openxmlformats.org/spreadsheetml/2006/main" count="58" uniqueCount="51">
  <si>
    <t>DD/MM/YY</t>
  </si>
  <si>
    <t>מס' ספק</t>
  </si>
  <si>
    <t>שם ספק</t>
  </si>
  <si>
    <t>שם ספק (אנגלית)</t>
  </si>
  <si>
    <t>מספרו במערכת קודמת</t>
  </si>
  <si>
    <t>מטבע</t>
  </si>
  <si>
    <t>קוד תנאי תשלום</t>
  </si>
  <si>
    <t>מס.זהות/תיק מס הכנסה</t>
  </si>
  <si>
    <t>קוד פקיד שומה</t>
  </si>
  <si>
    <t>הסבר על מספר התיק</t>
  </si>
  <si>
    <t>אישור ספרים עד</t>
  </si>
  <si>
    <t>סעיף למאזן בוחן</t>
  </si>
  <si>
    <t>סעיף מאזני</t>
  </si>
  <si>
    <t>חתך</t>
  </si>
  <si>
    <t>תאור חתך</t>
  </si>
  <si>
    <t>פרטים</t>
  </si>
  <si>
    <t>טלפון</t>
  </si>
  <si>
    <t>פקס</t>
  </si>
  <si>
    <t>כתובת</t>
  </si>
  <si>
    <t>כתובת - שורה 2</t>
  </si>
  <si>
    <t>כתובת - שורה 3</t>
  </si>
  <si>
    <t>עיר</t>
  </si>
  <si>
    <t>מיקוד</t>
  </si>
  <si>
    <t>מס?</t>
  </si>
  <si>
    <t>מספר תיק במע"מ</t>
  </si>
  <si>
    <t>% ניכוי מס</t>
  </si>
  <si>
    <t>בתוקף עד</t>
  </si>
  <si>
    <t>מס. עוסק מורשה</t>
  </si>
  <si>
    <t>קוד בנק</t>
  </si>
  <si>
    <t>סניף</t>
  </si>
  <si>
    <t>מס' חשבון בנק</t>
  </si>
  <si>
    <t>IBAN</t>
  </si>
  <si>
    <t>Y- עסקאות מול הספק חייבות במע"מ/ N- עסקאות מול הספק פטורות</t>
  </si>
  <si>
    <t>% ניכוי מס במקור- פטור= 0%</t>
  </si>
  <si>
    <t>כותרת</t>
  </si>
  <si>
    <t>מס' תוים מירבי</t>
  </si>
  <si>
    <t>הערות</t>
  </si>
  <si>
    <t xml:space="preserve">במידה ומס' הספק שמוסב פריוריטי שונה מהחשבשבת </t>
  </si>
  <si>
    <t>מטבלת תשתית - בגיליון זה</t>
  </si>
  <si>
    <t>מטבלת תשתית ס' מאזן בוחן</t>
  </si>
  <si>
    <t>מטבלת תשתית ס' מאזן / רווה"פ</t>
  </si>
  <si>
    <t>פרטים אילו לנוחיות המשתמש- ניתן להוסיף בהמשך (בהסבה זה חוסך זמן)</t>
  </si>
  <si>
    <t xml:space="preserve">שדה חובה </t>
  </si>
  <si>
    <t>שדה חובה</t>
  </si>
  <si>
    <t>בידה ותרצו להוציא מסמכים מהמערכת כששם הספק באנגלית</t>
  </si>
  <si>
    <t>1- עצמאי/ת.ז. 2- חברה 3- עוסק מורשה 9-תושב חוץ</t>
  </si>
  <si>
    <t>ריק</t>
  </si>
  <si>
    <t>הערות כלליות על חשבון הספק</t>
  </si>
  <si>
    <t xml:space="preserve">נתונים אילו ישמשו לתשלומים- ניתן להוסיף בעתיד </t>
  </si>
  <si>
    <t>Y= כן</t>
  </si>
  <si>
    <t xml:space="preserve">בהתאם לתנאים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</si>
</sst>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readingOrder="2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 readingOrder="2"/>
    </xf>
    <xf numFmtId="0" fontId="0" fillId="0" borderId="1" xfId="0" applyBorder="1" applyAlignment="1">
      <alignment horizontal="right" wrapText="1" readingOrder="2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rightToLeft="1" tabSelected="1" topLeftCell="R1" workbookViewId="0">
      <selection activeCell="X13" sqref="X13"/>
    </sheetView>
  </sheetViews>
  <sheetFormatPr defaultRowHeight="14.25" x14ac:dyDescent="0.2"/>
  <cols>
    <col min="1" max="1" width="11.5" bestFit="1" customWidth="1"/>
    <col min="4" max="4" width="13.625" bestFit="1" customWidth="1"/>
    <col min="5" max="5" width="17.75" bestFit="1" customWidth="1"/>
    <col min="7" max="7" width="9" style="6"/>
    <col min="25" max="25" width="13.75" bestFit="1" customWidth="1"/>
  </cols>
  <sheetData>
    <row r="1" spans="1:32" s="4" customFormat="1" ht="42.75" x14ac:dyDescent="0.2">
      <c r="A1" s="7" t="s">
        <v>34</v>
      </c>
      <c r="B1" s="8" t="s">
        <v>1</v>
      </c>
      <c r="C1" s="8" t="s">
        <v>2</v>
      </c>
      <c r="D1" s="7" t="s">
        <v>3</v>
      </c>
      <c r="E1" s="9" t="s">
        <v>4</v>
      </c>
      <c r="F1" s="8" t="s">
        <v>5</v>
      </c>
      <c r="G1" s="10" t="s">
        <v>6</v>
      </c>
      <c r="H1" s="8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 s="4" customFormat="1" ht="28.5" x14ac:dyDescent="0.2">
      <c r="A2" s="7" t="s">
        <v>35</v>
      </c>
      <c r="B2" s="7">
        <v>8</v>
      </c>
      <c r="C2" s="7">
        <v>16</v>
      </c>
      <c r="D2" s="7">
        <v>16</v>
      </c>
      <c r="E2" s="7">
        <v>10</v>
      </c>
      <c r="F2" s="7">
        <v>3</v>
      </c>
      <c r="G2" s="10"/>
      <c r="H2" s="7">
        <v>16</v>
      </c>
      <c r="I2" s="7">
        <v>3</v>
      </c>
      <c r="J2" s="7"/>
      <c r="K2" s="7" t="s">
        <v>0</v>
      </c>
      <c r="L2" s="7"/>
      <c r="M2" s="7"/>
      <c r="N2" s="7"/>
      <c r="O2" s="7"/>
      <c r="P2" s="7">
        <v>50</v>
      </c>
      <c r="Q2" s="7">
        <v>20</v>
      </c>
      <c r="R2" s="7">
        <v>20</v>
      </c>
      <c r="S2" s="7">
        <v>80</v>
      </c>
      <c r="T2" s="7"/>
      <c r="U2" s="7"/>
      <c r="V2" s="7">
        <v>40</v>
      </c>
      <c r="W2" s="7">
        <v>10</v>
      </c>
      <c r="X2" s="11"/>
      <c r="Y2" s="7">
        <v>16</v>
      </c>
      <c r="Z2" s="7">
        <v>6</v>
      </c>
      <c r="AA2" s="7" t="s">
        <v>0</v>
      </c>
      <c r="AB2" s="7">
        <v>16</v>
      </c>
      <c r="AC2" s="7">
        <v>3</v>
      </c>
      <c r="AD2" s="7">
        <v>6</v>
      </c>
      <c r="AE2" s="7">
        <v>16</v>
      </c>
      <c r="AF2" s="7"/>
    </row>
    <row r="3" spans="1:32" s="4" customFormat="1" ht="114" x14ac:dyDescent="0.2">
      <c r="A3" s="7" t="s">
        <v>36</v>
      </c>
      <c r="B3" s="7" t="s">
        <v>43</v>
      </c>
      <c r="C3" s="7" t="s">
        <v>43</v>
      </c>
      <c r="D3" s="7" t="s">
        <v>44</v>
      </c>
      <c r="E3" s="7" t="s">
        <v>37</v>
      </c>
      <c r="F3" s="7" t="s">
        <v>43</v>
      </c>
      <c r="G3" s="10" t="s">
        <v>38</v>
      </c>
      <c r="H3" s="7" t="s">
        <v>43</v>
      </c>
      <c r="I3" s="7"/>
      <c r="J3" s="12" t="s">
        <v>45</v>
      </c>
      <c r="K3" s="7"/>
      <c r="L3" s="7" t="s">
        <v>39</v>
      </c>
      <c r="M3" s="7" t="s">
        <v>40</v>
      </c>
      <c r="N3" s="7" t="s">
        <v>46</v>
      </c>
      <c r="O3" s="7" t="s">
        <v>46</v>
      </c>
      <c r="P3" s="7" t="s">
        <v>47</v>
      </c>
      <c r="Q3" s="13" t="s">
        <v>41</v>
      </c>
      <c r="R3" s="13"/>
      <c r="S3" s="13"/>
      <c r="T3" s="13"/>
      <c r="U3" s="13"/>
      <c r="V3" s="13"/>
      <c r="W3" s="13"/>
      <c r="X3" s="11" t="s">
        <v>32</v>
      </c>
      <c r="Y3" s="7" t="s">
        <v>42</v>
      </c>
      <c r="Z3" s="11" t="s">
        <v>33</v>
      </c>
      <c r="AA3" s="7" t="s">
        <v>43</v>
      </c>
      <c r="AB3" s="7" t="s">
        <v>43</v>
      </c>
      <c r="AC3" s="13" t="s">
        <v>48</v>
      </c>
      <c r="AD3" s="13"/>
      <c r="AE3" s="13"/>
      <c r="AF3" s="13"/>
    </row>
    <row r="4" spans="1:32" x14ac:dyDescent="0.2">
      <c r="A4" s="14"/>
      <c r="B4" s="14"/>
      <c r="C4" s="14"/>
      <c r="D4" s="14"/>
      <c r="E4" s="14"/>
      <c r="F4" s="14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x14ac:dyDescent="0.2">
      <c r="A5" s="14"/>
      <c r="B5" s="14"/>
      <c r="C5" s="14"/>
      <c r="D5" s="14"/>
      <c r="E5" s="14"/>
      <c r="F5" s="14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</sheetData>
  <mergeCells count="2">
    <mergeCell ref="AC3:AF3"/>
    <mergeCell ref="Q3:W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workbookViewId="0">
      <selection activeCell="I14" sqref="I14"/>
    </sheetView>
  </sheetViews>
  <sheetFormatPr defaultRowHeight="14.25" x14ac:dyDescent="0.2"/>
  <cols>
    <col min="1" max="1" width="12.375" style="6" bestFit="1" customWidth="1"/>
  </cols>
  <sheetData>
    <row r="1" spans="1:6" x14ac:dyDescent="0.2">
      <c r="A1" s="5" t="str">
        <f>"קוד תנאי תשלום"</f>
        <v>קוד תנאי תשלום</v>
      </c>
      <c r="B1" s="1" t="str">
        <f>"תנאי תשלום"</f>
        <v>תנאי תשלום</v>
      </c>
      <c r="C1" t="str">
        <f>"שוטף"</f>
        <v>שוטף</v>
      </c>
      <c r="D1" t="str">
        <f>"חודשים"</f>
        <v>חודשים</v>
      </c>
      <c r="E1" t="str">
        <f>"ימים"</f>
        <v>ימים</v>
      </c>
      <c r="F1" t="str">
        <f>"מספר תשלומים"</f>
        <v>מספר תשלומים</v>
      </c>
    </row>
    <row r="2" spans="1:6" x14ac:dyDescent="0.2">
      <c r="A2" s="6" t="str">
        <f>"01"</f>
        <v>01</v>
      </c>
      <c r="B2" t="str">
        <f>"שוטף"</f>
        <v>שוטף</v>
      </c>
      <c r="C2" t="str">
        <f>"Y"</f>
        <v>Y</v>
      </c>
      <c r="D2">
        <v>0</v>
      </c>
      <c r="E2">
        <v>0</v>
      </c>
      <c r="F2">
        <v>1</v>
      </c>
    </row>
    <row r="3" spans="1:6" x14ac:dyDescent="0.2">
      <c r="A3" s="6" t="str">
        <f>"02"</f>
        <v>02</v>
      </c>
      <c r="B3" t="str">
        <f>"ש15"</f>
        <v>ש15</v>
      </c>
      <c r="C3" t="str">
        <f>"Y"</f>
        <v>Y</v>
      </c>
      <c r="D3">
        <v>0</v>
      </c>
      <c r="E3">
        <v>15</v>
      </c>
      <c r="F3">
        <v>1</v>
      </c>
    </row>
    <row r="4" spans="1:6" x14ac:dyDescent="0.2">
      <c r="A4" s="6" t="str">
        <f>"09"</f>
        <v>09</v>
      </c>
      <c r="B4" t="str">
        <f>"3 תשלומים"</f>
        <v>3 תשלומים</v>
      </c>
      <c r="C4" t="str">
        <f>"Y"</f>
        <v>Y</v>
      </c>
      <c r="D4">
        <v>0</v>
      </c>
      <c r="E4">
        <v>0</v>
      </c>
      <c r="F4">
        <v>3</v>
      </c>
    </row>
    <row r="5" spans="1:6" x14ac:dyDescent="0.2">
      <c r="A5" s="6" t="str">
        <f>"10"</f>
        <v>10</v>
      </c>
      <c r="B5" t="str">
        <f>"12 תשלומים"</f>
        <v>12 תשלומים</v>
      </c>
      <c r="C5" t="str">
        <f>"Y"</f>
        <v>Y</v>
      </c>
      <c r="D5">
        <v>0</v>
      </c>
      <c r="E5">
        <v>0</v>
      </c>
      <c r="F5">
        <v>12</v>
      </c>
    </row>
    <row r="6" spans="1:6" x14ac:dyDescent="0.2">
      <c r="A6" s="6" t="str">
        <f>"11"</f>
        <v>11</v>
      </c>
      <c r="B6" t="str">
        <f>"ש180"</f>
        <v>ש180</v>
      </c>
      <c r="C6" t="str">
        <f>"Y"</f>
        <v>Y</v>
      </c>
      <c r="D6">
        <v>6</v>
      </c>
      <c r="E6">
        <v>0</v>
      </c>
      <c r="F6">
        <v>1</v>
      </c>
    </row>
    <row r="8" spans="1:6" x14ac:dyDescent="0.2">
      <c r="C8" s="2" t="s">
        <v>49</v>
      </c>
      <c r="D8" s="3" t="s">
        <v>50</v>
      </c>
      <c r="E8" s="3"/>
      <c r="F8" s="3"/>
    </row>
  </sheetData>
  <mergeCells count="1">
    <mergeCell ref="D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הסבת ספקים</vt:lpstr>
      <vt:lpstr>הסבת תנאי תשלום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 Babler</dc:creator>
  <cp:lastModifiedBy>Avital Babler</cp:lastModifiedBy>
  <dcterms:created xsi:type="dcterms:W3CDTF">2016-09-28T09:57:40Z</dcterms:created>
  <dcterms:modified xsi:type="dcterms:W3CDTF">2016-09-28T11:50:10Z</dcterms:modified>
</cp:coreProperties>
</file>